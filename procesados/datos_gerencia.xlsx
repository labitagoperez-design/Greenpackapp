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Y:\Empaque\Oscar\Oscar\"/>
    </mc:Choice>
  </mc:AlternateContent>
  <xr:revisionPtr revIDLastSave="0" documentId="13_ncr:8001_{69E9D631-7B3C-43DA-9152-59058F2D50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OLCADO " sheetId="1" r:id="rId1"/>
    <sheet name="EMBALADO" sheetId="21" r:id="rId2"/>
    <sheet name="Hoja1" sheetId="34" r:id="rId3"/>
    <sheet name="Planilla" sheetId="25" r:id="rId4"/>
    <sheet name="RESUMEN" sheetId="26" r:id="rId5"/>
    <sheet name="Cajas" sheetId="29" r:id="rId6"/>
    <sheet name="DESCARTES" sheetId="27" r:id="rId7"/>
    <sheet name="Pisos" sheetId="28" r:id="rId8"/>
    <sheet name="Produccion por productor" sheetId="30" r:id="rId9"/>
  </sheets>
  <definedNames>
    <definedName name="_xlnm._FilterDatabase" localSheetId="6" hidden="1">DESCARTES!$A$1:$J$665</definedName>
    <definedName name="_xlnm._FilterDatabase" localSheetId="1" hidden="1">EMBALADO!$A$1:$W$1</definedName>
    <definedName name="_xlnm._FilterDatabase" localSheetId="2" hidden="1">Hoja1!$B$1:$B$30</definedName>
    <definedName name="_xlnm._FilterDatabase" localSheetId="7" hidden="1">Pisos!$A$1:$M$519</definedName>
    <definedName name="_xlnm._FilterDatabase" localSheetId="8" hidden="1">'Produccion por productor'!$A$1:$N$1308</definedName>
    <definedName name="_xlnm._FilterDatabase" localSheetId="0" hidden="1">'VOLCADO '!$A$1:$J$1088</definedName>
    <definedName name="_xlnm.Print_Area" localSheetId="2">Hoja1!$A$1:$P$17</definedName>
    <definedName name="_xlnm.Print_Area" localSheetId="3">Planilla!$A$1:$J$18</definedName>
    <definedName name="Print_Area" localSheetId="1">EMBALADO!$A$1:$P$94</definedName>
    <definedName name="Print_Area" localSheetId="0">'VOLCADO '!$A$1:$H$486</definedName>
  </definedNames>
  <calcPr calcId="181029"/>
</workbook>
</file>

<file path=xl/calcChain.xml><?xml version="1.0" encoding="utf-8"?>
<calcChain xmlns="http://schemas.openxmlformats.org/spreadsheetml/2006/main">
  <c r="Q1086" i="21" l="1"/>
  <c r="Q1087" i="21"/>
  <c r="Q1088" i="21"/>
  <c r="Q1089" i="21"/>
  <c r="Q1090" i="21"/>
  <c r="Q1091" i="21"/>
  <c r="Q1092" i="21"/>
  <c r="Q1093" i="21"/>
  <c r="Q1094" i="21"/>
  <c r="Q1095" i="21"/>
  <c r="Q1096" i="21"/>
  <c r="Q1097" i="21"/>
  <c r="Q1098" i="21"/>
  <c r="Q1099" i="21"/>
  <c r="Q1100" i="21"/>
  <c r="Q1101" i="21"/>
  <c r="Q1102" i="21"/>
  <c r="Q1103" i="21"/>
  <c r="Q1104" i="21"/>
  <c r="Q1105" i="21"/>
  <c r="Q1106" i="21"/>
  <c r="Q1107" i="21"/>
  <c r="Q1108" i="21"/>
  <c r="Q1109" i="21"/>
  <c r="Q1110" i="21"/>
  <c r="Q1111" i="21"/>
  <c r="Q1112" i="21"/>
  <c r="Q1113" i="21"/>
  <c r="Q1114" i="21"/>
  <c r="Q1085" i="21"/>
  <c r="Q1071" i="21"/>
  <c r="Q1083" i="21"/>
  <c r="Q1082" i="21"/>
  <c r="Q1074" i="21"/>
  <c r="Q1056" i="21"/>
  <c r="Q1057" i="21"/>
  <c r="Q1058" i="21"/>
  <c r="Q1059" i="21"/>
  <c r="Q1060" i="21"/>
  <c r="Q1061" i="21"/>
  <c r="Q1062" i="21"/>
  <c r="Q1063" i="21"/>
  <c r="Q1064" i="21"/>
  <c r="Q1065" i="21"/>
  <c r="Q1066" i="21"/>
  <c r="Q1067" i="21"/>
  <c r="Q1068" i="21"/>
  <c r="Q1069" i="21"/>
  <c r="Q1070" i="21"/>
  <c r="Q1072" i="21"/>
  <c r="Q1073" i="21"/>
  <c r="Q1075" i="21"/>
  <c r="Q1076" i="21"/>
  <c r="Q1077" i="21"/>
  <c r="Q1078" i="21"/>
  <c r="Q1079" i="21"/>
  <c r="Q1080" i="21"/>
  <c r="Q1081" i="21"/>
  <c r="Q1054" i="21" l="1"/>
  <c r="Q1053" i="21"/>
  <c r="Q1052" i="21"/>
  <c r="Q1051" i="21"/>
  <c r="Q1050" i="21"/>
  <c r="Q1049" i="21"/>
  <c r="Q1048" i="21"/>
  <c r="Q1047" i="21"/>
  <c r="Q1046" i="21"/>
  <c r="Q1045" i="21"/>
  <c r="Q1044" i="21"/>
  <c r="Q1043" i="21"/>
  <c r="Q1042" i="21"/>
  <c r="Q1041" i="21"/>
  <c r="Q1040" i="21"/>
  <c r="Q1039" i="21"/>
  <c r="Q1038" i="21"/>
  <c r="Q1037" i="21"/>
  <c r="Q1036" i="21"/>
  <c r="Q1035" i="21"/>
  <c r="Q1034" i="21"/>
  <c r="Q1033" i="21"/>
  <c r="Q1032" i="21"/>
  <c r="Q1031" i="21"/>
  <c r="Q1030" i="21"/>
  <c r="Q1029" i="21"/>
  <c r="V1016" i="21"/>
  <c r="V1015" i="21"/>
  <c r="Q1001" i="21" l="1"/>
  <c r="Q1002" i="21"/>
  <c r="Q1003" i="21"/>
  <c r="Q1004" i="21"/>
  <c r="Q1005" i="21"/>
  <c r="Q1006" i="21"/>
  <c r="Q1007" i="21"/>
  <c r="Q1008" i="21"/>
  <c r="Q1009" i="21"/>
  <c r="Q1010" i="21"/>
  <c r="Q1011" i="21"/>
  <c r="Q1012" i="21"/>
  <c r="Q1013" i="21"/>
  <c r="Q1014" i="21"/>
  <c r="Q1015" i="21"/>
  <c r="Q1016" i="21"/>
  <c r="Q1017" i="21"/>
  <c r="Q1018" i="21"/>
  <c r="Q1019" i="21"/>
  <c r="Q1020" i="21"/>
  <c r="Q1021" i="21"/>
  <c r="Q1022" i="21"/>
  <c r="Q1023" i="21"/>
  <c r="Q1024" i="21"/>
  <c r="Q1025" i="21"/>
  <c r="Q1026" i="21"/>
  <c r="Q1027" i="21"/>
  <c r="J13" i="27"/>
  <c r="H14" i="27"/>
  <c r="Q1000" i="21"/>
  <c r="Q999" i="21"/>
  <c r="Q998" i="21"/>
  <c r="Q997" i="21"/>
  <c r="Q996" i="21"/>
  <c r="Q995" i="21"/>
  <c r="Q994" i="21"/>
  <c r="Q993" i="21"/>
  <c r="Q992" i="21"/>
  <c r="Q991" i="21"/>
  <c r="Q990" i="21"/>
  <c r="Q989" i="21"/>
  <c r="Q988" i="21"/>
  <c r="Q987" i="21"/>
  <c r="Q986" i="21"/>
  <c r="Q985" i="21"/>
  <c r="Q984" i="21"/>
  <c r="Q983" i="21"/>
  <c r="Q982" i="21"/>
  <c r="Q981" i="21"/>
  <c r="Q980" i="21"/>
  <c r="Q979" i="21"/>
  <c r="Q978" i="21"/>
  <c r="Q977" i="21"/>
  <c r="Q976" i="21"/>
  <c r="Q974" i="21"/>
  <c r="Q961" i="21"/>
  <c r="Q962" i="21"/>
  <c r="Q963" i="21"/>
  <c r="Q964" i="21"/>
  <c r="Q965" i="21"/>
  <c r="Q966" i="21"/>
  <c r="Q967" i="21"/>
  <c r="Q968" i="21"/>
  <c r="Q969" i="21"/>
  <c r="Q970" i="21"/>
  <c r="Q971" i="21"/>
  <c r="Q972" i="21"/>
  <c r="Q973" i="21"/>
  <c r="Q960" i="21"/>
  <c r="Q959" i="21"/>
  <c r="Q958" i="21"/>
  <c r="Q957" i="21"/>
  <c r="Q948" i="21"/>
  <c r="Q949" i="21"/>
  <c r="Q950" i="21"/>
  <c r="Q951" i="21"/>
  <c r="Q952" i="21"/>
  <c r="Q953" i="21"/>
  <c r="Q954" i="21"/>
  <c r="Q955" i="21"/>
  <c r="Q956" i="21"/>
  <c r="E90" i="27"/>
  <c r="E91" i="27"/>
  <c r="H37" i="29"/>
  <c r="Q908" i="21"/>
  <c r="Q909" i="21"/>
  <c r="Q910" i="21"/>
  <c r="Q911" i="21"/>
  <c r="Q912" i="21"/>
  <c r="Q913" i="21"/>
  <c r="Q914" i="21"/>
  <c r="Q915" i="21"/>
  <c r="Q916" i="21"/>
  <c r="Q917" i="21"/>
  <c r="Q918" i="21"/>
  <c r="Q919" i="21"/>
  <c r="Q920" i="21"/>
  <c r="Q921" i="21"/>
  <c r="Q907" i="21"/>
  <c r="Q896" i="21"/>
  <c r="Q897" i="21"/>
  <c r="Q898" i="21"/>
  <c r="Q899" i="21"/>
  <c r="Q900" i="21"/>
  <c r="Q901" i="21"/>
  <c r="Q902" i="21"/>
  <c r="Q903" i="21"/>
  <c r="Q904" i="21"/>
  <c r="Q905" i="21"/>
  <c r="Q906" i="21"/>
  <c r="Q947" i="21"/>
  <c r="Q944" i="21"/>
  <c r="Q937" i="21"/>
  <c r="Q932" i="21"/>
  <c r="H34" i="29"/>
  <c r="Q946" i="21"/>
  <c r="Q945" i="21"/>
  <c r="Q943" i="21"/>
  <c r="Q942" i="21"/>
  <c r="Q941" i="21"/>
  <c r="Q940" i="21"/>
  <c r="Q939" i="21"/>
  <c r="Q938" i="21"/>
  <c r="Q936" i="21"/>
  <c r="Q935" i="21"/>
  <c r="Q934" i="21"/>
  <c r="Q933" i="21"/>
  <c r="Q931" i="21"/>
  <c r="Q930" i="21"/>
  <c r="Q929" i="21"/>
  <c r="Q928" i="21"/>
  <c r="Q927" i="21"/>
  <c r="Q926" i="21"/>
  <c r="Q925" i="21"/>
  <c r="Q924" i="21"/>
  <c r="Q923" i="21"/>
  <c r="Q892" i="1"/>
  <c r="H12" i="26"/>
  <c r="K19" i="26" l="1"/>
  <c r="K18" i="26"/>
  <c r="Q883" i="21"/>
  <c r="Q884" i="21"/>
  <c r="Q885" i="21"/>
  <c r="Q886" i="21"/>
  <c r="Q887" i="21"/>
  <c r="Q888" i="21"/>
  <c r="Q889" i="21"/>
  <c r="Q890" i="21"/>
  <c r="Q891" i="21"/>
  <c r="Q892" i="21"/>
  <c r="Q893" i="21"/>
  <c r="Q894" i="21"/>
  <c r="Q895" i="21"/>
  <c r="Q863" i="21"/>
  <c r="Q864" i="21"/>
  <c r="Q865" i="21"/>
  <c r="Q866" i="21"/>
  <c r="Q867" i="21"/>
  <c r="Q868" i="21"/>
  <c r="Q869" i="21"/>
  <c r="Q870" i="21"/>
  <c r="Q871" i="21"/>
  <c r="Q872" i="21"/>
  <c r="Q873" i="21"/>
  <c r="Q874" i="21"/>
  <c r="Q875" i="21"/>
  <c r="Q876" i="21"/>
  <c r="Q877" i="21"/>
  <c r="Q878" i="21"/>
  <c r="Q879" i="21"/>
  <c r="Q880" i="21"/>
  <c r="Q881" i="21"/>
  <c r="Q882" i="21"/>
  <c r="Q846" i="21"/>
  <c r="Q847" i="21"/>
  <c r="Q848" i="21"/>
  <c r="Q849" i="21"/>
  <c r="Q850" i="21"/>
  <c r="Q851" i="21"/>
  <c r="Q852" i="21"/>
  <c r="Q853" i="21"/>
  <c r="Q854" i="21"/>
  <c r="Q855" i="21"/>
  <c r="Q856" i="21"/>
  <c r="Q857" i="21"/>
  <c r="Q858" i="21"/>
  <c r="Q859" i="21"/>
  <c r="Q860" i="21"/>
  <c r="Q861" i="21"/>
  <c r="Q862" i="21"/>
  <c r="H92" i="30"/>
  <c r="G92" i="30"/>
  <c r="G93" i="30"/>
  <c r="Q834" i="21"/>
  <c r="Q823" i="21"/>
  <c r="Q824" i="21"/>
  <c r="Q825" i="21"/>
  <c r="Q826" i="21"/>
  <c r="Q827" i="21"/>
  <c r="Q828" i="21"/>
  <c r="Q829" i="21"/>
  <c r="Q830" i="21"/>
  <c r="Q831" i="21"/>
  <c r="Q832" i="21"/>
  <c r="Q833" i="21"/>
  <c r="Q836" i="21"/>
  <c r="Q837" i="21"/>
  <c r="Q838" i="21"/>
  <c r="Q839" i="21"/>
  <c r="Q840" i="21"/>
  <c r="Q841" i="21"/>
  <c r="Q842" i="21"/>
  <c r="Q843" i="21"/>
  <c r="Q844" i="21"/>
  <c r="Q845" i="21"/>
  <c r="H91" i="30"/>
  <c r="Q821" i="21"/>
  <c r="K20" i="26" l="1"/>
  <c r="K21" i="26" s="1"/>
  <c r="Q820" i="21"/>
  <c r="Q819" i="21"/>
  <c r="Q818" i="21"/>
  <c r="Q817" i="21"/>
  <c r="Q816" i="21"/>
  <c r="Q815" i="21"/>
  <c r="Q814" i="21"/>
  <c r="Q813" i="21"/>
  <c r="Q812" i="21"/>
  <c r="Q811" i="21"/>
  <c r="Q810" i="21"/>
  <c r="Q809" i="21"/>
  <c r="Q808" i="21"/>
  <c r="Q807" i="21"/>
  <c r="Q806" i="21"/>
  <c r="Q805" i="21"/>
  <c r="Q804" i="21"/>
  <c r="Q803" i="21"/>
  <c r="Q802" i="21"/>
  <c r="Q801" i="21"/>
  <c r="Q800" i="21"/>
  <c r="Q799" i="21"/>
  <c r="Q798" i="21"/>
  <c r="Q797" i="21"/>
  <c r="Q796" i="21"/>
  <c r="Q795" i="21"/>
  <c r="Q794" i="21"/>
  <c r="J15" i="26"/>
  <c r="Q792" i="21" l="1"/>
  <c r="Q791" i="21"/>
  <c r="Q790" i="21"/>
  <c r="Q789" i="21"/>
  <c r="Q788" i="21"/>
  <c r="Q787" i="21"/>
  <c r="Q786" i="21"/>
  <c r="Q785" i="21"/>
  <c r="Q784" i="21"/>
  <c r="Q783" i="21"/>
  <c r="Q782" i="21"/>
  <c r="Q781" i="21"/>
  <c r="Q780" i="21"/>
  <c r="Q779" i="21"/>
  <c r="Q778" i="21"/>
  <c r="Q777" i="21"/>
  <c r="Q776" i="21"/>
  <c r="Q775" i="21"/>
  <c r="Q774" i="21"/>
  <c r="Q773" i="21"/>
  <c r="Q772" i="21"/>
  <c r="Q771" i="21"/>
  <c r="Q770" i="21"/>
  <c r="Q769" i="21"/>
  <c r="Q768" i="21"/>
  <c r="Q767" i="21"/>
  <c r="Q766" i="21"/>
  <c r="Q764" i="21"/>
  <c r="Q763" i="21"/>
  <c r="Q762" i="21"/>
  <c r="Q761" i="21"/>
  <c r="Q760" i="21"/>
  <c r="Q759" i="21"/>
  <c r="Q758" i="21"/>
  <c r="Q757" i="21"/>
  <c r="Q756" i="21"/>
  <c r="Q755" i="21"/>
  <c r="Q754" i="21"/>
  <c r="Q753" i="21"/>
  <c r="Q752" i="21"/>
  <c r="Q751" i="21"/>
  <c r="Q750" i="21"/>
  <c r="Q749" i="21"/>
  <c r="Q748" i="21"/>
  <c r="Q747" i="21"/>
  <c r="Q746" i="21"/>
  <c r="Q745" i="21"/>
  <c r="Q744" i="21"/>
  <c r="Q743" i="21"/>
  <c r="Q742" i="21"/>
  <c r="Q741" i="21"/>
  <c r="Q740" i="21"/>
  <c r="Q739" i="21"/>
  <c r="Q738" i="21"/>
  <c r="K77" i="30"/>
  <c r="Q736" i="21"/>
  <c r="Q735" i="21"/>
  <c r="Q734" i="21"/>
  <c r="Q733" i="21"/>
  <c r="Q732" i="21"/>
  <c r="Q731" i="21"/>
  <c r="Q730" i="21"/>
  <c r="Q729" i="21"/>
  <c r="Q728" i="21"/>
  <c r="Q727" i="21"/>
  <c r="Q726" i="21"/>
  <c r="Q725" i="21"/>
  <c r="Q724" i="21"/>
  <c r="Q723" i="21"/>
  <c r="Q722" i="21"/>
  <c r="Q721" i="21"/>
  <c r="Q720" i="21"/>
  <c r="Q719" i="21"/>
  <c r="Q718" i="21"/>
  <c r="Q717" i="21"/>
  <c r="Q716" i="21"/>
  <c r="Q715" i="21"/>
  <c r="Q714" i="21"/>
  <c r="Q713" i="21"/>
  <c r="Q712" i="21"/>
  <c r="Q711" i="21"/>
  <c r="Q710" i="21"/>
  <c r="Q704" i="21"/>
  <c r="Q708" i="21"/>
  <c r="Q707" i="21"/>
  <c r="Q706" i="21"/>
  <c r="Q705" i="21"/>
  <c r="Q703" i="21"/>
  <c r="Q702" i="21"/>
  <c r="Q701" i="21"/>
  <c r="Q700" i="21"/>
  <c r="Q699" i="21"/>
  <c r="Q698" i="21"/>
  <c r="Q697" i="21"/>
  <c r="Q696" i="21"/>
  <c r="Q695" i="21"/>
  <c r="Q694" i="21"/>
  <c r="Q693" i="21"/>
  <c r="Q692" i="21"/>
  <c r="Q691" i="21"/>
  <c r="Q690" i="21"/>
  <c r="Q689" i="21"/>
  <c r="Q688" i="21"/>
  <c r="Q687" i="21"/>
  <c r="Q686" i="21"/>
  <c r="Q685" i="21"/>
  <c r="Q684" i="21"/>
  <c r="Q683" i="21"/>
  <c r="Q682" i="21"/>
  <c r="Q680" i="21"/>
  <c r="Q679" i="21"/>
  <c r="Q678" i="21"/>
  <c r="Q677" i="21"/>
  <c r="Q676" i="21"/>
  <c r="Q675" i="21"/>
  <c r="Q674" i="21"/>
  <c r="Q673" i="21"/>
  <c r="Q672" i="21"/>
  <c r="Q671" i="21"/>
  <c r="Q670" i="21"/>
  <c r="Q669" i="21"/>
  <c r="Q668" i="21"/>
  <c r="Q667" i="21"/>
  <c r="Q666" i="21"/>
  <c r="Q665" i="21"/>
  <c r="Q664" i="21"/>
  <c r="Q663" i="21"/>
  <c r="Q662" i="21"/>
  <c r="Q661" i="21"/>
  <c r="Q660" i="21"/>
  <c r="Q659" i="21"/>
  <c r="Q658" i="21"/>
  <c r="Q657" i="21"/>
  <c r="Q656" i="21"/>
  <c r="Q655" i="21"/>
  <c r="Q653" i="21"/>
  <c r="Q652" i="21"/>
  <c r="Q651" i="21"/>
  <c r="Q650" i="21"/>
  <c r="Q649" i="21"/>
  <c r="Q648" i="21"/>
  <c r="Q647" i="21"/>
  <c r="Q646" i="21"/>
  <c r="Q645" i="21"/>
  <c r="Q644" i="21"/>
  <c r="Q643" i="21"/>
  <c r="Q642" i="21"/>
  <c r="Q641" i="21"/>
  <c r="Q640" i="21"/>
  <c r="Q639" i="21"/>
  <c r="Q638" i="21"/>
  <c r="Q637" i="21"/>
  <c r="Q636" i="21"/>
  <c r="Q635" i="21"/>
  <c r="Q634" i="21"/>
  <c r="Q633" i="21"/>
  <c r="Q632" i="21"/>
  <c r="Q631" i="21"/>
  <c r="Q630" i="21"/>
  <c r="Q629" i="21"/>
  <c r="Q628" i="21"/>
  <c r="Q626" i="21"/>
  <c r="Q625" i="21"/>
  <c r="Q624" i="21"/>
  <c r="Q623" i="21"/>
  <c r="Q622" i="21"/>
  <c r="Q621" i="21"/>
  <c r="Q620" i="21"/>
  <c r="Q619" i="21"/>
  <c r="Q618" i="21"/>
  <c r="Q617" i="21"/>
  <c r="Q616" i="21"/>
  <c r="Q615" i="21"/>
  <c r="Q614" i="21"/>
  <c r="Q613" i="21"/>
  <c r="Q612" i="21"/>
  <c r="Q611" i="21"/>
  <c r="Q610" i="21"/>
  <c r="Q609" i="21"/>
  <c r="Q608" i="21"/>
  <c r="Q607" i="21"/>
  <c r="Q606" i="21"/>
  <c r="Q605" i="21"/>
  <c r="Q604" i="21"/>
  <c r="Q603" i="21"/>
  <c r="Q602" i="21"/>
  <c r="Q601" i="21"/>
  <c r="Q599" i="21"/>
  <c r="Q598" i="21"/>
  <c r="Q597" i="21"/>
  <c r="Q596" i="21"/>
  <c r="Q595" i="21"/>
  <c r="Q594" i="21"/>
  <c r="Q593" i="21"/>
  <c r="Q592" i="21"/>
  <c r="Q591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Q578" i="21"/>
  <c r="Q577" i="21"/>
  <c r="Q576" i="21"/>
  <c r="Q575" i="21"/>
  <c r="Q574" i="21"/>
  <c r="Q555" i="21"/>
  <c r="Q572" i="21"/>
  <c r="Q571" i="21"/>
  <c r="Q570" i="21"/>
  <c r="Q569" i="21"/>
  <c r="Q568" i="21"/>
  <c r="Q567" i="21"/>
  <c r="Q566" i="21"/>
  <c r="Q565" i="21"/>
  <c r="Q564" i="21"/>
  <c r="Q563" i="21"/>
  <c r="Q562" i="21"/>
  <c r="Q561" i="21"/>
  <c r="Q560" i="21"/>
  <c r="Q559" i="21"/>
  <c r="Q558" i="21"/>
  <c r="Q557" i="21"/>
  <c r="Q556" i="21"/>
  <c r="Q554" i="21"/>
  <c r="Q553" i="21"/>
  <c r="Q552" i="21"/>
  <c r="Q551" i="21"/>
  <c r="Q550" i="21"/>
  <c r="Q549" i="21"/>
  <c r="Q548" i="21"/>
  <c r="Q547" i="21"/>
  <c r="Q543" i="21"/>
  <c r="Q535" i="21"/>
  <c r="Q546" i="21" l="1"/>
  <c r="Q545" i="21"/>
  <c r="Q544" i="21"/>
  <c r="Q542" i="21"/>
  <c r="Q541" i="21"/>
  <c r="Q540" i="21"/>
  <c r="Q539" i="21"/>
  <c r="Q538" i="21"/>
  <c r="Q537" i="21"/>
  <c r="Q536" i="21"/>
  <c r="Q534" i="21"/>
  <c r="Q533" i="21"/>
  <c r="Q532" i="21"/>
  <c r="Q531" i="21"/>
  <c r="Q530" i="21"/>
  <c r="Q529" i="21"/>
  <c r="Q528" i="21"/>
  <c r="Q527" i="21"/>
  <c r="Q526" i="21"/>
  <c r="Q525" i="21"/>
  <c r="Q524" i="21"/>
  <c r="Q523" i="21"/>
  <c r="Q522" i="21"/>
  <c r="Q511" i="21"/>
  <c r="Q509" i="21"/>
  <c r="Q521" i="21"/>
  <c r="Q520" i="21"/>
  <c r="Q519" i="21"/>
  <c r="Q518" i="21"/>
  <c r="Q517" i="21"/>
  <c r="Q516" i="21"/>
  <c r="Q515" i="21"/>
  <c r="Q514" i="21"/>
  <c r="Q513" i="21"/>
  <c r="Q512" i="21"/>
  <c r="Q510" i="21"/>
  <c r="Q508" i="21"/>
  <c r="Q507" i="21"/>
  <c r="Q506" i="21"/>
  <c r="Q505" i="21"/>
  <c r="Q504" i="21"/>
  <c r="Q503" i="21"/>
  <c r="Q502" i="21"/>
  <c r="Q501" i="21"/>
  <c r="Q500" i="21"/>
  <c r="Q499" i="21"/>
  <c r="Q498" i="21"/>
  <c r="Q497" i="21"/>
  <c r="Q496" i="21"/>
  <c r="Q495" i="21"/>
  <c r="Q494" i="21"/>
  <c r="Q493" i="21"/>
  <c r="Q492" i="21"/>
  <c r="Q491" i="21"/>
  <c r="Q490" i="21"/>
  <c r="Q489" i="21"/>
  <c r="Q488" i="21"/>
  <c r="Q487" i="21"/>
  <c r="Q486" i="21"/>
  <c r="Q485" i="21"/>
  <c r="Q484" i="21"/>
  <c r="Q483" i="21"/>
  <c r="Q482" i="21"/>
  <c r="Q481" i="21"/>
  <c r="Q480" i="21"/>
  <c r="Q479" i="21"/>
  <c r="Q478" i="21"/>
  <c r="Q477" i="21"/>
  <c r="Q476" i="21"/>
  <c r="Q475" i="21"/>
  <c r="Q474" i="21"/>
  <c r="Q473" i="21"/>
  <c r="Q472" i="21"/>
  <c r="Q471" i="21"/>
  <c r="Q470" i="21"/>
  <c r="Q469" i="21"/>
  <c r="Q457" i="21"/>
  <c r="Q458" i="21"/>
  <c r="Q468" i="21"/>
  <c r="Q467" i="21"/>
  <c r="Q466" i="21"/>
  <c r="Q465" i="21"/>
  <c r="Q464" i="21"/>
  <c r="Q463" i="21"/>
  <c r="Q462" i="21"/>
  <c r="Q461" i="21"/>
  <c r="Q460" i="21"/>
  <c r="Q459" i="21"/>
  <c r="Q456" i="21"/>
  <c r="Q455" i="21"/>
  <c r="Q454" i="21"/>
  <c r="Q453" i="21"/>
  <c r="Q452" i="21"/>
  <c r="Q451" i="21"/>
  <c r="Q450" i="21"/>
  <c r="Q449" i="21"/>
  <c r="Q448" i="21"/>
  <c r="Q447" i="21"/>
  <c r="Q446" i="21"/>
  <c r="Q445" i="21"/>
  <c r="Q444" i="21"/>
  <c r="Q443" i="21"/>
  <c r="Q442" i="21"/>
  <c r="Q441" i="21"/>
  <c r="Q440" i="21"/>
  <c r="Q439" i="21"/>
  <c r="Q437" i="21"/>
  <c r="Q436" i="21"/>
  <c r="Q435" i="21"/>
  <c r="Q434" i="21"/>
  <c r="Q433" i="21"/>
  <c r="Q432" i="21"/>
  <c r="Q431" i="21"/>
  <c r="Q430" i="21"/>
  <c r="Q429" i="21"/>
  <c r="Q428" i="21"/>
  <c r="Q427" i="21"/>
  <c r="Q426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H2" i="28"/>
  <c r="I2" i="28"/>
  <c r="Q398" i="21"/>
  <c r="Q408" i="21"/>
  <c r="Q407" i="21"/>
  <c r="Q406" i="21"/>
  <c r="Q405" i="21"/>
  <c r="Q404" i="21"/>
  <c r="Q403" i="21"/>
  <c r="Q402" i="21"/>
  <c r="Q401" i="21"/>
  <c r="Q400" i="21"/>
  <c r="Q399" i="21"/>
  <c r="Q397" i="21"/>
  <c r="Q396" i="21"/>
  <c r="Q395" i="21"/>
  <c r="Q394" i="21"/>
  <c r="Q393" i="21"/>
  <c r="Q392" i="21"/>
  <c r="Q391" i="21"/>
  <c r="Q390" i="21"/>
  <c r="Q389" i="21"/>
  <c r="Q388" i="21"/>
  <c r="Q387" i="21"/>
  <c r="Q386" i="21"/>
  <c r="Q385" i="21"/>
  <c r="Q384" i="21"/>
  <c r="Q383" i="21"/>
  <c r="Q382" i="21"/>
  <c r="Q381" i="21"/>
  <c r="H3" i="30"/>
  <c r="H4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162" i="30"/>
  <c r="H163" i="30"/>
  <c r="H164" i="30"/>
  <c r="H165" i="30"/>
  <c r="H166" i="30"/>
  <c r="H167" i="30"/>
  <c r="H168" i="30"/>
  <c r="H169" i="30"/>
  <c r="H170" i="30"/>
  <c r="H171" i="30"/>
  <c r="H172" i="30"/>
  <c r="H173" i="30"/>
  <c r="H174" i="30"/>
  <c r="H175" i="30"/>
  <c r="H176" i="30"/>
  <c r="H177" i="30"/>
  <c r="H178" i="30"/>
  <c r="H179" i="30"/>
  <c r="H180" i="30"/>
  <c r="H181" i="30"/>
  <c r="H182" i="30"/>
  <c r="H183" i="30"/>
  <c r="H184" i="30"/>
  <c r="H185" i="30"/>
  <c r="H186" i="30"/>
  <c r="H187" i="30"/>
  <c r="H188" i="30"/>
  <c r="H189" i="30"/>
  <c r="H190" i="30"/>
  <c r="H191" i="30"/>
  <c r="H192" i="30"/>
  <c r="H193" i="30"/>
  <c r="H194" i="30"/>
  <c r="H195" i="30"/>
  <c r="H196" i="30"/>
  <c r="H197" i="30"/>
  <c r="H198" i="30"/>
  <c r="H199" i="30"/>
  <c r="H200" i="30"/>
  <c r="H201" i="30"/>
  <c r="H202" i="30"/>
  <c r="H203" i="30"/>
  <c r="H204" i="30"/>
  <c r="H205" i="30"/>
  <c r="H206" i="30"/>
  <c r="H207" i="30"/>
  <c r="H208" i="30"/>
  <c r="H209" i="30"/>
  <c r="H210" i="30"/>
  <c r="H211" i="30"/>
  <c r="H212" i="30"/>
  <c r="H213" i="30"/>
  <c r="H214" i="30"/>
  <c r="H215" i="30"/>
  <c r="H216" i="30"/>
  <c r="H217" i="30"/>
  <c r="H218" i="30"/>
  <c r="H219" i="30"/>
  <c r="H220" i="30"/>
  <c r="H221" i="30"/>
  <c r="H222" i="30"/>
  <c r="H223" i="30"/>
  <c r="H224" i="30"/>
  <c r="H225" i="30"/>
  <c r="H226" i="30"/>
  <c r="H227" i="30"/>
  <c r="H228" i="30"/>
  <c r="H229" i="30"/>
  <c r="H230" i="30"/>
  <c r="H231" i="30"/>
  <c r="H232" i="30"/>
  <c r="H233" i="30"/>
  <c r="H234" i="30"/>
  <c r="H235" i="30"/>
  <c r="H236" i="30"/>
  <c r="H237" i="30"/>
  <c r="H238" i="30"/>
  <c r="H239" i="30"/>
  <c r="H240" i="30"/>
  <c r="H241" i="30"/>
  <c r="H242" i="30"/>
  <c r="H243" i="30"/>
  <c r="H244" i="30"/>
  <c r="H245" i="30"/>
  <c r="H246" i="30"/>
  <c r="H247" i="30"/>
  <c r="H248" i="30"/>
  <c r="H249" i="30"/>
  <c r="H250" i="30"/>
  <c r="H251" i="30"/>
  <c r="H252" i="30"/>
  <c r="H253" i="30"/>
  <c r="H254" i="30"/>
  <c r="H255" i="30"/>
  <c r="H256" i="30"/>
  <c r="H257" i="30"/>
  <c r="H258" i="30"/>
  <c r="H259" i="30"/>
  <c r="H260" i="30"/>
  <c r="H261" i="30"/>
  <c r="H262" i="30"/>
  <c r="H263" i="30"/>
  <c r="H264" i="30"/>
  <c r="H265" i="30"/>
  <c r="H266" i="30"/>
  <c r="H267" i="30"/>
  <c r="H268" i="30"/>
  <c r="H269" i="30"/>
  <c r="H270" i="30"/>
  <c r="H271" i="30"/>
  <c r="H272" i="30"/>
  <c r="H273" i="30"/>
  <c r="H274" i="30"/>
  <c r="H275" i="30"/>
  <c r="H276" i="30"/>
  <c r="H277" i="30"/>
  <c r="H278" i="30"/>
  <c r="H279" i="30"/>
  <c r="H280" i="30"/>
  <c r="H281" i="30"/>
  <c r="H282" i="30"/>
  <c r="H283" i="30"/>
  <c r="H284" i="30"/>
  <c r="H285" i="30"/>
  <c r="H286" i="30"/>
  <c r="H287" i="30"/>
  <c r="H288" i="30"/>
  <c r="H289" i="30"/>
  <c r="H290" i="30"/>
  <c r="H291" i="30"/>
  <c r="H292" i="30"/>
  <c r="H293" i="30"/>
  <c r="H294" i="30"/>
  <c r="H295" i="30"/>
  <c r="H296" i="30"/>
  <c r="H297" i="30"/>
  <c r="H298" i="30"/>
  <c r="H299" i="30"/>
  <c r="H300" i="30"/>
  <c r="H301" i="30"/>
  <c r="H302" i="30"/>
  <c r="H303" i="30"/>
  <c r="H304" i="30"/>
  <c r="H305" i="30"/>
  <c r="H306" i="30"/>
  <c r="H307" i="30"/>
  <c r="H308" i="30"/>
  <c r="H309" i="30"/>
  <c r="H310" i="30"/>
  <c r="H311" i="30"/>
  <c r="H312" i="30"/>
  <c r="H313" i="30"/>
  <c r="H314" i="30"/>
  <c r="H315" i="30"/>
  <c r="H316" i="30"/>
  <c r="H317" i="30"/>
  <c r="H318" i="30"/>
  <c r="H319" i="30"/>
  <c r="H320" i="30"/>
  <c r="H321" i="30"/>
  <c r="H322" i="30"/>
  <c r="H323" i="30"/>
  <c r="H324" i="30"/>
  <c r="H325" i="30"/>
  <c r="H326" i="30"/>
  <c r="H327" i="30"/>
  <c r="H328" i="30"/>
  <c r="H329" i="30"/>
  <c r="H330" i="30"/>
  <c r="H331" i="30"/>
  <c r="H332" i="30"/>
  <c r="H333" i="30"/>
  <c r="H334" i="30"/>
  <c r="H335" i="30"/>
  <c r="H336" i="30"/>
  <c r="H337" i="30"/>
  <c r="H338" i="30"/>
  <c r="H339" i="30"/>
  <c r="H340" i="30"/>
  <c r="H341" i="30"/>
  <c r="H342" i="30"/>
  <c r="H343" i="30"/>
  <c r="H344" i="30"/>
  <c r="H345" i="30"/>
  <c r="H346" i="30"/>
  <c r="H347" i="30"/>
  <c r="H348" i="30"/>
  <c r="H349" i="30"/>
  <c r="H350" i="30"/>
  <c r="H351" i="30"/>
  <c r="H352" i="30"/>
  <c r="H353" i="30"/>
  <c r="H354" i="30"/>
  <c r="H355" i="30"/>
  <c r="H356" i="30"/>
  <c r="H357" i="30"/>
  <c r="H358" i="30"/>
  <c r="H359" i="30"/>
  <c r="H360" i="30"/>
  <c r="H361" i="30"/>
  <c r="H362" i="30"/>
  <c r="H363" i="30"/>
  <c r="H364" i="30"/>
  <c r="H365" i="30"/>
  <c r="H366" i="30"/>
  <c r="H367" i="30"/>
  <c r="H368" i="30"/>
  <c r="H369" i="30"/>
  <c r="H370" i="30"/>
  <c r="H371" i="30"/>
  <c r="H372" i="30"/>
  <c r="H373" i="30"/>
  <c r="H374" i="30"/>
  <c r="H375" i="30"/>
  <c r="H376" i="30"/>
  <c r="H377" i="30"/>
  <c r="H378" i="30"/>
  <c r="H379" i="30"/>
  <c r="H380" i="30"/>
  <c r="H381" i="30"/>
  <c r="H382" i="30"/>
  <c r="H383" i="30"/>
  <c r="H384" i="30"/>
  <c r="H385" i="30"/>
  <c r="H386" i="30"/>
  <c r="H387" i="30"/>
  <c r="H388" i="30"/>
  <c r="H389" i="30"/>
  <c r="H390" i="30"/>
  <c r="H391" i="30"/>
  <c r="H392" i="30"/>
  <c r="H393" i="30"/>
  <c r="H394" i="30"/>
  <c r="H395" i="30"/>
  <c r="H396" i="30"/>
  <c r="H397" i="30"/>
  <c r="H398" i="30"/>
  <c r="H399" i="30"/>
  <c r="H400" i="30"/>
  <c r="H401" i="30"/>
  <c r="H402" i="30"/>
  <c r="H403" i="30"/>
  <c r="H404" i="30"/>
  <c r="H405" i="30"/>
  <c r="H406" i="30"/>
  <c r="H407" i="30"/>
  <c r="H408" i="30"/>
  <c r="H409" i="30"/>
  <c r="H410" i="30"/>
  <c r="H411" i="30"/>
  <c r="H412" i="30"/>
  <c r="H413" i="30"/>
  <c r="H414" i="30"/>
  <c r="H415" i="30"/>
  <c r="H416" i="30"/>
  <c r="H417" i="30"/>
  <c r="H418" i="30"/>
  <c r="H419" i="30"/>
  <c r="H420" i="30"/>
  <c r="H421" i="30"/>
  <c r="H422" i="30"/>
  <c r="H423" i="30"/>
  <c r="H424" i="30"/>
  <c r="H425" i="30"/>
  <c r="H426" i="30"/>
  <c r="H427" i="30"/>
  <c r="H428" i="30"/>
  <c r="H429" i="30"/>
  <c r="H430" i="30"/>
  <c r="H431" i="30"/>
  <c r="H432" i="30"/>
  <c r="H433" i="30"/>
  <c r="H434" i="30"/>
  <c r="H435" i="30"/>
  <c r="H436" i="30"/>
  <c r="H437" i="30"/>
  <c r="H438" i="30"/>
  <c r="H439" i="30"/>
  <c r="H440" i="30"/>
  <c r="H441" i="30"/>
  <c r="H442" i="30"/>
  <c r="H443" i="30"/>
  <c r="H444" i="30"/>
  <c r="H445" i="30"/>
  <c r="H446" i="30"/>
  <c r="H447" i="30"/>
  <c r="H448" i="30"/>
  <c r="H449" i="30"/>
  <c r="H450" i="30"/>
  <c r="H451" i="30"/>
  <c r="H452" i="30"/>
  <c r="H453" i="30"/>
  <c r="H454" i="30"/>
  <c r="H455" i="30"/>
  <c r="H456" i="30"/>
  <c r="H457" i="30"/>
  <c r="H458" i="30"/>
  <c r="H459" i="30"/>
  <c r="H460" i="30"/>
  <c r="H461" i="30"/>
  <c r="H462" i="30"/>
  <c r="H463" i="30"/>
  <c r="H464" i="30"/>
  <c r="H465" i="30"/>
  <c r="H466" i="30"/>
  <c r="H467" i="30"/>
  <c r="H468" i="30"/>
  <c r="H469" i="30"/>
  <c r="H470" i="30"/>
  <c r="H471" i="30"/>
  <c r="H472" i="30"/>
  <c r="H473" i="30"/>
  <c r="H474" i="30"/>
  <c r="H475" i="30"/>
  <c r="H476" i="30"/>
  <c r="H477" i="30"/>
  <c r="H478" i="30"/>
  <c r="H479" i="30"/>
  <c r="H480" i="30"/>
  <c r="H481" i="30"/>
  <c r="H482" i="30"/>
  <c r="H483" i="30"/>
  <c r="H484" i="30"/>
  <c r="H485" i="30"/>
  <c r="H486" i="30"/>
  <c r="H487" i="30"/>
  <c r="H488" i="30"/>
  <c r="H489" i="30"/>
  <c r="H490" i="30"/>
  <c r="H491" i="30"/>
  <c r="H492" i="30"/>
  <c r="H493" i="30"/>
  <c r="H494" i="30"/>
  <c r="H495" i="30"/>
  <c r="H496" i="30"/>
  <c r="H497" i="30"/>
  <c r="H498" i="30"/>
  <c r="H499" i="30"/>
  <c r="H500" i="30"/>
  <c r="H501" i="30"/>
  <c r="H502" i="30"/>
  <c r="H503" i="30"/>
  <c r="H504" i="30"/>
  <c r="H505" i="30"/>
  <c r="H506" i="30"/>
  <c r="H507" i="30"/>
  <c r="H508" i="30"/>
  <c r="H509" i="30"/>
  <c r="H510" i="30"/>
  <c r="H511" i="30"/>
  <c r="H512" i="30"/>
  <c r="H513" i="30"/>
  <c r="H514" i="30"/>
  <c r="H515" i="30"/>
  <c r="H516" i="30"/>
  <c r="H517" i="30"/>
  <c r="H518" i="30"/>
  <c r="H519" i="30"/>
  <c r="H520" i="30"/>
  <c r="H521" i="30"/>
  <c r="H522" i="30"/>
  <c r="H523" i="30"/>
  <c r="H524" i="30"/>
  <c r="H525" i="30"/>
  <c r="H526" i="30"/>
  <c r="H527" i="30"/>
  <c r="H528" i="30"/>
  <c r="H529" i="30"/>
  <c r="H530" i="30"/>
  <c r="H531" i="30"/>
  <c r="H532" i="30"/>
  <c r="H533" i="30"/>
  <c r="H534" i="30"/>
  <c r="H535" i="30"/>
  <c r="H536" i="30"/>
  <c r="H537" i="30"/>
  <c r="H538" i="30"/>
  <c r="H539" i="30"/>
  <c r="H540" i="30"/>
  <c r="H541" i="30"/>
  <c r="H542" i="30"/>
  <c r="H543" i="30"/>
  <c r="H544" i="30"/>
  <c r="H545" i="30"/>
  <c r="H546" i="30"/>
  <c r="H547" i="30"/>
  <c r="H548" i="30"/>
  <c r="H549" i="30"/>
  <c r="H550" i="30"/>
  <c r="H551" i="30"/>
  <c r="H552" i="30"/>
  <c r="H553" i="30"/>
  <c r="H554" i="30"/>
  <c r="H555" i="30"/>
  <c r="H556" i="30"/>
  <c r="H557" i="30"/>
  <c r="H558" i="30"/>
  <c r="H559" i="30"/>
  <c r="H560" i="30"/>
  <c r="H561" i="30"/>
  <c r="H562" i="30"/>
  <c r="H563" i="30"/>
  <c r="H564" i="30"/>
  <c r="H565" i="30"/>
  <c r="H566" i="30"/>
  <c r="H567" i="30"/>
  <c r="H568" i="30"/>
  <c r="H569" i="30"/>
  <c r="H570" i="30"/>
  <c r="H571" i="30"/>
  <c r="H572" i="30"/>
  <c r="H573" i="30"/>
  <c r="H574" i="30"/>
  <c r="H575" i="30"/>
  <c r="H576" i="30"/>
  <c r="H577" i="30"/>
  <c r="H578" i="30"/>
  <c r="H579" i="30"/>
  <c r="H580" i="30"/>
  <c r="H581" i="30"/>
  <c r="H582" i="30"/>
  <c r="H583" i="30"/>
  <c r="H584" i="30"/>
  <c r="H585" i="30"/>
  <c r="H586" i="30"/>
  <c r="H587" i="30"/>
  <c r="H588" i="30"/>
  <c r="H589" i="30"/>
  <c r="H590" i="30"/>
  <c r="H591" i="30"/>
  <c r="H592" i="30"/>
  <c r="H593" i="30"/>
  <c r="H594" i="30"/>
  <c r="H595" i="30"/>
  <c r="H596" i="30"/>
  <c r="H597" i="30"/>
  <c r="H598" i="30"/>
  <c r="H599" i="30"/>
  <c r="H600" i="30"/>
  <c r="H601" i="30"/>
  <c r="H602" i="30"/>
  <c r="H603" i="30"/>
  <c r="H604" i="30"/>
  <c r="H605" i="30"/>
  <c r="H606" i="30"/>
  <c r="H607" i="30"/>
  <c r="H608" i="30"/>
  <c r="H609" i="30"/>
  <c r="H610" i="30"/>
  <c r="H611" i="30"/>
  <c r="H612" i="30"/>
  <c r="H613" i="30"/>
  <c r="H614" i="30"/>
  <c r="H615" i="30"/>
  <c r="H616" i="30"/>
  <c r="H617" i="30"/>
  <c r="H618" i="30"/>
  <c r="H619" i="30"/>
  <c r="H620" i="30"/>
  <c r="H621" i="30"/>
  <c r="H622" i="30"/>
  <c r="H623" i="30"/>
  <c r="H624" i="30"/>
  <c r="H625" i="30"/>
  <c r="H626" i="30"/>
  <c r="H627" i="30"/>
  <c r="H628" i="30"/>
  <c r="H629" i="30"/>
  <c r="H630" i="30"/>
  <c r="H631" i="30"/>
  <c r="H632" i="30"/>
  <c r="H633" i="30"/>
  <c r="H634" i="30"/>
  <c r="H635" i="30"/>
  <c r="H636" i="30"/>
  <c r="H637" i="30"/>
  <c r="H638" i="30"/>
  <c r="H639" i="30"/>
  <c r="H640" i="30"/>
  <c r="H641" i="30"/>
  <c r="H642" i="30"/>
  <c r="H643" i="30"/>
  <c r="H644" i="30"/>
  <c r="H645" i="30"/>
  <c r="H646" i="30"/>
  <c r="H647" i="30"/>
  <c r="H648" i="30"/>
  <c r="H649" i="30"/>
  <c r="H650" i="30"/>
  <c r="H651" i="30"/>
  <c r="H652" i="30"/>
  <c r="H653" i="30"/>
  <c r="H654" i="30"/>
  <c r="H655" i="30"/>
  <c r="H656" i="30"/>
  <c r="H657" i="30"/>
  <c r="H658" i="30"/>
  <c r="H659" i="30"/>
  <c r="H660" i="30"/>
  <c r="H661" i="30"/>
  <c r="H662" i="30"/>
  <c r="H663" i="30"/>
  <c r="H664" i="30"/>
  <c r="H665" i="30"/>
  <c r="H666" i="30"/>
  <c r="H667" i="30"/>
  <c r="H668" i="30"/>
  <c r="H669" i="30"/>
  <c r="H670" i="30"/>
  <c r="H671" i="30"/>
  <c r="H672" i="30"/>
  <c r="H673" i="30"/>
  <c r="H674" i="30"/>
  <c r="H675" i="30"/>
  <c r="H676" i="30"/>
  <c r="H677" i="30"/>
  <c r="H678" i="30"/>
  <c r="H679" i="30"/>
  <c r="H680" i="30"/>
  <c r="H681" i="30"/>
  <c r="H682" i="30"/>
  <c r="H683" i="30"/>
  <c r="H684" i="30"/>
  <c r="H685" i="30"/>
  <c r="H686" i="30"/>
  <c r="H687" i="30"/>
  <c r="H688" i="30"/>
  <c r="H689" i="30"/>
  <c r="H690" i="30"/>
  <c r="H691" i="30"/>
  <c r="H692" i="30"/>
  <c r="H693" i="30"/>
  <c r="H694" i="30"/>
  <c r="H695" i="30"/>
  <c r="H696" i="30"/>
  <c r="H697" i="30"/>
  <c r="H698" i="30"/>
  <c r="H699" i="30"/>
  <c r="H700" i="30"/>
  <c r="H701" i="30"/>
  <c r="H702" i="30"/>
  <c r="H703" i="30"/>
  <c r="H704" i="30"/>
  <c r="H705" i="30"/>
  <c r="H706" i="30"/>
  <c r="H707" i="30"/>
  <c r="H708" i="30"/>
  <c r="H709" i="30"/>
  <c r="H710" i="30"/>
  <c r="H711" i="30"/>
  <c r="H712" i="30"/>
  <c r="H713" i="30"/>
  <c r="H714" i="30"/>
  <c r="H715" i="30"/>
  <c r="H716" i="30"/>
  <c r="H717" i="30"/>
  <c r="H718" i="30"/>
  <c r="H719" i="30"/>
  <c r="H720" i="30"/>
  <c r="H721" i="30"/>
  <c r="H722" i="30"/>
  <c r="H723" i="30"/>
  <c r="H724" i="30"/>
  <c r="H725" i="30"/>
  <c r="H726" i="30"/>
  <c r="H727" i="30"/>
  <c r="H728" i="30"/>
  <c r="H729" i="30"/>
  <c r="H730" i="30"/>
  <c r="H731" i="30"/>
  <c r="H732" i="30"/>
  <c r="H733" i="30"/>
  <c r="H734" i="30"/>
  <c r="H735" i="30"/>
  <c r="H736" i="30"/>
  <c r="H737" i="30"/>
  <c r="H738" i="30"/>
  <c r="H739" i="30"/>
  <c r="H740" i="30"/>
  <c r="H741" i="30"/>
  <c r="H742" i="30"/>
  <c r="H743" i="30"/>
  <c r="H744" i="30"/>
  <c r="H745" i="30"/>
  <c r="H746" i="30"/>
  <c r="H747" i="30"/>
  <c r="H748" i="30"/>
  <c r="H749" i="30"/>
  <c r="H750" i="30"/>
  <c r="H751" i="30"/>
  <c r="H752" i="30"/>
  <c r="H753" i="30"/>
  <c r="H754" i="30"/>
  <c r="H755" i="30"/>
  <c r="H756" i="30"/>
  <c r="H757" i="30"/>
  <c r="H758" i="30"/>
  <c r="H759" i="30"/>
  <c r="H760" i="30"/>
  <c r="H761" i="30"/>
  <c r="H762" i="30"/>
  <c r="H763" i="30"/>
  <c r="H764" i="30"/>
  <c r="H765" i="30"/>
  <c r="H766" i="30"/>
  <c r="H767" i="30"/>
  <c r="H768" i="30"/>
  <c r="H769" i="30"/>
  <c r="H770" i="30"/>
  <c r="H771" i="30"/>
  <c r="H772" i="30"/>
  <c r="H773" i="30"/>
  <c r="H774" i="30"/>
  <c r="H775" i="30"/>
  <c r="H776" i="30"/>
  <c r="H777" i="30"/>
  <c r="H778" i="30"/>
  <c r="H779" i="30"/>
  <c r="H780" i="30"/>
  <c r="H781" i="30"/>
  <c r="H782" i="30"/>
  <c r="H783" i="30"/>
  <c r="H784" i="30"/>
  <c r="H785" i="30"/>
  <c r="H786" i="30"/>
  <c r="H787" i="30"/>
  <c r="H788" i="30"/>
  <c r="H789" i="30"/>
  <c r="H790" i="30"/>
  <c r="H791" i="30"/>
  <c r="H792" i="30"/>
  <c r="H793" i="30"/>
  <c r="H794" i="30"/>
  <c r="H795" i="30"/>
  <c r="H796" i="30"/>
  <c r="H797" i="30"/>
  <c r="H798" i="30"/>
  <c r="H799" i="30"/>
  <c r="H800" i="30"/>
  <c r="H801" i="30"/>
  <c r="H802" i="30"/>
  <c r="H803" i="30"/>
  <c r="H804" i="30"/>
  <c r="H805" i="30"/>
  <c r="H806" i="30"/>
  <c r="H807" i="30"/>
  <c r="H808" i="30"/>
  <c r="H809" i="30"/>
  <c r="H810" i="30"/>
  <c r="H811" i="30"/>
  <c r="H812" i="30"/>
  <c r="H813" i="30"/>
  <c r="H814" i="30"/>
  <c r="H815" i="30"/>
  <c r="H816" i="30"/>
  <c r="H817" i="30"/>
  <c r="H818" i="30"/>
  <c r="H819" i="30"/>
  <c r="H820" i="30"/>
  <c r="H821" i="30"/>
  <c r="H822" i="30"/>
  <c r="H823" i="30"/>
  <c r="H824" i="30"/>
  <c r="H825" i="30"/>
  <c r="H826" i="30"/>
  <c r="H827" i="30"/>
  <c r="H828" i="30"/>
  <c r="H829" i="30"/>
  <c r="H830" i="30"/>
  <c r="H831" i="30"/>
  <c r="H832" i="30"/>
  <c r="H833" i="30"/>
  <c r="H834" i="30"/>
  <c r="H835" i="30"/>
  <c r="H836" i="30"/>
  <c r="H837" i="30"/>
  <c r="H838" i="30"/>
  <c r="H839" i="30"/>
  <c r="H840" i="30"/>
  <c r="H841" i="30"/>
  <c r="H842" i="30"/>
  <c r="H843" i="30"/>
  <c r="H844" i="30"/>
  <c r="H845" i="30"/>
  <c r="H846" i="30"/>
  <c r="H847" i="30"/>
  <c r="H848" i="30"/>
  <c r="H849" i="30"/>
  <c r="H850" i="30"/>
  <c r="H851" i="30"/>
  <c r="H852" i="30"/>
  <c r="H853" i="30"/>
  <c r="H854" i="30"/>
  <c r="H855" i="30"/>
  <c r="H856" i="30"/>
  <c r="H857" i="30"/>
  <c r="H858" i="30"/>
  <c r="H859" i="30"/>
  <c r="H860" i="30"/>
  <c r="H861" i="30"/>
  <c r="H862" i="30"/>
  <c r="H863" i="30"/>
  <c r="H864" i="30"/>
  <c r="H865" i="30"/>
  <c r="H866" i="30"/>
  <c r="H867" i="30"/>
  <c r="H868" i="30"/>
  <c r="H869" i="30"/>
  <c r="H870" i="30"/>
  <c r="H871" i="30"/>
  <c r="H872" i="30"/>
  <c r="H873" i="30"/>
  <c r="H874" i="30"/>
  <c r="H875" i="30"/>
  <c r="H876" i="30"/>
  <c r="H877" i="30"/>
  <c r="H878" i="30"/>
  <c r="H879" i="30"/>
  <c r="H880" i="30"/>
  <c r="H881" i="30"/>
  <c r="H882" i="30"/>
  <c r="H883" i="30"/>
  <c r="H884" i="30"/>
  <c r="H885" i="30"/>
  <c r="H886" i="30"/>
  <c r="H887" i="30"/>
  <c r="H888" i="30"/>
  <c r="H889" i="30"/>
  <c r="H890" i="30"/>
  <c r="H891" i="30"/>
  <c r="H892" i="30"/>
  <c r="H893" i="30"/>
  <c r="H894" i="30"/>
  <c r="H895" i="30"/>
  <c r="H896" i="30"/>
  <c r="H897" i="30"/>
  <c r="H898" i="30"/>
  <c r="H899" i="30"/>
  <c r="H900" i="30"/>
  <c r="H901" i="30"/>
  <c r="H902" i="30"/>
  <c r="H903" i="30"/>
  <c r="H904" i="30"/>
  <c r="H905" i="30"/>
  <c r="H906" i="30"/>
  <c r="H907" i="30"/>
  <c r="H908" i="30"/>
  <c r="H909" i="30"/>
  <c r="H910" i="30"/>
  <c r="H911" i="30"/>
  <c r="H912" i="30"/>
  <c r="H913" i="30"/>
  <c r="H914" i="30"/>
  <c r="H915" i="30"/>
  <c r="H916" i="30"/>
  <c r="H917" i="30"/>
  <c r="H918" i="30"/>
  <c r="H919" i="30"/>
  <c r="H920" i="30"/>
  <c r="H921" i="30"/>
  <c r="H922" i="30"/>
  <c r="H923" i="30"/>
  <c r="H924" i="30"/>
  <c r="H925" i="30"/>
  <c r="H926" i="30"/>
  <c r="H927" i="30"/>
  <c r="H928" i="30"/>
  <c r="H929" i="30"/>
  <c r="H930" i="30"/>
  <c r="H931" i="30"/>
  <c r="H932" i="30"/>
  <c r="H933" i="30"/>
  <c r="H934" i="30"/>
  <c r="H935" i="30"/>
  <c r="H936" i="30"/>
  <c r="H937" i="30"/>
  <c r="H938" i="30"/>
  <c r="H939" i="30"/>
  <c r="H940" i="30"/>
  <c r="H941" i="30"/>
  <c r="H942" i="30"/>
  <c r="H943" i="30"/>
  <c r="H944" i="30"/>
  <c r="H945" i="30"/>
  <c r="H946" i="30"/>
  <c r="H947" i="30"/>
  <c r="H948" i="30"/>
  <c r="H949" i="30"/>
  <c r="H950" i="30"/>
  <c r="H951" i="30"/>
  <c r="H952" i="30"/>
  <c r="H953" i="30"/>
  <c r="H954" i="30"/>
  <c r="H955" i="30"/>
  <c r="H956" i="30"/>
  <c r="H957" i="30"/>
  <c r="H958" i="30"/>
  <c r="H959" i="30"/>
  <c r="H960" i="30"/>
  <c r="H961" i="30"/>
  <c r="H962" i="30"/>
  <c r="H963" i="30"/>
  <c r="H964" i="30"/>
  <c r="H965" i="30"/>
  <c r="H966" i="30"/>
  <c r="H967" i="30"/>
  <c r="H968" i="30"/>
  <c r="H969" i="30"/>
  <c r="H970" i="30"/>
  <c r="H971" i="30"/>
  <c r="H972" i="30"/>
  <c r="H973" i="30"/>
  <c r="H974" i="30"/>
  <c r="H975" i="30"/>
  <c r="H976" i="30"/>
  <c r="H977" i="30"/>
  <c r="H978" i="30"/>
  <c r="H979" i="30"/>
  <c r="H980" i="30"/>
  <c r="H981" i="30"/>
  <c r="H982" i="30"/>
  <c r="H983" i="30"/>
  <c r="H984" i="30"/>
  <c r="H985" i="30"/>
  <c r="H986" i="30"/>
  <c r="H987" i="30"/>
  <c r="H988" i="30"/>
  <c r="H989" i="30"/>
  <c r="H990" i="30"/>
  <c r="H991" i="30"/>
  <c r="H992" i="30"/>
  <c r="H993" i="30"/>
  <c r="H994" i="30"/>
  <c r="H995" i="30"/>
  <c r="H996" i="30"/>
  <c r="H997" i="30"/>
  <c r="H998" i="30"/>
  <c r="H999" i="30"/>
  <c r="H1000" i="30"/>
  <c r="H1001" i="30"/>
  <c r="H1002" i="30"/>
  <c r="H1003" i="30"/>
  <c r="H1004" i="30"/>
  <c r="H1005" i="30"/>
  <c r="H1006" i="30"/>
  <c r="H1007" i="30"/>
  <c r="H1008" i="30"/>
  <c r="H1009" i="30"/>
  <c r="H1010" i="30"/>
  <c r="H1011" i="30"/>
  <c r="H1012" i="30"/>
  <c r="H1013" i="30"/>
  <c r="H1014" i="30"/>
  <c r="H1015" i="30"/>
  <c r="H1016" i="30"/>
  <c r="H1017" i="30"/>
  <c r="H1018" i="30"/>
  <c r="H1019" i="30"/>
  <c r="H1020" i="30"/>
  <c r="H1021" i="30"/>
  <c r="H1022" i="30"/>
  <c r="H1023" i="30"/>
  <c r="H1024" i="30"/>
  <c r="H1025" i="30"/>
  <c r="H1026" i="30"/>
  <c r="H1027" i="30"/>
  <c r="H1028" i="30"/>
  <c r="H1029" i="30"/>
  <c r="H1030" i="30"/>
  <c r="H1031" i="30"/>
  <c r="H1032" i="30"/>
  <c r="H1033" i="30"/>
  <c r="H1034" i="30"/>
  <c r="H1035" i="30"/>
  <c r="H1036" i="30"/>
  <c r="H1037" i="30"/>
  <c r="H1038" i="30"/>
  <c r="H1039" i="30"/>
  <c r="H1040" i="30"/>
  <c r="H1041" i="30"/>
  <c r="H1042" i="30"/>
  <c r="H1043" i="30"/>
  <c r="H1044" i="30"/>
  <c r="H1045" i="30"/>
  <c r="H1046" i="30"/>
  <c r="H1047" i="30"/>
  <c r="H1048" i="30"/>
  <c r="H1049" i="30"/>
  <c r="H1050" i="30"/>
  <c r="H1051" i="30"/>
  <c r="H1052" i="30"/>
  <c r="H1053" i="30"/>
  <c r="H1054" i="30"/>
  <c r="H1055" i="30"/>
  <c r="H1056" i="30"/>
  <c r="H1057" i="30"/>
  <c r="H1058" i="30"/>
  <c r="H1059" i="30"/>
  <c r="H1060" i="30"/>
  <c r="H1061" i="30"/>
  <c r="H1062" i="30"/>
  <c r="H1063" i="30"/>
  <c r="H1064" i="30"/>
  <c r="H1065" i="30"/>
  <c r="H1066" i="30"/>
  <c r="H1067" i="30"/>
  <c r="H1068" i="30"/>
  <c r="H1069" i="30"/>
  <c r="H1070" i="30"/>
  <c r="H1071" i="30"/>
  <c r="H1072" i="30"/>
  <c r="H1073" i="30"/>
  <c r="H1074" i="30"/>
  <c r="H1075" i="30"/>
  <c r="H1076" i="30"/>
  <c r="H1077" i="30"/>
  <c r="H1078" i="30"/>
  <c r="H1079" i="30"/>
  <c r="H1080" i="30"/>
  <c r="H1081" i="30"/>
  <c r="H1082" i="30"/>
  <c r="H1083" i="30"/>
  <c r="H1084" i="30"/>
  <c r="H1085" i="30"/>
  <c r="H1086" i="30"/>
  <c r="H1087" i="30"/>
  <c r="H1088" i="30"/>
  <c r="H1089" i="30"/>
  <c r="H1090" i="30"/>
  <c r="H1091" i="30"/>
  <c r="H1092" i="30"/>
  <c r="H1093" i="30"/>
  <c r="H1094" i="30"/>
  <c r="H1095" i="30"/>
  <c r="H1096" i="30"/>
  <c r="H1097" i="30"/>
  <c r="H1098" i="30"/>
  <c r="H1099" i="30"/>
  <c r="H1100" i="30"/>
  <c r="H1101" i="30"/>
  <c r="H1102" i="30"/>
  <c r="H1103" i="30"/>
  <c r="H1104" i="30"/>
  <c r="H1105" i="30"/>
  <c r="H1106" i="30"/>
  <c r="H1107" i="30"/>
  <c r="H1108" i="30"/>
  <c r="H1109" i="30"/>
  <c r="H1110" i="30"/>
  <c r="H1111" i="30"/>
  <c r="H1112" i="30"/>
  <c r="H1113" i="30"/>
  <c r="H1114" i="30"/>
  <c r="H1115" i="30"/>
  <c r="H1116" i="30"/>
  <c r="H1117" i="30"/>
  <c r="H1118" i="30"/>
  <c r="H1119" i="30"/>
  <c r="H1120" i="30"/>
  <c r="H1121" i="30"/>
  <c r="H1122" i="30"/>
  <c r="H1123" i="30"/>
  <c r="H1124" i="30"/>
  <c r="H1125" i="30"/>
  <c r="H1126" i="30"/>
  <c r="H1127" i="30"/>
  <c r="H1128" i="30"/>
  <c r="H1129" i="30"/>
  <c r="H1130" i="30"/>
  <c r="H1131" i="30"/>
  <c r="H1132" i="30"/>
  <c r="H1133" i="30"/>
  <c r="H1134" i="30"/>
  <c r="H1135" i="30"/>
  <c r="H1136" i="30"/>
  <c r="H1137" i="30"/>
  <c r="H1138" i="30"/>
  <c r="H1139" i="30"/>
  <c r="H1140" i="30"/>
  <c r="H1141" i="30"/>
  <c r="H1142" i="30"/>
  <c r="H1143" i="30"/>
  <c r="H1144" i="30"/>
  <c r="H1145" i="30"/>
  <c r="H1146" i="30"/>
  <c r="H1147" i="30"/>
  <c r="H1148" i="30"/>
  <c r="H1149" i="30"/>
  <c r="H1150" i="30"/>
  <c r="H1151" i="30"/>
  <c r="H1152" i="30"/>
  <c r="H1153" i="30"/>
  <c r="H1154" i="30"/>
  <c r="H1155" i="30"/>
  <c r="H1156" i="30"/>
  <c r="H1157" i="30"/>
  <c r="H1158" i="30"/>
  <c r="H1159" i="30"/>
  <c r="H1160" i="30"/>
  <c r="H1161" i="30"/>
  <c r="H1162" i="30"/>
  <c r="H1163" i="30"/>
  <c r="H1164" i="30"/>
  <c r="H1165" i="30"/>
  <c r="H1166" i="30"/>
  <c r="H1167" i="30"/>
  <c r="H1168" i="30"/>
  <c r="H1169" i="30"/>
  <c r="H1170" i="30"/>
  <c r="H1171" i="30"/>
  <c r="H1172" i="30"/>
  <c r="H1173" i="30"/>
  <c r="H1174" i="30"/>
  <c r="H1175" i="30"/>
  <c r="H1176" i="30"/>
  <c r="H1177" i="30"/>
  <c r="H1178" i="30"/>
  <c r="H1179" i="30"/>
  <c r="H1180" i="30"/>
  <c r="H1181" i="30"/>
  <c r="H1182" i="30"/>
  <c r="H1183" i="30"/>
  <c r="H1184" i="30"/>
  <c r="H1185" i="30"/>
  <c r="H1186" i="30"/>
  <c r="H1187" i="30"/>
  <c r="H1188" i="30"/>
  <c r="H1189" i="30"/>
  <c r="H1190" i="30"/>
  <c r="H1191" i="30"/>
  <c r="H1192" i="30"/>
  <c r="H1193" i="30"/>
  <c r="H1194" i="30"/>
  <c r="H1195" i="30"/>
  <c r="H1196" i="30"/>
  <c r="H1197" i="30"/>
  <c r="H1198" i="30"/>
  <c r="H1199" i="30"/>
  <c r="H1200" i="30"/>
  <c r="H1201" i="30"/>
  <c r="H1202" i="30"/>
  <c r="H1203" i="30"/>
  <c r="H1204" i="30"/>
  <c r="H1205" i="30"/>
  <c r="H1206" i="30"/>
  <c r="H1207" i="30"/>
  <c r="H1208" i="30"/>
  <c r="H1209" i="30"/>
  <c r="H1210" i="30"/>
  <c r="H1211" i="30"/>
  <c r="H1212" i="30"/>
  <c r="H1213" i="30"/>
  <c r="H1214" i="30"/>
  <c r="H1215" i="30"/>
  <c r="H1216" i="30"/>
  <c r="H1217" i="30"/>
  <c r="H1218" i="30"/>
  <c r="H1219" i="30"/>
  <c r="H1220" i="30"/>
  <c r="H1221" i="30"/>
  <c r="H1222" i="30"/>
  <c r="H1223" i="30"/>
  <c r="H1224" i="30"/>
  <c r="H1225" i="30"/>
  <c r="H1226" i="30"/>
  <c r="H1227" i="30"/>
  <c r="H1228" i="30"/>
  <c r="H1229" i="30"/>
  <c r="H1230" i="30"/>
  <c r="H1231" i="30"/>
  <c r="H1232" i="30"/>
  <c r="H1233" i="30"/>
  <c r="H1234" i="30"/>
  <c r="H1235" i="30"/>
  <c r="H1236" i="30"/>
  <c r="H1237" i="30"/>
  <c r="H1238" i="30"/>
  <c r="H1239" i="30"/>
  <c r="H1240" i="30"/>
  <c r="H1241" i="30"/>
  <c r="H1242" i="30"/>
  <c r="H1243" i="30"/>
  <c r="H1244" i="30"/>
  <c r="H1245" i="30"/>
  <c r="H1246" i="30"/>
  <c r="H1247" i="30"/>
  <c r="H1248" i="30"/>
  <c r="H1249" i="30"/>
  <c r="H1250" i="30"/>
  <c r="H1251" i="30"/>
  <c r="H1252" i="30"/>
  <c r="H1253" i="30"/>
  <c r="H1254" i="30"/>
  <c r="H1255" i="30"/>
  <c r="H1256" i="30"/>
  <c r="H1257" i="30"/>
  <c r="H1258" i="30"/>
  <c r="H1259" i="30"/>
  <c r="H1260" i="30"/>
  <c r="H1261" i="30"/>
  <c r="H1262" i="30"/>
  <c r="H1263" i="30"/>
  <c r="H1264" i="30"/>
  <c r="H1265" i="30"/>
  <c r="H1266" i="30"/>
  <c r="H1267" i="30"/>
  <c r="H1268" i="30"/>
  <c r="H1269" i="30"/>
  <c r="H1270" i="30"/>
  <c r="H1271" i="30"/>
  <c r="H1272" i="30"/>
  <c r="H1273" i="30"/>
  <c r="H1274" i="30"/>
  <c r="H1275" i="30"/>
  <c r="H1276" i="30"/>
  <c r="H1277" i="30"/>
  <c r="H1278" i="30"/>
  <c r="H1279" i="30"/>
  <c r="H1280" i="30"/>
  <c r="H1281" i="30"/>
  <c r="H1282" i="30"/>
  <c r="H1283" i="30"/>
  <c r="H1284" i="30"/>
  <c r="H1285" i="30"/>
  <c r="H1286" i="30"/>
  <c r="H1287" i="30"/>
  <c r="H1288" i="30"/>
  <c r="H1289" i="30"/>
  <c r="H1290" i="30"/>
  <c r="H1291" i="30"/>
  <c r="H1292" i="30"/>
  <c r="H1293" i="30"/>
  <c r="H1294" i="30"/>
  <c r="H1295" i="30"/>
  <c r="H1296" i="30"/>
  <c r="H1297" i="30"/>
  <c r="H1298" i="30"/>
  <c r="H1299" i="30"/>
  <c r="H1300" i="30"/>
  <c r="H1301" i="30"/>
  <c r="H1302" i="30"/>
  <c r="H1303" i="30"/>
  <c r="H1304" i="30"/>
  <c r="H1305" i="30"/>
  <c r="H1306" i="30"/>
  <c r="H2" i="30"/>
  <c r="G3" i="30"/>
  <c r="G4" i="30"/>
  <c r="G7" i="30"/>
  <c r="G8" i="30"/>
  <c r="G9" i="30"/>
  <c r="G10" i="30"/>
  <c r="G11" i="30"/>
  <c r="G13" i="30"/>
  <c r="G2" i="30"/>
  <c r="Q355" i="21"/>
  <c r="Q379" i="21"/>
  <c r="Q378" i="21"/>
  <c r="Q377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4" i="21"/>
  <c r="Q363" i="21"/>
  <c r="Q362" i="21"/>
  <c r="Q361" i="21"/>
  <c r="Q360" i="21"/>
  <c r="Q359" i="21"/>
  <c r="Q358" i="21"/>
  <c r="Q357" i="21"/>
  <c r="Q356" i="21"/>
  <c r="Q354" i="21"/>
  <c r="Q353" i="21"/>
  <c r="Q352" i="21"/>
  <c r="Q341" i="21"/>
  <c r="Q340" i="21"/>
  <c r="Q339" i="21"/>
  <c r="Q351" i="21"/>
  <c r="Q350" i="21"/>
  <c r="Q349" i="21"/>
  <c r="Q348" i="21"/>
  <c r="Q347" i="21"/>
  <c r="Q346" i="21"/>
  <c r="Q345" i="21"/>
  <c r="Q344" i="21"/>
  <c r="Q343" i="21"/>
  <c r="Q342" i="21"/>
  <c r="Q338" i="21"/>
  <c r="Q337" i="21"/>
  <c r="Q336" i="21"/>
  <c r="Q335" i="21"/>
  <c r="Q334" i="21"/>
  <c r="Q333" i="21"/>
  <c r="Q332" i="21"/>
  <c r="Q331" i="21"/>
  <c r="Q330" i="21"/>
  <c r="Q329" i="21"/>
  <c r="Q328" i="21"/>
  <c r="Q327" i="21"/>
  <c r="Q326" i="21"/>
  <c r="Q325" i="21"/>
  <c r="Q324" i="21"/>
  <c r="Q321" i="21"/>
  <c r="Q320" i="21"/>
  <c r="Q319" i="21"/>
  <c r="Q318" i="21"/>
  <c r="Q317" i="21"/>
  <c r="Q316" i="21"/>
  <c r="Q315" i="21"/>
  <c r="Q314" i="21"/>
  <c r="Q313" i="21"/>
  <c r="Q312" i="21"/>
  <c r="Q311" i="21"/>
  <c r="Q310" i="21"/>
  <c r="Q309" i="21"/>
  <c r="Q308" i="21"/>
  <c r="Q307" i="21"/>
  <c r="Q306" i="21"/>
  <c r="Q305" i="21"/>
  <c r="Q304" i="21"/>
  <c r="Q303" i="21"/>
  <c r="Q302" i="21"/>
  <c r="Q301" i="21"/>
  <c r="Q300" i="21"/>
  <c r="Q299" i="21"/>
  <c r="Q298" i="21"/>
  <c r="Q297" i="21"/>
  <c r="Q296" i="21"/>
  <c r="Q295" i="21"/>
  <c r="Q291" i="21"/>
  <c r="Q290" i="21"/>
  <c r="Q289" i="21"/>
  <c r="Q288" i="21"/>
  <c r="Q287" i="21"/>
  <c r="Q286" i="21"/>
  <c r="Q285" i="21"/>
  <c r="Q284" i="21"/>
  <c r="Q283" i="21"/>
  <c r="Q282" i="21"/>
  <c r="Q281" i="21"/>
  <c r="Q280" i="21"/>
  <c r="Q279" i="21"/>
  <c r="Q278" i="21"/>
  <c r="Q277" i="21"/>
  <c r="Q276" i="21"/>
  <c r="Q275" i="21"/>
  <c r="Q274" i="21"/>
  <c r="Q273" i="21"/>
  <c r="Q272" i="21"/>
  <c r="Q271" i="21"/>
  <c r="Q270" i="21"/>
  <c r="Q269" i="21"/>
  <c r="Q268" i="21"/>
  <c r="Q267" i="21"/>
  <c r="Q265" i="21"/>
  <c r="Q264" i="21"/>
  <c r="Q263" i="2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H4" i="26"/>
  <c r="I16" i="26" l="1"/>
  <c r="H9" i="26"/>
  <c r="H13" i="26"/>
  <c r="N6" i="26" s="1"/>
  <c r="I20" i="30"/>
  <c r="I21" i="30"/>
  <c r="G21" i="30" s="1"/>
  <c r="I22" i="30"/>
  <c r="N22" i="30" s="1"/>
  <c r="I23" i="30"/>
  <c r="I24" i="30"/>
  <c r="I25" i="30"/>
  <c r="G25" i="30" s="1"/>
  <c r="I26" i="30"/>
  <c r="I27" i="30"/>
  <c r="I28" i="30"/>
  <c r="I29" i="30"/>
  <c r="G29" i="30" s="1"/>
  <c r="I30" i="30"/>
  <c r="I31" i="30"/>
  <c r="I32" i="30"/>
  <c r="I33" i="30"/>
  <c r="G33" i="30" s="1"/>
  <c r="I34" i="30"/>
  <c r="I35" i="30"/>
  <c r="G35" i="30" s="1"/>
  <c r="I36" i="30"/>
  <c r="G36" i="30" s="1"/>
  <c r="I37" i="30"/>
  <c r="I38" i="30"/>
  <c r="I39" i="30"/>
  <c r="G39" i="30" s="1"/>
  <c r="I40" i="30"/>
  <c r="G40" i="30" s="1"/>
  <c r="I41" i="30"/>
  <c r="G41" i="30" s="1"/>
  <c r="I42" i="30"/>
  <c r="G42" i="30" s="1"/>
  <c r="I43" i="30"/>
  <c r="G43" i="30" s="1"/>
  <c r="I44" i="30"/>
  <c r="G44" i="30" s="1"/>
  <c r="I45" i="30"/>
  <c r="I46" i="30"/>
  <c r="I47" i="30"/>
  <c r="G47" i="30" s="1"/>
  <c r="I48" i="30"/>
  <c r="G48" i="30" s="1"/>
  <c r="I49" i="30"/>
  <c r="G49" i="30" s="1"/>
  <c r="I50" i="30"/>
  <c r="I51" i="30"/>
  <c r="G51" i="30" s="1"/>
  <c r="I52" i="30"/>
  <c r="G52" i="30" s="1"/>
  <c r="I53" i="30"/>
  <c r="I54" i="30"/>
  <c r="I55" i="30"/>
  <c r="G55" i="30" s="1"/>
  <c r="I56" i="30"/>
  <c r="G56" i="30" s="1"/>
  <c r="I57" i="30"/>
  <c r="I58" i="30"/>
  <c r="G58" i="30" s="1"/>
  <c r="I59" i="30"/>
  <c r="G59" i="30" s="1"/>
  <c r="I60" i="30"/>
  <c r="I61" i="30"/>
  <c r="I62" i="30"/>
  <c r="G62" i="30" s="1"/>
  <c r="I63" i="30"/>
  <c r="G63" i="30" s="1"/>
  <c r="I64" i="30"/>
  <c r="G64" i="30" s="1"/>
  <c r="I65" i="30"/>
  <c r="I66" i="30"/>
  <c r="G66" i="30" s="1"/>
  <c r="I67" i="30"/>
  <c r="G67" i="30" s="1"/>
  <c r="I68" i="30"/>
  <c r="M68" i="30" s="1"/>
  <c r="I69" i="30"/>
  <c r="G69" i="30" s="1"/>
  <c r="I70" i="30"/>
  <c r="G70" i="30" s="1"/>
  <c r="I71" i="30"/>
  <c r="G71" i="30" s="1"/>
  <c r="I72" i="30"/>
  <c r="M72" i="30" s="1"/>
  <c r="I73" i="30"/>
  <c r="M73" i="30" s="1"/>
  <c r="I74" i="30"/>
  <c r="G74" i="30" s="1"/>
  <c r="I75" i="30"/>
  <c r="G75" i="30" s="1"/>
  <c r="I76" i="30"/>
  <c r="M76" i="30" s="1"/>
  <c r="I77" i="30"/>
  <c r="G77" i="30" s="1"/>
  <c r="I78" i="30"/>
  <c r="G78" i="30" s="1"/>
  <c r="I79" i="30"/>
  <c r="G79" i="30" s="1"/>
  <c r="I80" i="30"/>
  <c r="G80" i="30" s="1"/>
  <c r="I81" i="30"/>
  <c r="I82" i="30"/>
  <c r="G82" i="30" s="1"/>
  <c r="I83" i="30"/>
  <c r="G83" i="30" s="1"/>
  <c r="I84" i="30"/>
  <c r="M84" i="30" s="1"/>
  <c r="I85" i="30"/>
  <c r="I86" i="30"/>
  <c r="G86" i="30" s="1"/>
  <c r="I87" i="30"/>
  <c r="G87" i="30" s="1"/>
  <c r="I88" i="30"/>
  <c r="M88" i="30" s="1"/>
  <c r="I89" i="30"/>
  <c r="I90" i="30"/>
  <c r="G90" i="30" s="1"/>
  <c r="G91" i="30"/>
  <c r="M92" i="30"/>
  <c r="I94" i="30"/>
  <c r="G94" i="30" s="1"/>
  <c r="I95" i="30"/>
  <c r="G95" i="30" s="1"/>
  <c r="I96" i="30"/>
  <c r="G96" i="30" s="1"/>
  <c r="I97" i="30"/>
  <c r="G97" i="30" s="1"/>
  <c r="I98" i="30"/>
  <c r="G98" i="30" s="1"/>
  <c r="I99" i="30"/>
  <c r="G99" i="30" s="1"/>
  <c r="I100" i="30"/>
  <c r="M100" i="30" s="1"/>
  <c r="I101" i="30"/>
  <c r="I102" i="30"/>
  <c r="G102" i="30" s="1"/>
  <c r="I103" i="30"/>
  <c r="G103" i="30" s="1"/>
  <c r="I104" i="30"/>
  <c r="M104" i="30" s="1"/>
  <c r="I105" i="30"/>
  <c r="G105" i="30" s="1"/>
  <c r="I106" i="30"/>
  <c r="G106" i="30" s="1"/>
  <c r="I107" i="30"/>
  <c r="G107" i="30" s="1"/>
  <c r="I108" i="30"/>
  <c r="M108" i="30" s="1"/>
  <c r="I109" i="30"/>
  <c r="I110" i="30"/>
  <c r="G110" i="30" s="1"/>
  <c r="I111" i="30"/>
  <c r="G111" i="30" s="1"/>
  <c r="I112" i="30"/>
  <c r="G112" i="30" s="1"/>
  <c r="I113" i="30"/>
  <c r="I114" i="30"/>
  <c r="G114" i="30" s="1"/>
  <c r="I115" i="30"/>
  <c r="I116" i="30"/>
  <c r="M116" i="30" s="1"/>
  <c r="I117" i="30"/>
  <c r="I118" i="30"/>
  <c r="G118" i="30" s="1"/>
  <c r="I119" i="30"/>
  <c r="G119" i="30" s="1"/>
  <c r="I120" i="30"/>
  <c r="M120" i="30" s="1"/>
  <c r="I121" i="30"/>
  <c r="I122" i="30"/>
  <c r="G122" i="30" s="1"/>
  <c r="I123" i="30"/>
  <c r="G123" i="30" s="1"/>
  <c r="I124" i="30"/>
  <c r="I125" i="30"/>
  <c r="I126" i="30"/>
  <c r="G126" i="30" s="1"/>
  <c r="I127" i="30"/>
  <c r="G127" i="30" s="1"/>
  <c r="I128" i="30"/>
  <c r="G128" i="30" s="1"/>
  <c r="I129" i="30"/>
  <c r="I130" i="30"/>
  <c r="G130" i="30" s="1"/>
  <c r="I131" i="30"/>
  <c r="G131" i="30" s="1"/>
  <c r="I132" i="30"/>
  <c r="M132" i="30" s="1"/>
  <c r="I133" i="30"/>
  <c r="G133" i="30" s="1"/>
  <c r="I134" i="30"/>
  <c r="G134" i="30" s="1"/>
  <c r="I135" i="30"/>
  <c r="G135" i="30" s="1"/>
  <c r="I136" i="30"/>
  <c r="M136" i="30" s="1"/>
  <c r="I137" i="30"/>
  <c r="I138" i="30"/>
  <c r="G138" i="30" s="1"/>
  <c r="I139" i="30"/>
  <c r="G139" i="30" s="1"/>
  <c r="I140" i="30"/>
  <c r="M140" i="30" s="1"/>
  <c r="I141" i="30"/>
  <c r="G141" i="30" s="1"/>
  <c r="I142" i="30"/>
  <c r="G142" i="30" s="1"/>
  <c r="I143" i="30"/>
  <c r="G143" i="30" s="1"/>
  <c r="I144" i="30"/>
  <c r="G144" i="30" s="1"/>
  <c r="I145" i="30"/>
  <c r="I146" i="30"/>
  <c r="G146" i="30" s="1"/>
  <c r="I147" i="30"/>
  <c r="I148" i="30"/>
  <c r="M148" i="30" s="1"/>
  <c r="I149" i="30"/>
  <c r="M149" i="30" s="1"/>
  <c r="I150" i="30"/>
  <c r="G150" i="30" s="1"/>
  <c r="I151" i="30"/>
  <c r="G151" i="30" s="1"/>
  <c r="I152" i="30"/>
  <c r="M152" i="30" s="1"/>
  <c r="I153" i="30"/>
  <c r="I154" i="30"/>
  <c r="G154" i="30" s="1"/>
  <c r="I155" i="30"/>
  <c r="G155" i="30" s="1"/>
  <c r="I156" i="30"/>
  <c r="I157" i="30"/>
  <c r="I158" i="30"/>
  <c r="G158" i="30" s="1"/>
  <c r="I159" i="30"/>
  <c r="I160" i="30"/>
  <c r="G160" i="30" s="1"/>
  <c r="I161" i="30"/>
  <c r="G161" i="30" s="1"/>
  <c r="I162" i="30"/>
  <c r="G162" i="30" s="1"/>
  <c r="I163" i="30"/>
  <c r="G163" i="30" s="1"/>
  <c r="I164" i="30"/>
  <c r="M164" i="30" s="1"/>
  <c r="I165" i="30"/>
  <c r="I166" i="30"/>
  <c r="G166" i="30" s="1"/>
  <c r="I167" i="30"/>
  <c r="G167" i="30" s="1"/>
  <c r="I168" i="30"/>
  <c r="G168" i="30" s="1"/>
  <c r="I169" i="30"/>
  <c r="G169" i="30" s="1"/>
  <c r="I170" i="30"/>
  <c r="G170" i="30" s="1"/>
  <c r="I171" i="30"/>
  <c r="G171" i="30" s="1"/>
  <c r="I172" i="30"/>
  <c r="G172" i="30" s="1"/>
  <c r="I173" i="30"/>
  <c r="G173" i="30" s="1"/>
  <c r="I174" i="30"/>
  <c r="G174" i="30" s="1"/>
  <c r="I175" i="30"/>
  <c r="G175" i="30" s="1"/>
  <c r="I176" i="30"/>
  <c r="G176" i="30" s="1"/>
  <c r="I177" i="30"/>
  <c r="G177" i="30" s="1"/>
  <c r="I178" i="30"/>
  <c r="G178" i="30" s="1"/>
  <c r="I179" i="30"/>
  <c r="G179" i="30" s="1"/>
  <c r="I180" i="30"/>
  <c r="G180" i="30" s="1"/>
  <c r="I181" i="30"/>
  <c r="G181" i="30" s="1"/>
  <c r="I182" i="30"/>
  <c r="G182" i="30" s="1"/>
  <c r="I183" i="30"/>
  <c r="G183" i="30" s="1"/>
  <c r="I184" i="30"/>
  <c r="G184" i="30" s="1"/>
  <c r="I185" i="30"/>
  <c r="G185" i="30" s="1"/>
  <c r="I186" i="30"/>
  <c r="G186" i="30" s="1"/>
  <c r="I187" i="30"/>
  <c r="G187" i="30" s="1"/>
  <c r="I188" i="30"/>
  <c r="G188" i="30" s="1"/>
  <c r="I189" i="30"/>
  <c r="G189" i="30" s="1"/>
  <c r="I190" i="30"/>
  <c r="G190" i="30" s="1"/>
  <c r="I191" i="30"/>
  <c r="G191" i="30" s="1"/>
  <c r="I192" i="30"/>
  <c r="G192" i="30" s="1"/>
  <c r="I193" i="30"/>
  <c r="G193" i="30" s="1"/>
  <c r="I194" i="30"/>
  <c r="G194" i="30" s="1"/>
  <c r="I195" i="30"/>
  <c r="G195" i="30" s="1"/>
  <c r="I196" i="30"/>
  <c r="G196" i="30" s="1"/>
  <c r="I197" i="30"/>
  <c r="G197" i="30" s="1"/>
  <c r="I198" i="30"/>
  <c r="G198" i="30" s="1"/>
  <c r="I199" i="30"/>
  <c r="G199" i="30" s="1"/>
  <c r="I200" i="30"/>
  <c r="G200" i="30" s="1"/>
  <c r="I201" i="30"/>
  <c r="G201" i="30" s="1"/>
  <c r="I202" i="30"/>
  <c r="G202" i="30" s="1"/>
  <c r="I203" i="30"/>
  <c r="G203" i="30" s="1"/>
  <c r="I204" i="30"/>
  <c r="G204" i="30" s="1"/>
  <c r="I205" i="30"/>
  <c r="G205" i="30" s="1"/>
  <c r="I206" i="30"/>
  <c r="G206" i="30" s="1"/>
  <c r="I207" i="30"/>
  <c r="G207" i="30" s="1"/>
  <c r="I208" i="30"/>
  <c r="G208" i="30" s="1"/>
  <c r="I209" i="30"/>
  <c r="G209" i="30" s="1"/>
  <c r="I210" i="30"/>
  <c r="G210" i="30" s="1"/>
  <c r="I211" i="30"/>
  <c r="G211" i="30" s="1"/>
  <c r="I212" i="30"/>
  <c r="G212" i="30" s="1"/>
  <c r="I213" i="30"/>
  <c r="G213" i="30" s="1"/>
  <c r="I214" i="30"/>
  <c r="G214" i="30" s="1"/>
  <c r="I215" i="30"/>
  <c r="G215" i="30" s="1"/>
  <c r="I216" i="30"/>
  <c r="G216" i="30" s="1"/>
  <c r="I217" i="30"/>
  <c r="G217" i="30" s="1"/>
  <c r="I218" i="30"/>
  <c r="G218" i="30" s="1"/>
  <c r="I219" i="30"/>
  <c r="G219" i="30" s="1"/>
  <c r="I220" i="30"/>
  <c r="G220" i="30" s="1"/>
  <c r="I221" i="30"/>
  <c r="G221" i="30" s="1"/>
  <c r="I222" i="30"/>
  <c r="G222" i="30" s="1"/>
  <c r="I223" i="30"/>
  <c r="G223" i="30" s="1"/>
  <c r="I224" i="30"/>
  <c r="G224" i="30" s="1"/>
  <c r="I225" i="30"/>
  <c r="G225" i="30" s="1"/>
  <c r="I226" i="30"/>
  <c r="G226" i="30" s="1"/>
  <c r="I227" i="30"/>
  <c r="G227" i="30" s="1"/>
  <c r="I228" i="30"/>
  <c r="G228" i="30" s="1"/>
  <c r="I229" i="30"/>
  <c r="G229" i="30" s="1"/>
  <c r="I230" i="30"/>
  <c r="G230" i="30" s="1"/>
  <c r="I231" i="30"/>
  <c r="G231" i="30" s="1"/>
  <c r="I232" i="30"/>
  <c r="G232" i="30" s="1"/>
  <c r="I233" i="30"/>
  <c r="G233" i="30" s="1"/>
  <c r="I234" i="30"/>
  <c r="G234" i="30" s="1"/>
  <c r="I235" i="30"/>
  <c r="G235" i="30" s="1"/>
  <c r="I236" i="30"/>
  <c r="G236" i="30" s="1"/>
  <c r="I237" i="30"/>
  <c r="G237" i="30" s="1"/>
  <c r="I238" i="30"/>
  <c r="G238" i="30" s="1"/>
  <c r="I239" i="30"/>
  <c r="G239" i="30" s="1"/>
  <c r="I240" i="30"/>
  <c r="G240" i="30" s="1"/>
  <c r="I241" i="30"/>
  <c r="G241" i="30" s="1"/>
  <c r="I242" i="30"/>
  <c r="G242" i="30" s="1"/>
  <c r="I243" i="30"/>
  <c r="G243" i="30" s="1"/>
  <c r="I244" i="30"/>
  <c r="G244" i="30" s="1"/>
  <c r="I245" i="30"/>
  <c r="G245" i="30" s="1"/>
  <c r="I246" i="30"/>
  <c r="G246" i="30" s="1"/>
  <c r="I247" i="30"/>
  <c r="G247" i="30" s="1"/>
  <c r="I248" i="30"/>
  <c r="G248" i="30" s="1"/>
  <c r="I249" i="30"/>
  <c r="G249" i="30" s="1"/>
  <c r="I250" i="30"/>
  <c r="G250" i="30" s="1"/>
  <c r="I251" i="30"/>
  <c r="G251" i="30" s="1"/>
  <c r="I252" i="30"/>
  <c r="G252" i="30" s="1"/>
  <c r="I253" i="30"/>
  <c r="G253" i="30" s="1"/>
  <c r="I254" i="30"/>
  <c r="G254" i="30" s="1"/>
  <c r="I255" i="30"/>
  <c r="G255" i="30" s="1"/>
  <c r="I256" i="30"/>
  <c r="G256" i="30" s="1"/>
  <c r="I257" i="30"/>
  <c r="G257" i="30" s="1"/>
  <c r="I258" i="30"/>
  <c r="G258" i="30" s="1"/>
  <c r="I259" i="30"/>
  <c r="G259" i="30" s="1"/>
  <c r="I260" i="30"/>
  <c r="G260" i="30" s="1"/>
  <c r="I261" i="30"/>
  <c r="G261" i="30" s="1"/>
  <c r="I262" i="30"/>
  <c r="G262" i="30" s="1"/>
  <c r="I263" i="30"/>
  <c r="G263" i="30" s="1"/>
  <c r="I264" i="30"/>
  <c r="G264" i="30" s="1"/>
  <c r="I265" i="30"/>
  <c r="G265" i="30" s="1"/>
  <c r="I266" i="30"/>
  <c r="G266" i="30" s="1"/>
  <c r="I267" i="30"/>
  <c r="G267" i="30" s="1"/>
  <c r="I268" i="30"/>
  <c r="G268" i="30" s="1"/>
  <c r="I269" i="30"/>
  <c r="G269" i="30" s="1"/>
  <c r="I270" i="30"/>
  <c r="G270" i="30" s="1"/>
  <c r="I271" i="30"/>
  <c r="G271" i="30" s="1"/>
  <c r="I272" i="30"/>
  <c r="G272" i="30" s="1"/>
  <c r="I273" i="30"/>
  <c r="G273" i="30" s="1"/>
  <c r="I274" i="30"/>
  <c r="G274" i="30" s="1"/>
  <c r="I275" i="30"/>
  <c r="G275" i="30" s="1"/>
  <c r="I276" i="30"/>
  <c r="G276" i="30" s="1"/>
  <c r="I277" i="30"/>
  <c r="G277" i="30" s="1"/>
  <c r="I278" i="30"/>
  <c r="G278" i="30" s="1"/>
  <c r="I279" i="30"/>
  <c r="G279" i="30" s="1"/>
  <c r="I280" i="30"/>
  <c r="G280" i="30" s="1"/>
  <c r="I281" i="30"/>
  <c r="G281" i="30" s="1"/>
  <c r="I282" i="30"/>
  <c r="G282" i="30" s="1"/>
  <c r="I283" i="30"/>
  <c r="G283" i="30" s="1"/>
  <c r="I284" i="30"/>
  <c r="G284" i="30" s="1"/>
  <c r="I285" i="30"/>
  <c r="G285" i="30" s="1"/>
  <c r="I286" i="30"/>
  <c r="G286" i="30" s="1"/>
  <c r="I287" i="30"/>
  <c r="G287" i="30" s="1"/>
  <c r="I288" i="30"/>
  <c r="G288" i="30" s="1"/>
  <c r="I289" i="30"/>
  <c r="G289" i="30" s="1"/>
  <c r="I290" i="30"/>
  <c r="G290" i="30" s="1"/>
  <c r="I291" i="30"/>
  <c r="G291" i="30" s="1"/>
  <c r="I292" i="30"/>
  <c r="G292" i="30" s="1"/>
  <c r="I293" i="30"/>
  <c r="G293" i="30" s="1"/>
  <c r="I294" i="30"/>
  <c r="G294" i="30" s="1"/>
  <c r="I295" i="30"/>
  <c r="G295" i="30" s="1"/>
  <c r="I296" i="30"/>
  <c r="G296" i="30" s="1"/>
  <c r="I297" i="30"/>
  <c r="G297" i="30" s="1"/>
  <c r="I298" i="30"/>
  <c r="G298" i="30" s="1"/>
  <c r="I299" i="30"/>
  <c r="G299" i="30" s="1"/>
  <c r="I300" i="30"/>
  <c r="G300" i="30" s="1"/>
  <c r="I301" i="30"/>
  <c r="G301" i="30" s="1"/>
  <c r="I302" i="30"/>
  <c r="G302" i="30" s="1"/>
  <c r="I303" i="30"/>
  <c r="G303" i="30" s="1"/>
  <c r="I304" i="30"/>
  <c r="G304" i="30" s="1"/>
  <c r="I305" i="30"/>
  <c r="G305" i="30" s="1"/>
  <c r="I306" i="30"/>
  <c r="G306" i="30" s="1"/>
  <c r="I307" i="30"/>
  <c r="G307" i="30" s="1"/>
  <c r="I308" i="30"/>
  <c r="G308" i="30" s="1"/>
  <c r="I309" i="30"/>
  <c r="G309" i="30" s="1"/>
  <c r="I310" i="30"/>
  <c r="G310" i="30" s="1"/>
  <c r="I311" i="30"/>
  <c r="G311" i="30" s="1"/>
  <c r="I312" i="30"/>
  <c r="G312" i="30" s="1"/>
  <c r="I313" i="30"/>
  <c r="G313" i="30" s="1"/>
  <c r="I314" i="30"/>
  <c r="G314" i="30" s="1"/>
  <c r="I315" i="30"/>
  <c r="G315" i="30" s="1"/>
  <c r="I316" i="30"/>
  <c r="G316" i="30" s="1"/>
  <c r="I317" i="30"/>
  <c r="G317" i="30" s="1"/>
  <c r="I318" i="30"/>
  <c r="G318" i="30" s="1"/>
  <c r="I319" i="30"/>
  <c r="G319" i="30" s="1"/>
  <c r="I320" i="30"/>
  <c r="G320" i="30" s="1"/>
  <c r="I321" i="30"/>
  <c r="G321" i="30" s="1"/>
  <c r="I322" i="30"/>
  <c r="G322" i="30" s="1"/>
  <c r="I323" i="30"/>
  <c r="G323" i="30" s="1"/>
  <c r="I324" i="30"/>
  <c r="G324" i="30" s="1"/>
  <c r="I325" i="30"/>
  <c r="G325" i="30" s="1"/>
  <c r="I326" i="30"/>
  <c r="G326" i="30" s="1"/>
  <c r="I327" i="30"/>
  <c r="G327" i="30" s="1"/>
  <c r="I328" i="30"/>
  <c r="G328" i="30" s="1"/>
  <c r="I329" i="30"/>
  <c r="G329" i="30" s="1"/>
  <c r="I330" i="30"/>
  <c r="G330" i="30" s="1"/>
  <c r="I331" i="30"/>
  <c r="G331" i="30" s="1"/>
  <c r="I332" i="30"/>
  <c r="G332" i="30" s="1"/>
  <c r="I333" i="30"/>
  <c r="G333" i="30" s="1"/>
  <c r="I334" i="30"/>
  <c r="G334" i="30" s="1"/>
  <c r="I335" i="30"/>
  <c r="G335" i="30" s="1"/>
  <c r="I336" i="30"/>
  <c r="G336" i="30" s="1"/>
  <c r="I337" i="30"/>
  <c r="G337" i="30" s="1"/>
  <c r="I338" i="30"/>
  <c r="G338" i="30" s="1"/>
  <c r="I339" i="30"/>
  <c r="G339" i="30" s="1"/>
  <c r="I340" i="30"/>
  <c r="G340" i="30" s="1"/>
  <c r="I341" i="30"/>
  <c r="G341" i="30" s="1"/>
  <c r="I342" i="30"/>
  <c r="G342" i="30" s="1"/>
  <c r="I343" i="30"/>
  <c r="G343" i="30" s="1"/>
  <c r="I344" i="30"/>
  <c r="G344" i="30" s="1"/>
  <c r="I345" i="30"/>
  <c r="G345" i="30" s="1"/>
  <c r="I346" i="30"/>
  <c r="G346" i="30" s="1"/>
  <c r="I347" i="30"/>
  <c r="G347" i="30" s="1"/>
  <c r="I348" i="30"/>
  <c r="G348" i="30" s="1"/>
  <c r="I349" i="30"/>
  <c r="G349" i="30" s="1"/>
  <c r="I350" i="30"/>
  <c r="G350" i="30" s="1"/>
  <c r="I351" i="30"/>
  <c r="G351" i="30" s="1"/>
  <c r="I352" i="30"/>
  <c r="G352" i="30" s="1"/>
  <c r="I353" i="30"/>
  <c r="G353" i="30" s="1"/>
  <c r="I354" i="30"/>
  <c r="G354" i="30" s="1"/>
  <c r="I355" i="30"/>
  <c r="G355" i="30" s="1"/>
  <c r="I356" i="30"/>
  <c r="G356" i="30" s="1"/>
  <c r="I357" i="30"/>
  <c r="G357" i="30" s="1"/>
  <c r="I358" i="30"/>
  <c r="G358" i="30" s="1"/>
  <c r="I359" i="30"/>
  <c r="G359" i="30" s="1"/>
  <c r="I360" i="30"/>
  <c r="G360" i="30" s="1"/>
  <c r="I361" i="30"/>
  <c r="G361" i="30" s="1"/>
  <c r="I362" i="30"/>
  <c r="G362" i="30" s="1"/>
  <c r="I363" i="30"/>
  <c r="G363" i="30" s="1"/>
  <c r="I364" i="30"/>
  <c r="G364" i="30" s="1"/>
  <c r="I365" i="30"/>
  <c r="G365" i="30" s="1"/>
  <c r="I366" i="30"/>
  <c r="G366" i="30" s="1"/>
  <c r="I367" i="30"/>
  <c r="G367" i="30" s="1"/>
  <c r="I368" i="30"/>
  <c r="G368" i="30" s="1"/>
  <c r="I369" i="30"/>
  <c r="G369" i="30" s="1"/>
  <c r="I370" i="30"/>
  <c r="G370" i="30" s="1"/>
  <c r="I371" i="30"/>
  <c r="G371" i="30" s="1"/>
  <c r="I372" i="30"/>
  <c r="G372" i="30" s="1"/>
  <c r="I373" i="30"/>
  <c r="G373" i="30" s="1"/>
  <c r="I374" i="30"/>
  <c r="G374" i="30" s="1"/>
  <c r="I375" i="30"/>
  <c r="G375" i="30" s="1"/>
  <c r="I376" i="30"/>
  <c r="G376" i="30" s="1"/>
  <c r="I377" i="30"/>
  <c r="G377" i="30" s="1"/>
  <c r="I378" i="30"/>
  <c r="G378" i="30" s="1"/>
  <c r="I379" i="30"/>
  <c r="G379" i="30" s="1"/>
  <c r="I380" i="30"/>
  <c r="G380" i="30" s="1"/>
  <c r="I381" i="30"/>
  <c r="G381" i="30" s="1"/>
  <c r="I382" i="30"/>
  <c r="G382" i="30" s="1"/>
  <c r="I383" i="30"/>
  <c r="G383" i="30" s="1"/>
  <c r="I384" i="30"/>
  <c r="G384" i="30" s="1"/>
  <c r="I385" i="30"/>
  <c r="G385" i="30" s="1"/>
  <c r="I386" i="30"/>
  <c r="G386" i="30" s="1"/>
  <c r="I387" i="30"/>
  <c r="G387" i="30" s="1"/>
  <c r="I388" i="30"/>
  <c r="G388" i="30" s="1"/>
  <c r="I389" i="30"/>
  <c r="G389" i="30" s="1"/>
  <c r="I390" i="30"/>
  <c r="G390" i="30" s="1"/>
  <c r="I391" i="30"/>
  <c r="G391" i="30" s="1"/>
  <c r="I392" i="30"/>
  <c r="G392" i="30" s="1"/>
  <c r="I393" i="30"/>
  <c r="G393" i="30" s="1"/>
  <c r="I394" i="30"/>
  <c r="G394" i="30" s="1"/>
  <c r="I395" i="30"/>
  <c r="G395" i="30" s="1"/>
  <c r="I396" i="30"/>
  <c r="G396" i="30" s="1"/>
  <c r="I397" i="30"/>
  <c r="G397" i="30" s="1"/>
  <c r="I398" i="30"/>
  <c r="G398" i="30" s="1"/>
  <c r="I399" i="30"/>
  <c r="G399" i="30" s="1"/>
  <c r="I400" i="30"/>
  <c r="G400" i="30" s="1"/>
  <c r="I401" i="30"/>
  <c r="G401" i="30" s="1"/>
  <c r="I402" i="30"/>
  <c r="G402" i="30" s="1"/>
  <c r="I403" i="30"/>
  <c r="G403" i="30" s="1"/>
  <c r="I404" i="30"/>
  <c r="G404" i="30" s="1"/>
  <c r="I405" i="30"/>
  <c r="G405" i="30" s="1"/>
  <c r="I406" i="30"/>
  <c r="G406" i="30" s="1"/>
  <c r="I407" i="30"/>
  <c r="G407" i="30" s="1"/>
  <c r="I408" i="30"/>
  <c r="G408" i="30" s="1"/>
  <c r="I409" i="30"/>
  <c r="G409" i="30" s="1"/>
  <c r="I410" i="30"/>
  <c r="G410" i="30" s="1"/>
  <c r="I411" i="30"/>
  <c r="G411" i="30" s="1"/>
  <c r="I412" i="30"/>
  <c r="G412" i="30" s="1"/>
  <c r="I413" i="30"/>
  <c r="G413" i="30" s="1"/>
  <c r="I414" i="30"/>
  <c r="G414" i="30" s="1"/>
  <c r="I415" i="30"/>
  <c r="G415" i="30" s="1"/>
  <c r="I416" i="30"/>
  <c r="G416" i="30" s="1"/>
  <c r="I417" i="30"/>
  <c r="G417" i="30" s="1"/>
  <c r="I418" i="30"/>
  <c r="G418" i="30" s="1"/>
  <c r="I419" i="30"/>
  <c r="G419" i="30" s="1"/>
  <c r="I420" i="30"/>
  <c r="G420" i="30" s="1"/>
  <c r="I421" i="30"/>
  <c r="G421" i="30" s="1"/>
  <c r="I422" i="30"/>
  <c r="G422" i="30" s="1"/>
  <c r="I423" i="30"/>
  <c r="G423" i="30" s="1"/>
  <c r="I424" i="30"/>
  <c r="G424" i="30" s="1"/>
  <c r="I425" i="30"/>
  <c r="G425" i="30" s="1"/>
  <c r="I426" i="30"/>
  <c r="G426" i="30" s="1"/>
  <c r="I427" i="30"/>
  <c r="G427" i="30" s="1"/>
  <c r="I428" i="30"/>
  <c r="G428" i="30" s="1"/>
  <c r="I429" i="30"/>
  <c r="G429" i="30" s="1"/>
  <c r="I430" i="30"/>
  <c r="G430" i="30" s="1"/>
  <c r="I431" i="30"/>
  <c r="G431" i="30" s="1"/>
  <c r="I432" i="30"/>
  <c r="G432" i="30" s="1"/>
  <c r="I433" i="30"/>
  <c r="G433" i="30" s="1"/>
  <c r="I434" i="30"/>
  <c r="G434" i="30" s="1"/>
  <c r="I435" i="30"/>
  <c r="G435" i="30" s="1"/>
  <c r="I436" i="30"/>
  <c r="G436" i="30" s="1"/>
  <c r="I437" i="30"/>
  <c r="G437" i="30" s="1"/>
  <c r="I438" i="30"/>
  <c r="G438" i="30" s="1"/>
  <c r="I439" i="30"/>
  <c r="G439" i="30" s="1"/>
  <c r="I440" i="30"/>
  <c r="G440" i="30" s="1"/>
  <c r="I441" i="30"/>
  <c r="G441" i="30" s="1"/>
  <c r="I442" i="30"/>
  <c r="G442" i="30" s="1"/>
  <c r="I443" i="30"/>
  <c r="G443" i="30" s="1"/>
  <c r="I444" i="30"/>
  <c r="G444" i="30" s="1"/>
  <c r="I445" i="30"/>
  <c r="G445" i="30" s="1"/>
  <c r="I446" i="30"/>
  <c r="G446" i="30" s="1"/>
  <c r="I447" i="30"/>
  <c r="G447" i="30" s="1"/>
  <c r="I448" i="30"/>
  <c r="G448" i="30" s="1"/>
  <c r="I449" i="30"/>
  <c r="G449" i="30" s="1"/>
  <c r="I450" i="30"/>
  <c r="G450" i="30" s="1"/>
  <c r="I451" i="30"/>
  <c r="G451" i="30" s="1"/>
  <c r="I452" i="30"/>
  <c r="G452" i="30" s="1"/>
  <c r="I453" i="30"/>
  <c r="G453" i="30" s="1"/>
  <c r="I454" i="30"/>
  <c r="G454" i="30" s="1"/>
  <c r="I455" i="30"/>
  <c r="G455" i="30" s="1"/>
  <c r="I456" i="30"/>
  <c r="G456" i="30" s="1"/>
  <c r="I457" i="30"/>
  <c r="G457" i="30" s="1"/>
  <c r="I458" i="30"/>
  <c r="G458" i="30" s="1"/>
  <c r="I459" i="30"/>
  <c r="G459" i="30" s="1"/>
  <c r="I460" i="30"/>
  <c r="G460" i="30" s="1"/>
  <c r="I461" i="30"/>
  <c r="G461" i="30" s="1"/>
  <c r="I462" i="30"/>
  <c r="G462" i="30" s="1"/>
  <c r="I463" i="30"/>
  <c r="G463" i="30" s="1"/>
  <c r="I464" i="30"/>
  <c r="G464" i="30" s="1"/>
  <c r="I465" i="30"/>
  <c r="G465" i="30" s="1"/>
  <c r="I466" i="30"/>
  <c r="G466" i="30" s="1"/>
  <c r="I467" i="30"/>
  <c r="G467" i="30" s="1"/>
  <c r="I468" i="30"/>
  <c r="G468" i="30" s="1"/>
  <c r="I469" i="30"/>
  <c r="G469" i="30" s="1"/>
  <c r="I470" i="30"/>
  <c r="G470" i="30" s="1"/>
  <c r="I471" i="30"/>
  <c r="G471" i="30" s="1"/>
  <c r="I472" i="30"/>
  <c r="G472" i="30" s="1"/>
  <c r="I473" i="30"/>
  <c r="G473" i="30" s="1"/>
  <c r="I474" i="30"/>
  <c r="G474" i="30" s="1"/>
  <c r="I475" i="30"/>
  <c r="G475" i="30" s="1"/>
  <c r="I476" i="30"/>
  <c r="G476" i="30" s="1"/>
  <c r="I477" i="30"/>
  <c r="G477" i="30" s="1"/>
  <c r="I478" i="30"/>
  <c r="G478" i="30" s="1"/>
  <c r="I479" i="30"/>
  <c r="G479" i="30" s="1"/>
  <c r="I480" i="30"/>
  <c r="G480" i="30" s="1"/>
  <c r="I481" i="30"/>
  <c r="G481" i="30" s="1"/>
  <c r="I482" i="30"/>
  <c r="G482" i="30" s="1"/>
  <c r="I483" i="30"/>
  <c r="G483" i="30" s="1"/>
  <c r="I484" i="30"/>
  <c r="G484" i="30" s="1"/>
  <c r="I485" i="30"/>
  <c r="G485" i="30" s="1"/>
  <c r="I486" i="30"/>
  <c r="G486" i="30" s="1"/>
  <c r="I487" i="30"/>
  <c r="G487" i="30" s="1"/>
  <c r="I488" i="30"/>
  <c r="G488" i="30" s="1"/>
  <c r="I489" i="30"/>
  <c r="G489" i="30" s="1"/>
  <c r="I490" i="30"/>
  <c r="G490" i="30" s="1"/>
  <c r="I491" i="30"/>
  <c r="G491" i="30" s="1"/>
  <c r="I492" i="30"/>
  <c r="G492" i="30" s="1"/>
  <c r="I493" i="30"/>
  <c r="G493" i="30" s="1"/>
  <c r="I494" i="30"/>
  <c r="G494" i="30" s="1"/>
  <c r="I495" i="30"/>
  <c r="G495" i="30" s="1"/>
  <c r="I496" i="30"/>
  <c r="G496" i="30" s="1"/>
  <c r="I497" i="30"/>
  <c r="G497" i="30" s="1"/>
  <c r="I498" i="30"/>
  <c r="G498" i="30" s="1"/>
  <c r="I499" i="30"/>
  <c r="G499" i="30" s="1"/>
  <c r="I500" i="30"/>
  <c r="G500" i="30" s="1"/>
  <c r="I501" i="30"/>
  <c r="G501" i="30" s="1"/>
  <c r="I502" i="30"/>
  <c r="G502" i="30" s="1"/>
  <c r="I503" i="30"/>
  <c r="G503" i="30" s="1"/>
  <c r="I504" i="30"/>
  <c r="G504" i="30" s="1"/>
  <c r="I505" i="30"/>
  <c r="G505" i="30" s="1"/>
  <c r="I506" i="30"/>
  <c r="G506" i="30" s="1"/>
  <c r="I507" i="30"/>
  <c r="G507" i="30" s="1"/>
  <c r="I508" i="30"/>
  <c r="G508" i="30" s="1"/>
  <c r="I509" i="30"/>
  <c r="G509" i="30" s="1"/>
  <c r="I510" i="30"/>
  <c r="G510" i="30" s="1"/>
  <c r="I511" i="30"/>
  <c r="G511" i="30" s="1"/>
  <c r="I512" i="30"/>
  <c r="G512" i="30" s="1"/>
  <c r="I513" i="30"/>
  <c r="G513" i="30" s="1"/>
  <c r="I514" i="30"/>
  <c r="G514" i="30" s="1"/>
  <c r="I515" i="30"/>
  <c r="G515" i="30" s="1"/>
  <c r="I516" i="30"/>
  <c r="G516" i="30" s="1"/>
  <c r="I517" i="30"/>
  <c r="G517" i="30" s="1"/>
  <c r="I518" i="30"/>
  <c r="G518" i="30" s="1"/>
  <c r="I519" i="30"/>
  <c r="G519" i="30" s="1"/>
  <c r="I520" i="30"/>
  <c r="G520" i="30" s="1"/>
  <c r="I521" i="30"/>
  <c r="G521" i="30" s="1"/>
  <c r="I522" i="30"/>
  <c r="G522" i="30" s="1"/>
  <c r="I523" i="30"/>
  <c r="G523" i="30" s="1"/>
  <c r="I524" i="30"/>
  <c r="G524" i="30" s="1"/>
  <c r="I525" i="30"/>
  <c r="G525" i="30" s="1"/>
  <c r="I526" i="30"/>
  <c r="G526" i="30" s="1"/>
  <c r="I527" i="30"/>
  <c r="G527" i="30" s="1"/>
  <c r="I528" i="30"/>
  <c r="G528" i="30" s="1"/>
  <c r="I529" i="30"/>
  <c r="G529" i="30" s="1"/>
  <c r="I530" i="30"/>
  <c r="G530" i="30" s="1"/>
  <c r="I531" i="30"/>
  <c r="G531" i="30" s="1"/>
  <c r="I532" i="30"/>
  <c r="G532" i="30" s="1"/>
  <c r="I533" i="30"/>
  <c r="G533" i="30" s="1"/>
  <c r="I534" i="30"/>
  <c r="G534" i="30" s="1"/>
  <c r="I535" i="30"/>
  <c r="G535" i="30" s="1"/>
  <c r="I536" i="30"/>
  <c r="G536" i="30" s="1"/>
  <c r="I537" i="30"/>
  <c r="G537" i="30" s="1"/>
  <c r="I538" i="30"/>
  <c r="G538" i="30" s="1"/>
  <c r="I539" i="30"/>
  <c r="G539" i="30" s="1"/>
  <c r="I540" i="30"/>
  <c r="G540" i="30" s="1"/>
  <c r="I541" i="30"/>
  <c r="G541" i="30" s="1"/>
  <c r="I542" i="30"/>
  <c r="G542" i="30" s="1"/>
  <c r="I543" i="30"/>
  <c r="G543" i="30" s="1"/>
  <c r="I544" i="30"/>
  <c r="G544" i="30" s="1"/>
  <c r="I545" i="30"/>
  <c r="G545" i="30" s="1"/>
  <c r="I546" i="30"/>
  <c r="G546" i="30" s="1"/>
  <c r="I547" i="30"/>
  <c r="G547" i="30" s="1"/>
  <c r="I548" i="30"/>
  <c r="G548" i="30" s="1"/>
  <c r="I549" i="30"/>
  <c r="G549" i="30" s="1"/>
  <c r="I550" i="30"/>
  <c r="G550" i="30" s="1"/>
  <c r="I551" i="30"/>
  <c r="G551" i="30" s="1"/>
  <c r="I552" i="30"/>
  <c r="G552" i="30" s="1"/>
  <c r="I553" i="30"/>
  <c r="G553" i="30" s="1"/>
  <c r="I554" i="30"/>
  <c r="G554" i="30" s="1"/>
  <c r="I555" i="30"/>
  <c r="G555" i="30" s="1"/>
  <c r="I556" i="30"/>
  <c r="G556" i="30" s="1"/>
  <c r="I557" i="30"/>
  <c r="G557" i="30" s="1"/>
  <c r="I558" i="30"/>
  <c r="G558" i="30" s="1"/>
  <c r="I559" i="30"/>
  <c r="G559" i="30" s="1"/>
  <c r="I560" i="30"/>
  <c r="G560" i="30" s="1"/>
  <c r="I561" i="30"/>
  <c r="G561" i="30" s="1"/>
  <c r="I562" i="30"/>
  <c r="G562" i="30" s="1"/>
  <c r="I563" i="30"/>
  <c r="G563" i="30" s="1"/>
  <c r="I564" i="30"/>
  <c r="G564" i="30" s="1"/>
  <c r="I565" i="30"/>
  <c r="G565" i="30" s="1"/>
  <c r="I566" i="30"/>
  <c r="G566" i="30" s="1"/>
  <c r="I567" i="30"/>
  <c r="G567" i="30" s="1"/>
  <c r="I568" i="30"/>
  <c r="G568" i="30" s="1"/>
  <c r="I569" i="30"/>
  <c r="G569" i="30" s="1"/>
  <c r="I570" i="30"/>
  <c r="G570" i="30" s="1"/>
  <c r="I571" i="30"/>
  <c r="G571" i="30" s="1"/>
  <c r="I572" i="30"/>
  <c r="G572" i="30" s="1"/>
  <c r="I573" i="30"/>
  <c r="G573" i="30" s="1"/>
  <c r="I574" i="30"/>
  <c r="G574" i="30" s="1"/>
  <c r="I575" i="30"/>
  <c r="G575" i="30" s="1"/>
  <c r="I576" i="30"/>
  <c r="G576" i="30" s="1"/>
  <c r="I577" i="30"/>
  <c r="G577" i="30" s="1"/>
  <c r="I578" i="30"/>
  <c r="G578" i="30" s="1"/>
  <c r="I579" i="30"/>
  <c r="G579" i="30" s="1"/>
  <c r="I580" i="30"/>
  <c r="G580" i="30" s="1"/>
  <c r="I581" i="30"/>
  <c r="G581" i="30" s="1"/>
  <c r="I582" i="30"/>
  <c r="G582" i="30" s="1"/>
  <c r="I583" i="30"/>
  <c r="G583" i="30" s="1"/>
  <c r="I584" i="30"/>
  <c r="G584" i="30" s="1"/>
  <c r="I585" i="30"/>
  <c r="G585" i="30" s="1"/>
  <c r="I586" i="30"/>
  <c r="G586" i="30" s="1"/>
  <c r="I587" i="30"/>
  <c r="G587" i="30" s="1"/>
  <c r="I588" i="30"/>
  <c r="G588" i="30" s="1"/>
  <c r="I589" i="30"/>
  <c r="G589" i="30" s="1"/>
  <c r="I590" i="30"/>
  <c r="G590" i="30" s="1"/>
  <c r="I591" i="30"/>
  <c r="G591" i="30" s="1"/>
  <c r="I592" i="30"/>
  <c r="G592" i="30" s="1"/>
  <c r="I593" i="30"/>
  <c r="G593" i="30" s="1"/>
  <c r="I594" i="30"/>
  <c r="G594" i="30" s="1"/>
  <c r="I595" i="30"/>
  <c r="G595" i="30" s="1"/>
  <c r="I596" i="30"/>
  <c r="G596" i="30" s="1"/>
  <c r="I597" i="30"/>
  <c r="G597" i="30" s="1"/>
  <c r="I598" i="30"/>
  <c r="G598" i="30" s="1"/>
  <c r="I599" i="30"/>
  <c r="G599" i="30" s="1"/>
  <c r="I600" i="30"/>
  <c r="G600" i="30" s="1"/>
  <c r="I601" i="30"/>
  <c r="G601" i="30" s="1"/>
  <c r="I602" i="30"/>
  <c r="G602" i="30" s="1"/>
  <c r="I603" i="30"/>
  <c r="G603" i="30" s="1"/>
  <c r="I604" i="30"/>
  <c r="G604" i="30" s="1"/>
  <c r="I605" i="30"/>
  <c r="G605" i="30" s="1"/>
  <c r="I606" i="30"/>
  <c r="G606" i="30" s="1"/>
  <c r="I607" i="30"/>
  <c r="G607" i="30" s="1"/>
  <c r="I608" i="30"/>
  <c r="G608" i="30" s="1"/>
  <c r="I609" i="30"/>
  <c r="G609" i="30" s="1"/>
  <c r="I610" i="30"/>
  <c r="G610" i="30" s="1"/>
  <c r="I611" i="30"/>
  <c r="G611" i="30" s="1"/>
  <c r="I612" i="30"/>
  <c r="G612" i="30" s="1"/>
  <c r="I613" i="30"/>
  <c r="G613" i="30" s="1"/>
  <c r="I614" i="30"/>
  <c r="G614" i="30" s="1"/>
  <c r="I615" i="30"/>
  <c r="G615" i="30" s="1"/>
  <c r="I616" i="30"/>
  <c r="G616" i="30" s="1"/>
  <c r="I617" i="30"/>
  <c r="G617" i="30" s="1"/>
  <c r="I618" i="30"/>
  <c r="G618" i="30" s="1"/>
  <c r="I619" i="30"/>
  <c r="G619" i="30" s="1"/>
  <c r="I620" i="30"/>
  <c r="G620" i="30" s="1"/>
  <c r="I621" i="30"/>
  <c r="G621" i="30" s="1"/>
  <c r="I622" i="30"/>
  <c r="G622" i="30" s="1"/>
  <c r="I623" i="30"/>
  <c r="G623" i="30" s="1"/>
  <c r="I624" i="30"/>
  <c r="G624" i="30" s="1"/>
  <c r="I625" i="30"/>
  <c r="G625" i="30" s="1"/>
  <c r="I626" i="30"/>
  <c r="G626" i="30" s="1"/>
  <c r="I627" i="30"/>
  <c r="G627" i="30" s="1"/>
  <c r="I628" i="30"/>
  <c r="G628" i="30" s="1"/>
  <c r="I629" i="30"/>
  <c r="G629" i="30" s="1"/>
  <c r="I630" i="30"/>
  <c r="G630" i="30" s="1"/>
  <c r="I631" i="30"/>
  <c r="G631" i="30" s="1"/>
  <c r="I632" i="30"/>
  <c r="G632" i="30" s="1"/>
  <c r="I633" i="30"/>
  <c r="G633" i="30" s="1"/>
  <c r="I634" i="30"/>
  <c r="G634" i="30" s="1"/>
  <c r="I635" i="30"/>
  <c r="G635" i="30" s="1"/>
  <c r="I636" i="30"/>
  <c r="G636" i="30" s="1"/>
  <c r="I637" i="30"/>
  <c r="G637" i="30" s="1"/>
  <c r="I638" i="30"/>
  <c r="G638" i="30" s="1"/>
  <c r="I639" i="30"/>
  <c r="G639" i="30" s="1"/>
  <c r="I640" i="30"/>
  <c r="G640" i="30" s="1"/>
  <c r="I641" i="30"/>
  <c r="G641" i="30" s="1"/>
  <c r="I642" i="30"/>
  <c r="G642" i="30" s="1"/>
  <c r="I643" i="30"/>
  <c r="G643" i="30" s="1"/>
  <c r="I644" i="30"/>
  <c r="G644" i="30" s="1"/>
  <c r="I645" i="30"/>
  <c r="G645" i="30" s="1"/>
  <c r="I646" i="30"/>
  <c r="G646" i="30" s="1"/>
  <c r="I647" i="30"/>
  <c r="G647" i="30" s="1"/>
  <c r="I648" i="30"/>
  <c r="G648" i="30" s="1"/>
  <c r="I649" i="30"/>
  <c r="G649" i="30" s="1"/>
  <c r="I650" i="30"/>
  <c r="G650" i="30" s="1"/>
  <c r="I651" i="30"/>
  <c r="G651" i="30" s="1"/>
  <c r="I652" i="30"/>
  <c r="G652" i="30" s="1"/>
  <c r="I653" i="30"/>
  <c r="G653" i="30" s="1"/>
  <c r="I654" i="30"/>
  <c r="G654" i="30" s="1"/>
  <c r="I655" i="30"/>
  <c r="G655" i="30" s="1"/>
  <c r="I656" i="30"/>
  <c r="G656" i="30" s="1"/>
  <c r="I657" i="30"/>
  <c r="G657" i="30" s="1"/>
  <c r="I658" i="30"/>
  <c r="G658" i="30" s="1"/>
  <c r="I659" i="30"/>
  <c r="G659" i="30" s="1"/>
  <c r="I660" i="30"/>
  <c r="G660" i="30" s="1"/>
  <c r="I661" i="30"/>
  <c r="G661" i="30" s="1"/>
  <c r="I662" i="30"/>
  <c r="G662" i="30" s="1"/>
  <c r="I663" i="30"/>
  <c r="G663" i="30" s="1"/>
  <c r="I664" i="30"/>
  <c r="G664" i="30" s="1"/>
  <c r="I665" i="30"/>
  <c r="G665" i="30" s="1"/>
  <c r="I666" i="30"/>
  <c r="G666" i="30" s="1"/>
  <c r="I667" i="30"/>
  <c r="G667" i="30" s="1"/>
  <c r="I668" i="30"/>
  <c r="G668" i="30" s="1"/>
  <c r="I669" i="30"/>
  <c r="G669" i="30" s="1"/>
  <c r="I670" i="30"/>
  <c r="G670" i="30" s="1"/>
  <c r="I671" i="30"/>
  <c r="G671" i="30" s="1"/>
  <c r="I672" i="30"/>
  <c r="G672" i="30" s="1"/>
  <c r="I673" i="30"/>
  <c r="G673" i="30" s="1"/>
  <c r="I674" i="30"/>
  <c r="G674" i="30" s="1"/>
  <c r="I675" i="30"/>
  <c r="G675" i="30" s="1"/>
  <c r="I676" i="30"/>
  <c r="G676" i="30" s="1"/>
  <c r="I677" i="30"/>
  <c r="G677" i="30" s="1"/>
  <c r="I678" i="30"/>
  <c r="G678" i="30" s="1"/>
  <c r="I679" i="30"/>
  <c r="G679" i="30" s="1"/>
  <c r="I680" i="30"/>
  <c r="G680" i="30" s="1"/>
  <c r="I681" i="30"/>
  <c r="G681" i="30" s="1"/>
  <c r="I682" i="30"/>
  <c r="G682" i="30" s="1"/>
  <c r="I683" i="30"/>
  <c r="G683" i="30" s="1"/>
  <c r="I684" i="30"/>
  <c r="G684" i="30" s="1"/>
  <c r="I685" i="30"/>
  <c r="G685" i="30" s="1"/>
  <c r="I686" i="30"/>
  <c r="G686" i="30" s="1"/>
  <c r="I687" i="30"/>
  <c r="G687" i="30" s="1"/>
  <c r="I688" i="30"/>
  <c r="G688" i="30" s="1"/>
  <c r="I689" i="30"/>
  <c r="G689" i="30" s="1"/>
  <c r="I690" i="30"/>
  <c r="G690" i="30" s="1"/>
  <c r="I691" i="30"/>
  <c r="G691" i="30" s="1"/>
  <c r="I692" i="30"/>
  <c r="G692" i="30" s="1"/>
  <c r="I693" i="30"/>
  <c r="G693" i="30" s="1"/>
  <c r="I694" i="30"/>
  <c r="G694" i="30" s="1"/>
  <c r="I695" i="30"/>
  <c r="G695" i="30" s="1"/>
  <c r="I696" i="30"/>
  <c r="G696" i="30" s="1"/>
  <c r="I697" i="30"/>
  <c r="G697" i="30" s="1"/>
  <c r="I698" i="30"/>
  <c r="G698" i="30" s="1"/>
  <c r="I699" i="30"/>
  <c r="G699" i="30" s="1"/>
  <c r="I700" i="30"/>
  <c r="G700" i="30" s="1"/>
  <c r="I701" i="30"/>
  <c r="G701" i="30" s="1"/>
  <c r="I702" i="30"/>
  <c r="G702" i="30" s="1"/>
  <c r="I703" i="30"/>
  <c r="G703" i="30" s="1"/>
  <c r="I704" i="30"/>
  <c r="G704" i="30" s="1"/>
  <c r="I705" i="30"/>
  <c r="G705" i="30" s="1"/>
  <c r="I706" i="30"/>
  <c r="G706" i="30" s="1"/>
  <c r="I707" i="30"/>
  <c r="G707" i="30" s="1"/>
  <c r="I708" i="30"/>
  <c r="G708" i="30" s="1"/>
  <c r="I709" i="30"/>
  <c r="G709" i="30" s="1"/>
  <c r="I710" i="30"/>
  <c r="G710" i="30" s="1"/>
  <c r="I711" i="30"/>
  <c r="G711" i="30" s="1"/>
  <c r="I712" i="30"/>
  <c r="G712" i="30" s="1"/>
  <c r="I713" i="30"/>
  <c r="G713" i="30" s="1"/>
  <c r="I714" i="30"/>
  <c r="G714" i="30" s="1"/>
  <c r="I715" i="30"/>
  <c r="G715" i="30" s="1"/>
  <c r="I716" i="30"/>
  <c r="G716" i="30" s="1"/>
  <c r="I717" i="30"/>
  <c r="G717" i="30" s="1"/>
  <c r="I718" i="30"/>
  <c r="G718" i="30" s="1"/>
  <c r="I719" i="30"/>
  <c r="G719" i="30" s="1"/>
  <c r="I720" i="30"/>
  <c r="G720" i="30" s="1"/>
  <c r="I721" i="30"/>
  <c r="G721" i="30" s="1"/>
  <c r="I722" i="30"/>
  <c r="G722" i="30" s="1"/>
  <c r="I723" i="30"/>
  <c r="G723" i="30" s="1"/>
  <c r="I724" i="30"/>
  <c r="G724" i="30" s="1"/>
  <c r="I725" i="30"/>
  <c r="G725" i="30" s="1"/>
  <c r="I726" i="30"/>
  <c r="G726" i="30" s="1"/>
  <c r="I727" i="30"/>
  <c r="G727" i="30" s="1"/>
  <c r="I728" i="30"/>
  <c r="G728" i="30" s="1"/>
  <c r="I729" i="30"/>
  <c r="G729" i="30" s="1"/>
  <c r="I730" i="30"/>
  <c r="G730" i="30" s="1"/>
  <c r="I731" i="30"/>
  <c r="G731" i="30" s="1"/>
  <c r="I732" i="30"/>
  <c r="G732" i="30" s="1"/>
  <c r="I733" i="30"/>
  <c r="G733" i="30" s="1"/>
  <c r="I734" i="30"/>
  <c r="G734" i="30" s="1"/>
  <c r="I735" i="30"/>
  <c r="G735" i="30" s="1"/>
  <c r="I736" i="30"/>
  <c r="G736" i="30" s="1"/>
  <c r="I737" i="30"/>
  <c r="G737" i="30" s="1"/>
  <c r="I738" i="30"/>
  <c r="G738" i="30" s="1"/>
  <c r="I739" i="30"/>
  <c r="G739" i="30" s="1"/>
  <c r="I740" i="30"/>
  <c r="G740" i="30" s="1"/>
  <c r="I741" i="30"/>
  <c r="G741" i="30" s="1"/>
  <c r="I742" i="30"/>
  <c r="G742" i="30" s="1"/>
  <c r="I743" i="30"/>
  <c r="G743" i="30" s="1"/>
  <c r="I744" i="30"/>
  <c r="G744" i="30" s="1"/>
  <c r="I745" i="30"/>
  <c r="G745" i="30" s="1"/>
  <c r="I746" i="30"/>
  <c r="G746" i="30" s="1"/>
  <c r="I747" i="30"/>
  <c r="G747" i="30" s="1"/>
  <c r="I748" i="30"/>
  <c r="G748" i="30" s="1"/>
  <c r="I749" i="30"/>
  <c r="G749" i="30" s="1"/>
  <c r="I750" i="30"/>
  <c r="G750" i="30" s="1"/>
  <c r="I751" i="30"/>
  <c r="G751" i="30" s="1"/>
  <c r="I752" i="30"/>
  <c r="G752" i="30" s="1"/>
  <c r="I753" i="30"/>
  <c r="G753" i="30" s="1"/>
  <c r="I754" i="30"/>
  <c r="G754" i="30" s="1"/>
  <c r="I755" i="30"/>
  <c r="G755" i="30" s="1"/>
  <c r="I756" i="30"/>
  <c r="G756" i="30" s="1"/>
  <c r="I757" i="30"/>
  <c r="G757" i="30" s="1"/>
  <c r="I758" i="30"/>
  <c r="G758" i="30" s="1"/>
  <c r="I759" i="30"/>
  <c r="G759" i="30" s="1"/>
  <c r="I760" i="30"/>
  <c r="G760" i="30" s="1"/>
  <c r="I761" i="30"/>
  <c r="G761" i="30" s="1"/>
  <c r="I762" i="30"/>
  <c r="G762" i="30" s="1"/>
  <c r="I763" i="30"/>
  <c r="G763" i="30" s="1"/>
  <c r="I764" i="30"/>
  <c r="G764" i="30" s="1"/>
  <c r="I765" i="30"/>
  <c r="G765" i="30" s="1"/>
  <c r="I766" i="30"/>
  <c r="G766" i="30" s="1"/>
  <c r="I767" i="30"/>
  <c r="G767" i="30" s="1"/>
  <c r="I768" i="30"/>
  <c r="G768" i="30" s="1"/>
  <c r="I769" i="30"/>
  <c r="G769" i="30" s="1"/>
  <c r="I770" i="30"/>
  <c r="G770" i="30" s="1"/>
  <c r="I771" i="30"/>
  <c r="G771" i="30" s="1"/>
  <c r="I772" i="30"/>
  <c r="G772" i="30" s="1"/>
  <c r="I773" i="30"/>
  <c r="G773" i="30" s="1"/>
  <c r="I774" i="30"/>
  <c r="G774" i="30" s="1"/>
  <c r="I775" i="30"/>
  <c r="G775" i="30" s="1"/>
  <c r="I776" i="30"/>
  <c r="G776" i="30" s="1"/>
  <c r="I777" i="30"/>
  <c r="G777" i="30" s="1"/>
  <c r="I778" i="30"/>
  <c r="G778" i="30" s="1"/>
  <c r="I779" i="30"/>
  <c r="G779" i="30" s="1"/>
  <c r="I780" i="30"/>
  <c r="G780" i="30" s="1"/>
  <c r="I781" i="30"/>
  <c r="G781" i="30" s="1"/>
  <c r="I782" i="30"/>
  <c r="G782" i="30" s="1"/>
  <c r="I783" i="30"/>
  <c r="G783" i="30" s="1"/>
  <c r="I784" i="30"/>
  <c r="G784" i="30" s="1"/>
  <c r="I785" i="30"/>
  <c r="G785" i="30" s="1"/>
  <c r="I786" i="30"/>
  <c r="G786" i="30" s="1"/>
  <c r="I787" i="30"/>
  <c r="G787" i="30" s="1"/>
  <c r="I788" i="30"/>
  <c r="G788" i="30" s="1"/>
  <c r="I789" i="30"/>
  <c r="G789" i="30" s="1"/>
  <c r="I790" i="30"/>
  <c r="G790" i="30" s="1"/>
  <c r="I791" i="30"/>
  <c r="G791" i="30" s="1"/>
  <c r="I792" i="30"/>
  <c r="G792" i="30" s="1"/>
  <c r="I793" i="30"/>
  <c r="G793" i="30" s="1"/>
  <c r="I794" i="30"/>
  <c r="G794" i="30" s="1"/>
  <c r="I795" i="30"/>
  <c r="G795" i="30" s="1"/>
  <c r="I796" i="30"/>
  <c r="G796" i="30" s="1"/>
  <c r="I797" i="30"/>
  <c r="G797" i="30" s="1"/>
  <c r="I798" i="30"/>
  <c r="G798" i="30" s="1"/>
  <c r="I799" i="30"/>
  <c r="G799" i="30" s="1"/>
  <c r="I800" i="30"/>
  <c r="G800" i="30" s="1"/>
  <c r="I801" i="30"/>
  <c r="G801" i="30" s="1"/>
  <c r="I802" i="30"/>
  <c r="G802" i="30" s="1"/>
  <c r="I803" i="30"/>
  <c r="G803" i="30" s="1"/>
  <c r="I804" i="30"/>
  <c r="G804" i="30" s="1"/>
  <c r="I805" i="30"/>
  <c r="G805" i="30" s="1"/>
  <c r="I806" i="30"/>
  <c r="G806" i="30" s="1"/>
  <c r="I807" i="30"/>
  <c r="G807" i="30" s="1"/>
  <c r="I808" i="30"/>
  <c r="G808" i="30" s="1"/>
  <c r="I809" i="30"/>
  <c r="G809" i="30" s="1"/>
  <c r="I810" i="30"/>
  <c r="G810" i="30" s="1"/>
  <c r="I811" i="30"/>
  <c r="G811" i="30" s="1"/>
  <c r="I812" i="30"/>
  <c r="G812" i="30" s="1"/>
  <c r="I813" i="30"/>
  <c r="G813" i="30" s="1"/>
  <c r="I814" i="30"/>
  <c r="G814" i="30" s="1"/>
  <c r="I815" i="30"/>
  <c r="G815" i="30" s="1"/>
  <c r="I816" i="30"/>
  <c r="G816" i="30" s="1"/>
  <c r="I817" i="30"/>
  <c r="G817" i="30" s="1"/>
  <c r="I818" i="30"/>
  <c r="G818" i="30" s="1"/>
  <c r="I819" i="30"/>
  <c r="G819" i="30" s="1"/>
  <c r="I820" i="30"/>
  <c r="G820" i="30" s="1"/>
  <c r="I821" i="30"/>
  <c r="G821" i="30" s="1"/>
  <c r="I822" i="30"/>
  <c r="G822" i="30" s="1"/>
  <c r="I823" i="30"/>
  <c r="G823" i="30" s="1"/>
  <c r="I824" i="30"/>
  <c r="G824" i="30" s="1"/>
  <c r="I825" i="30"/>
  <c r="G825" i="30" s="1"/>
  <c r="I826" i="30"/>
  <c r="G826" i="30" s="1"/>
  <c r="I827" i="30"/>
  <c r="G827" i="30" s="1"/>
  <c r="I828" i="30"/>
  <c r="G828" i="30" s="1"/>
  <c r="I829" i="30"/>
  <c r="G829" i="30" s="1"/>
  <c r="I830" i="30"/>
  <c r="G830" i="30" s="1"/>
  <c r="I831" i="30"/>
  <c r="G831" i="30" s="1"/>
  <c r="I832" i="30"/>
  <c r="G832" i="30" s="1"/>
  <c r="I833" i="30"/>
  <c r="G833" i="30" s="1"/>
  <c r="I834" i="30"/>
  <c r="G834" i="30" s="1"/>
  <c r="I835" i="30"/>
  <c r="G835" i="30" s="1"/>
  <c r="I836" i="30"/>
  <c r="G836" i="30" s="1"/>
  <c r="I837" i="30"/>
  <c r="G837" i="30" s="1"/>
  <c r="I838" i="30"/>
  <c r="G838" i="30" s="1"/>
  <c r="I839" i="30"/>
  <c r="G839" i="30" s="1"/>
  <c r="I840" i="30"/>
  <c r="G840" i="30" s="1"/>
  <c r="I841" i="30"/>
  <c r="G841" i="30" s="1"/>
  <c r="I842" i="30"/>
  <c r="G842" i="30" s="1"/>
  <c r="I843" i="30"/>
  <c r="G843" i="30" s="1"/>
  <c r="I844" i="30"/>
  <c r="G844" i="30" s="1"/>
  <c r="I845" i="30"/>
  <c r="G845" i="30" s="1"/>
  <c r="I846" i="30"/>
  <c r="G846" i="30" s="1"/>
  <c r="I847" i="30"/>
  <c r="G847" i="30" s="1"/>
  <c r="I848" i="30"/>
  <c r="G848" i="30" s="1"/>
  <c r="I849" i="30"/>
  <c r="G849" i="30" s="1"/>
  <c r="I850" i="30"/>
  <c r="G850" i="30" s="1"/>
  <c r="I851" i="30"/>
  <c r="G851" i="30" s="1"/>
  <c r="I852" i="30"/>
  <c r="G852" i="30" s="1"/>
  <c r="I853" i="30"/>
  <c r="G853" i="30" s="1"/>
  <c r="I854" i="30"/>
  <c r="G854" i="30" s="1"/>
  <c r="I855" i="30"/>
  <c r="G855" i="30" s="1"/>
  <c r="I856" i="30"/>
  <c r="G856" i="30" s="1"/>
  <c r="I857" i="30"/>
  <c r="G857" i="30" s="1"/>
  <c r="I858" i="30"/>
  <c r="G858" i="30" s="1"/>
  <c r="I859" i="30"/>
  <c r="G859" i="30" s="1"/>
  <c r="I860" i="30"/>
  <c r="G860" i="30" s="1"/>
  <c r="I861" i="30"/>
  <c r="G861" i="30" s="1"/>
  <c r="I862" i="30"/>
  <c r="G862" i="30" s="1"/>
  <c r="I863" i="30"/>
  <c r="G863" i="30" s="1"/>
  <c r="I864" i="30"/>
  <c r="G864" i="30" s="1"/>
  <c r="I865" i="30"/>
  <c r="G865" i="30" s="1"/>
  <c r="I866" i="30"/>
  <c r="G866" i="30" s="1"/>
  <c r="I867" i="30"/>
  <c r="G867" i="30" s="1"/>
  <c r="I868" i="30"/>
  <c r="G868" i="30" s="1"/>
  <c r="I869" i="30"/>
  <c r="G869" i="30" s="1"/>
  <c r="I870" i="30"/>
  <c r="G870" i="30" s="1"/>
  <c r="I871" i="30"/>
  <c r="G871" i="30" s="1"/>
  <c r="I872" i="30"/>
  <c r="G872" i="30" s="1"/>
  <c r="I873" i="30"/>
  <c r="G873" i="30" s="1"/>
  <c r="I874" i="30"/>
  <c r="G874" i="30" s="1"/>
  <c r="I875" i="30"/>
  <c r="G875" i="30" s="1"/>
  <c r="I876" i="30"/>
  <c r="G876" i="30" s="1"/>
  <c r="I877" i="30"/>
  <c r="G877" i="30" s="1"/>
  <c r="I878" i="30"/>
  <c r="G878" i="30" s="1"/>
  <c r="I879" i="30"/>
  <c r="G879" i="30" s="1"/>
  <c r="I880" i="30"/>
  <c r="G880" i="30" s="1"/>
  <c r="I881" i="30"/>
  <c r="G881" i="30" s="1"/>
  <c r="I882" i="30"/>
  <c r="G882" i="30" s="1"/>
  <c r="I883" i="30"/>
  <c r="G883" i="30" s="1"/>
  <c r="I884" i="30"/>
  <c r="G884" i="30" s="1"/>
  <c r="I885" i="30"/>
  <c r="G885" i="30" s="1"/>
  <c r="I886" i="30"/>
  <c r="G886" i="30" s="1"/>
  <c r="I887" i="30"/>
  <c r="G887" i="30" s="1"/>
  <c r="I888" i="30"/>
  <c r="G888" i="30" s="1"/>
  <c r="I889" i="30"/>
  <c r="G889" i="30" s="1"/>
  <c r="I890" i="30"/>
  <c r="G890" i="30" s="1"/>
  <c r="I891" i="30"/>
  <c r="G891" i="30" s="1"/>
  <c r="I892" i="30"/>
  <c r="G892" i="30" s="1"/>
  <c r="I893" i="30"/>
  <c r="G893" i="30" s="1"/>
  <c r="I894" i="30"/>
  <c r="G894" i="30" s="1"/>
  <c r="I895" i="30"/>
  <c r="G895" i="30" s="1"/>
  <c r="I896" i="30"/>
  <c r="G896" i="30" s="1"/>
  <c r="I897" i="30"/>
  <c r="G897" i="30" s="1"/>
  <c r="I898" i="30"/>
  <c r="G898" i="30" s="1"/>
  <c r="I899" i="30"/>
  <c r="G899" i="30" s="1"/>
  <c r="I900" i="30"/>
  <c r="G900" i="30" s="1"/>
  <c r="I901" i="30"/>
  <c r="G901" i="30" s="1"/>
  <c r="I902" i="30"/>
  <c r="G902" i="30" s="1"/>
  <c r="I903" i="30"/>
  <c r="G903" i="30" s="1"/>
  <c r="I904" i="30"/>
  <c r="G904" i="30" s="1"/>
  <c r="I905" i="30"/>
  <c r="G905" i="30" s="1"/>
  <c r="I906" i="30"/>
  <c r="G906" i="30" s="1"/>
  <c r="I907" i="30"/>
  <c r="G907" i="30" s="1"/>
  <c r="I908" i="30"/>
  <c r="G908" i="30" s="1"/>
  <c r="I909" i="30"/>
  <c r="G909" i="30" s="1"/>
  <c r="I910" i="30"/>
  <c r="G910" i="30" s="1"/>
  <c r="I911" i="30"/>
  <c r="G911" i="30" s="1"/>
  <c r="I912" i="30"/>
  <c r="G912" i="30" s="1"/>
  <c r="I913" i="30"/>
  <c r="G913" i="30" s="1"/>
  <c r="I914" i="30"/>
  <c r="G914" i="30" s="1"/>
  <c r="I915" i="30"/>
  <c r="G915" i="30" s="1"/>
  <c r="I916" i="30"/>
  <c r="G916" i="30" s="1"/>
  <c r="I917" i="30"/>
  <c r="G917" i="30" s="1"/>
  <c r="I918" i="30"/>
  <c r="G918" i="30" s="1"/>
  <c r="I919" i="30"/>
  <c r="G919" i="30" s="1"/>
  <c r="I920" i="30"/>
  <c r="G920" i="30" s="1"/>
  <c r="I921" i="30"/>
  <c r="G921" i="30" s="1"/>
  <c r="I922" i="30"/>
  <c r="G922" i="30" s="1"/>
  <c r="I923" i="30"/>
  <c r="G923" i="30" s="1"/>
  <c r="I924" i="30"/>
  <c r="G924" i="30" s="1"/>
  <c r="I925" i="30"/>
  <c r="G925" i="30" s="1"/>
  <c r="I926" i="30"/>
  <c r="G926" i="30" s="1"/>
  <c r="I927" i="30"/>
  <c r="G927" i="30" s="1"/>
  <c r="I928" i="30"/>
  <c r="G928" i="30" s="1"/>
  <c r="I929" i="30"/>
  <c r="G929" i="30" s="1"/>
  <c r="I930" i="30"/>
  <c r="G930" i="30" s="1"/>
  <c r="I931" i="30"/>
  <c r="G931" i="30" s="1"/>
  <c r="I932" i="30"/>
  <c r="G932" i="30" s="1"/>
  <c r="I933" i="30"/>
  <c r="G933" i="30" s="1"/>
  <c r="I934" i="30"/>
  <c r="G934" i="30" s="1"/>
  <c r="I935" i="30"/>
  <c r="G935" i="30" s="1"/>
  <c r="I936" i="30"/>
  <c r="G936" i="30" s="1"/>
  <c r="I937" i="30"/>
  <c r="G937" i="30" s="1"/>
  <c r="I938" i="30"/>
  <c r="G938" i="30" s="1"/>
  <c r="I939" i="30"/>
  <c r="G939" i="30" s="1"/>
  <c r="I940" i="30"/>
  <c r="G940" i="30" s="1"/>
  <c r="I941" i="30"/>
  <c r="G941" i="30" s="1"/>
  <c r="I942" i="30"/>
  <c r="G942" i="30" s="1"/>
  <c r="I943" i="30"/>
  <c r="G943" i="30" s="1"/>
  <c r="I944" i="30"/>
  <c r="G944" i="30" s="1"/>
  <c r="I945" i="30"/>
  <c r="G945" i="30" s="1"/>
  <c r="I946" i="30"/>
  <c r="G946" i="30" s="1"/>
  <c r="I947" i="30"/>
  <c r="G947" i="30" s="1"/>
  <c r="I948" i="30"/>
  <c r="G948" i="30" s="1"/>
  <c r="I949" i="30"/>
  <c r="G949" i="30" s="1"/>
  <c r="I950" i="30"/>
  <c r="G950" i="30" s="1"/>
  <c r="I951" i="30"/>
  <c r="G951" i="30" s="1"/>
  <c r="I952" i="30"/>
  <c r="G952" i="30" s="1"/>
  <c r="I953" i="30"/>
  <c r="G953" i="30" s="1"/>
  <c r="I954" i="30"/>
  <c r="G954" i="30" s="1"/>
  <c r="I955" i="30"/>
  <c r="G955" i="30" s="1"/>
  <c r="I956" i="30"/>
  <c r="G956" i="30" s="1"/>
  <c r="I957" i="30"/>
  <c r="G957" i="30" s="1"/>
  <c r="I958" i="30"/>
  <c r="G958" i="30" s="1"/>
  <c r="I959" i="30"/>
  <c r="G959" i="30" s="1"/>
  <c r="I960" i="30"/>
  <c r="G960" i="30" s="1"/>
  <c r="I961" i="30"/>
  <c r="G961" i="30" s="1"/>
  <c r="I962" i="30"/>
  <c r="G962" i="30" s="1"/>
  <c r="I963" i="30"/>
  <c r="G963" i="30" s="1"/>
  <c r="I964" i="30"/>
  <c r="G964" i="30" s="1"/>
  <c r="I965" i="30"/>
  <c r="G965" i="30" s="1"/>
  <c r="I966" i="30"/>
  <c r="G966" i="30" s="1"/>
  <c r="I967" i="30"/>
  <c r="G967" i="30" s="1"/>
  <c r="I968" i="30"/>
  <c r="G968" i="30" s="1"/>
  <c r="I969" i="30"/>
  <c r="G969" i="30" s="1"/>
  <c r="I970" i="30"/>
  <c r="G970" i="30" s="1"/>
  <c r="I971" i="30"/>
  <c r="G971" i="30" s="1"/>
  <c r="I972" i="30"/>
  <c r="G972" i="30" s="1"/>
  <c r="I973" i="30"/>
  <c r="G973" i="30" s="1"/>
  <c r="I974" i="30"/>
  <c r="G974" i="30" s="1"/>
  <c r="I975" i="30"/>
  <c r="G975" i="30" s="1"/>
  <c r="I976" i="30"/>
  <c r="G976" i="30" s="1"/>
  <c r="I977" i="30"/>
  <c r="G977" i="30" s="1"/>
  <c r="I978" i="30"/>
  <c r="G978" i="30" s="1"/>
  <c r="I979" i="30"/>
  <c r="G979" i="30" s="1"/>
  <c r="I980" i="30"/>
  <c r="G980" i="30" s="1"/>
  <c r="I981" i="30"/>
  <c r="G981" i="30" s="1"/>
  <c r="I982" i="30"/>
  <c r="G982" i="30" s="1"/>
  <c r="I983" i="30"/>
  <c r="G983" i="30" s="1"/>
  <c r="I984" i="30"/>
  <c r="G984" i="30" s="1"/>
  <c r="I985" i="30"/>
  <c r="G985" i="30" s="1"/>
  <c r="I986" i="30"/>
  <c r="G986" i="30" s="1"/>
  <c r="I987" i="30"/>
  <c r="G987" i="30" s="1"/>
  <c r="I988" i="30"/>
  <c r="G988" i="30" s="1"/>
  <c r="I989" i="30"/>
  <c r="G989" i="30" s="1"/>
  <c r="I990" i="30"/>
  <c r="G990" i="30" s="1"/>
  <c r="I991" i="30"/>
  <c r="G991" i="30" s="1"/>
  <c r="I992" i="30"/>
  <c r="G992" i="30" s="1"/>
  <c r="I993" i="30"/>
  <c r="G993" i="30" s="1"/>
  <c r="I994" i="30"/>
  <c r="G994" i="30" s="1"/>
  <c r="I995" i="30"/>
  <c r="G995" i="30" s="1"/>
  <c r="I996" i="30"/>
  <c r="G996" i="30" s="1"/>
  <c r="I997" i="30"/>
  <c r="G997" i="30" s="1"/>
  <c r="I998" i="30"/>
  <c r="G998" i="30" s="1"/>
  <c r="I999" i="30"/>
  <c r="G999" i="30" s="1"/>
  <c r="I1000" i="30"/>
  <c r="G1000" i="30" s="1"/>
  <c r="I1001" i="30"/>
  <c r="G1001" i="30" s="1"/>
  <c r="I1002" i="30"/>
  <c r="G1002" i="30" s="1"/>
  <c r="I1003" i="30"/>
  <c r="G1003" i="30" s="1"/>
  <c r="I1004" i="30"/>
  <c r="G1004" i="30" s="1"/>
  <c r="I1005" i="30"/>
  <c r="G1005" i="30" s="1"/>
  <c r="I1006" i="30"/>
  <c r="G1006" i="30" s="1"/>
  <c r="I1007" i="30"/>
  <c r="G1007" i="30" s="1"/>
  <c r="I1008" i="30"/>
  <c r="G1008" i="30" s="1"/>
  <c r="I1009" i="30"/>
  <c r="G1009" i="30" s="1"/>
  <c r="I1010" i="30"/>
  <c r="G1010" i="30" s="1"/>
  <c r="I1011" i="30"/>
  <c r="G1011" i="30" s="1"/>
  <c r="I1012" i="30"/>
  <c r="G1012" i="30" s="1"/>
  <c r="I1013" i="30"/>
  <c r="G1013" i="30" s="1"/>
  <c r="I1014" i="30"/>
  <c r="G1014" i="30" s="1"/>
  <c r="I1015" i="30"/>
  <c r="G1015" i="30" s="1"/>
  <c r="I1016" i="30"/>
  <c r="G1016" i="30" s="1"/>
  <c r="I1017" i="30"/>
  <c r="G1017" i="30" s="1"/>
  <c r="I1018" i="30"/>
  <c r="G1018" i="30" s="1"/>
  <c r="I1019" i="30"/>
  <c r="G1019" i="30" s="1"/>
  <c r="I1020" i="30"/>
  <c r="G1020" i="30" s="1"/>
  <c r="I1021" i="30"/>
  <c r="G1021" i="30" s="1"/>
  <c r="I1022" i="30"/>
  <c r="G1022" i="30" s="1"/>
  <c r="I1023" i="30"/>
  <c r="G1023" i="30" s="1"/>
  <c r="I1024" i="30"/>
  <c r="G1024" i="30" s="1"/>
  <c r="I1025" i="30"/>
  <c r="G1025" i="30" s="1"/>
  <c r="I1026" i="30"/>
  <c r="G1026" i="30" s="1"/>
  <c r="I1027" i="30"/>
  <c r="G1027" i="30" s="1"/>
  <c r="I1028" i="30"/>
  <c r="G1028" i="30" s="1"/>
  <c r="I1029" i="30"/>
  <c r="G1029" i="30" s="1"/>
  <c r="I1030" i="30"/>
  <c r="G1030" i="30" s="1"/>
  <c r="I1031" i="30"/>
  <c r="G1031" i="30" s="1"/>
  <c r="I1032" i="30"/>
  <c r="G1032" i="30" s="1"/>
  <c r="I1033" i="30"/>
  <c r="G1033" i="30" s="1"/>
  <c r="I1034" i="30"/>
  <c r="G1034" i="30" s="1"/>
  <c r="I1035" i="30"/>
  <c r="G1035" i="30" s="1"/>
  <c r="I1036" i="30"/>
  <c r="G1036" i="30" s="1"/>
  <c r="I1037" i="30"/>
  <c r="G1037" i="30" s="1"/>
  <c r="I1038" i="30"/>
  <c r="G1038" i="30" s="1"/>
  <c r="I1039" i="30"/>
  <c r="G1039" i="30" s="1"/>
  <c r="I1040" i="30"/>
  <c r="G1040" i="30" s="1"/>
  <c r="I1041" i="30"/>
  <c r="G1041" i="30" s="1"/>
  <c r="I1042" i="30"/>
  <c r="G1042" i="30" s="1"/>
  <c r="I1043" i="30"/>
  <c r="G1043" i="30" s="1"/>
  <c r="I1044" i="30"/>
  <c r="G1044" i="30" s="1"/>
  <c r="I1045" i="30"/>
  <c r="G1045" i="30" s="1"/>
  <c r="I1046" i="30"/>
  <c r="G1046" i="30" s="1"/>
  <c r="I1047" i="30"/>
  <c r="G1047" i="30" s="1"/>
  <c r="I1048" i="30"/>
  <c r="G1048" i="30" s="1"/>
  <c r="I1049" i="30"/>
  <c r="G1049" i="30" s="1"/>
  <c r="I1050" i="30"/>
  <c r="G1050" i="30" s="1"/>
  <c r="I1051" i="30"/>
  <c r="G1051" i="30" s="1"/>
  <c r="I1052" i="30"/>
  <c r="G1052" i="30" s="1"/>
  <c r="I1053" i="30"/>
  <c r="G1053" i="30" s="1"/>
  <c r="I1054" i="30"/>
  <c r="G1054" i="30" s="1"/>
  <c r="I1055" i="30"/>
  <c r="G1055" i="30" s="1"/>
  <c r="I1056" i="30"/>
  <c r="G1056" i="30" s="1"/>
  <c r="I1057" i="30"/>
  <c r="G1057" i="30" s="1"/>
  <c r="I1058" i="30"/>
  <c r="G1058" i="30" s="1"/>
  <c r="I1059" i="30"/>
  <c r="G1059" i="30" s="1"/>
  <c r="I1060" i="30"/>
  <c r="G1060" i="30" s="1"/>
  <c r="I1061" i="30"/>
  <c r="G1061" i="30" s="1"/>
  <c r="I1062" i="30"/>
  <c r="G1062" i="30" s="1"/>
  <c r="I1063" i="30"/>
  <c r="G1063" i="30" s="1"/>
  <c r="I1064" i="30"/>
  <c r="G1064" i="30" s="1"/>
  <c r="I1065" i="30"/>
  <c r="G1065" i="30" s="1"/>
  <c r="I1066" i="30"/>
  <c r="G1066" i="30" s="1"/>
  <c r="I1067" i="30"/>
  <c r="G1067" i="30" s="1"/>
  <c r="I1068" i="30"/>
  <c r="G1068" i="30" s="1"/>
  <c r="I1069" i="30"/>
  <c r="G1069" i="30" s="1"/>
  <c r="I1070" i="30"/>
  <c r="G1070" i="30" s="1"/>
  <c r="I1071" i="30"/>
  <c r="G1071" i="30" s="1"/>
  <c r="I1072" i="30"/>
  <c r="G1072" i="30" s="1"/>
  <c r="I1073" i="30"/>
  <c r="G1073" i="30" s="1"/>
  <c r="I1074" i="30"/>
  <c r="G1074" i="30" s="1"/>
  <c r="I1075" i="30"/>
  <c r="G1075" i="30" s="1"/>
  <c r="I1076" i="30"/>
  <c r="G1076" i="30" s="1"/>
  <c r="I1077" i="30"/>
  <c r="G1077" i="30" s="1"/>
  <c r="I1078" i="30"/>
  <c r="G1078" i="30" s="1"/>
  <c r="I1079" i="30"/>
  <c r="G1079" i="30" s="1"/>
  <c r="I1080" i="30"/>
  <c r="G1080" i="30" s="1"/>
  <c r="I1081" i="30"/>
  <c r="G1081" i="30" s="1"/>
  <c r="I1082" i="30"/>
  <c r="G1082" i="30" s="1"/>
  <c r="I1083" i="30"/>
  <c r="G1083" i="30" s="1"/>
  <c r="I1084" i="30"/>
  <c r="G1084" i="30" s="1"/>
  <c r="I1085" i="30"/>
  <c r="G1085" i="30" s="1"/>
  <c r="I1086" i="30"/>
  <c r="G1086" i="30" s="1"/>
  <c r="I1087" i="30"/>
  <c r="G1087" i="30" s="1"/>
  <c r="I1088" i="30"/>
  <c r="G1088" i="30" s="1"/>
  <c r="I1089" i="30"/>
  <c r="G1089" i="30" s="1"/>
  <c r="I1090" i="30"/>
  <c r="G1090" i="30" s="1"/>
  <c r="I1091" i="30"/>
  <c r="G1091" i="30" s="1"/>
  <c r="I1092" i="30"/>
  <c r="G1092" i="30" s="1"/>
  <c r="I1093" i="30"/>
  <c r="G1093" i="30" s="1"/>
  <c r="I1094" i="30"/>
  <c r="G1094" i="30" s="1"/>
  <c r="I1095" i="30"/>
  <c r="G1095" i="30" s="1"/>
  <c r="I1096" i="30"/>
  <c r="G1096" i="30" s="1"/>
  <c r="I1097" i="30"/>
  <c r="G1097" i="30" s="1"/>
  <c r="I1098" i="30"/>
  <c r="G1098" i="30" s="1"/>
  <c r="I1099" i="30"/>
  <c r="G1099" i="30" s="1"/>
  <c r="I1100" i="30"/>
  <c r="G1100" i="30" s="1"/>
  <c r="I1101" i="30"/>
  <c r="G1101" i="30" s="1"/>
  <c r="I1102" i="30"/>
  <c r="G1102" i="30" s="1"/>
  <c r="I1103" i="30"/>
  <c r="G1103" i="30" s="1"/>
  <c r="I1104" i="30"/>
  <c r="G1104" i="30" s="1"/>
  <c r="I1105" i="30"/>
  <c r="G1105" i="30" s="1"/>
  <c r="I1106" i="30"/>
  <c r="G1106" i="30" s="1"/>
  <c r="I1107" i="30"/>
  <c r="G1107" i="30" s="1"/>
  <c r="I1108" i="30"/>
  <c r="G1108" i="30" s="1"/>
  <c r="I1109" i="30"/>
  <c r="G1109" i="30" s="1"/>
  <c r="I1110" i="30"/>
  <c r="G1110" i="30" s="1"/>
  <c r="I1111" i="30"/>
  <c r="G1111" i="30" s="1"/>
  <c r="I1112" i="30"/>
  <c r="G1112" i="30" s="1"/>
  <c r="I1113" i="30"/>
  <c r="G1113" i="30" s="1"/>
  <c r="I1114" i="30"/>
  <c r="G1114" i="30" s="1"/>
  <c r="I1115" i="30"/>
  <c r="G1115" i="30" s="1"/>
  <c r="I1116" i="30"/>
  <c r="G1116" i="30" s="1"/>
  <c r="I1117" i="30"/>
  <c r="G1117" i="30" s="1"/>
  <c r="I1118" i="30"/>
  <c r="G1118" i="30" s="1"/>
  <c r="I1119" i="30"/>
  <c r="G1119" i="30" s="1"/>
  <c r="I1120" i="30"/>
  <c r="G1120" i="30" s="1"/>
  <c r="I1121" i="30"/>
  <c r="G1121" i="30" s="1"/>
  <c r="I1122" i="30"/>
  <c r="G1122" i="30" s="1"/>
  <c r="I1123" i="30"/>
  <c r="G1123" i="30" s="1"/>
  <c r="I1124" i="30"/>
  <c r="G1124" i="30" s="1"/>
  <c r="I1125" i="30"/>
  <c r="G1125" i="30" s="1"/>
  <c r="I1126" i="30"/>
  <c r="G1126" i="30" s="1"/>
  <c r="I1127" i="30"/>
  <c r="G1127" i="30" s="1"/>
  <c r="I1128" i="30"/>
  <c r="G1128" i="30" s="1"/>
  <c r="I1129" i="30"/>
  <c r="G1129" i="30" s="1"/>
  <c r="I1130" i="30"/>
  <c r="G1130" i="30" s="1"/>
  <c r="I1131" i="30"/>
  <c r="G1131" i="30" s="1"/>
  <c r="I1132" i="30"/>
  <c r="G1132" i="30" s="1"/>
  <c r="I1133" i="30"/>
  <c r="G1133" i="30" s="1"/>
  <c r="I1134" i="30"/>
  <c r="G1134" i="30" s="1"/>
  <c r="I1135" i="30"/>
  <c r="G1135" i="30" s="1"/>
  <c r="I1136" i="30"/>
  <c r="G1136" i="30" s="1"/>
  <c r="I1137" i="30"/>
  <c r="G1137" i="30" s="1"/>
  <c r="I1138" i="30"/>
  <c r="G1138" i="30" s="1"/>
  <c r="I1139" i="30"/>
  <c r="G1139" i="30" s="1"/>
  <c r="I1140" i="30"/>
  <c r="G1140" i="30" s="1"/>
  <c r="I1141" i="30"/>
  <c r="G1141" i="30" s="1"/>
  <c r="I1142" i="30"/>
  <c r="G1142" i="30" s="1"/>
  <c r="I1143" i="30"/>
  <c r="G1143" i="30" s="1"/>
  <c r="I1144" i="30"/>
  <c r="G1144" i="30" s="1"/>
  <c r="I1145" i="30"/>
  <c r="G1145" i="30" s="1"/>
  <c r="I1146" i="30"/>
  <c r="G1146" i="30" s="1"/>
  <c r="I1147" i="30"/>
  <c r="G1147" i="30" s="1"/>
  <c r="I1148" i="30"/>
  <c r="G1148" i="30" s="1"/>
  <c r="I1149" i="30"/>
  <c r="G1149" i="30" s="1"/>
  <c r="I1150" i="30"/>
  <c r="G1150" i="30" s="1"/>
  <c r="I1151" i="30"/>
  <c r="G1151" i="30" s="1"/>
  <c r="I1152" i="30"/>
  <c r="G1152" i="30" s="1"/>
  <c r="I1153" i="30"/>
  <c r="G1153" i="30" s="1"/>
  <c r="I1154" i="30"/>
  <c r="G1154" i="30" s="1"/>
  <c r="I1155" i="30"/>
  <c r="G1155" i="30" s="1"/>
  <c r="I1156" i="30"/>
  <c r="G1156" i="30" s="1"/>
  <c r="I1157" i="30"/>
  <c r="G1157" i="30" s="1"/>
  <c r="I1158" i="30"/>
  <c r="G1158" i="30" s="1"/>
  <c r="I1159" i="30"/>
  <c r="G1159" i="30" s="1"/>
  <c r="I1160" i="30"/>
  <c r="G1160" i="30" s="1"/>
  <c r="I1161" i="30"/>
  <c r="G1161" i="30" s="1"/>
  <c r="I1162" i="30"/>
  <c r="G1162" i="30" s="1"/>
  <c r="I1163" i="30"/>
  <c r="G1163" i="30" s="1"/>
  <c r="I1164" i="30"/>
  <c r="G1164" i="30" s="1"/>
  <c r="I1165" i="30"/>
  <c r="G1165" i="30" s="1"/>
  <c r="I1166" i="30"/>
  <c r="G1166" i="30" s="1"/>
  <c r="I1167" i="30"/>
  <c r="G1167" i="30" s="1"/>
  <c r="I1168" i="30"/>
  <c r="G1168" i="30" s="1"/>
  <c r="I1169" i="30"/>
  <c r="G1169" i="30" s="1"/>
  <c r="I1170" i="30"/>
  <c r="G1170" i="30" s="1"/>
  <c r="I1171" i="30"/>
  <c r="G1171" i="30" s="1"/>
  <c r="I1172" i="30"/>
  <c r="G1172" i="30" s="1"/>
  <c r="I1173" i="30"/>
  <c r="G1173" i="30" s="1"/>
  <c r="I1174" i="30"/>
  <c r="G1174" i="30" s="1"/>
  <c r="I1175" i="30"/>
  <c r="G1175" i="30" s="1"/>
  <c r="I1176" i="30"/>
  <c r="G1176" i="30" s="1"/>
  <c r="I1177" i="30"/>
  <c r="G1177" i="30" s="1"/>
  <c r="I1178" i="30"/>
  <c r="G1178" i="30" s="1"/>
  <c r="I1179" i="30"/>
  <c r="G1179" i="30" s="1"/>
  <c r="I1180" i="30"/>
  <c r="G1180" i="30" s="1"/>
  <c r="I1181" i="30"/>
  <c r="G1181" i="30" s="1"/>
  <c r="I1182" i="30"/>
  <c r="G1182" i="30" s="1"/>
  <c r="I1183" i="30"/>
  <c r="G1183" i="30" s="1"/>
  <c r="I1184" i="30"/>
  <c r="G1184" i="30" s="1"/>
  <c r="I1185" i="30"/>
  <c r="G1185" i="30" s="1"/>
  <c r="I1186" i="30"/>
  <c r="G1186" i="30" s="1"/>
  <c r="I1187" i="30"/>
  <c r="G1187" i="30" s="1"/>
  <c r="I1188" i="30"/>
  <c r="G1188" i="30" s="1"/>
  <c r="I1189" i="30"/>
  <c r="G1189" i="30" s="1"/>
  <c r="I1190" i="30"/>
  <c r="G1190" i="30" s="1"/>
  <c r="I1191" i="30"/>
  <c r="G1191" i="30" s="1"/>
  <c r="I1192" i="30"/>
  <c r="G1192" i="30" s="1"/>
  <c r="I1193" i="30"/>
  <c r="G1193" i="30" s="1"/>
  <c r="I1194" i="30"/>
  <c r="G1194" i="30" s="1"/>
  <c r="I1195" i="30"/>
  <c r="G1195" i="30" s="1"/>
  <c r="I1196" i="30"/>
  <c r="G1196" i="30" s="1"/>
  <c r="I1197" i="30"/>
  <c r="G1197" i="30" s="1"/>
  <c r="I1198" i="30"/>
  <c r="G1198" i="30" s="1"/>
  <c r="I1199" i="30"/>
  <c r="G1199" i="30" s="1"/>
  <c r="I1200" i="30"/>
  <c r="G1200" i="30" s="1"/>
  <c r="I1201" i="30"/>
  <c r="G1201" i="30" s="1"/>
  <c r="I1202" i="30"/>
  <c r="G1202" i="30" s="1"/>
  <c r="I1203" i="30"/>
  <c r="G1203" i="30" s="1"/>
  <c r="I1204" i="30"/>
  <c r="G1204" i="30" s="1"/>
  <c r="I1205" i="30"/>
  <c r="G1205" i="30" s="1"/>
  <c r="I1206" i="30"/>
  <c r="G1206" i="30" s="1"/>
  <c r="I1207" i="30"/>
  <c r="G1207" i="30" s="1"/>
  <c r="I1208" i="30"/>
  <c r="G1208" i="30" s="1"/>
  <c r="I1209" i="30"/>
  <c r="G1209" i="30" s="1"/>
  <c r="I1210" i="30"/>
  <c r="G1210" i="30" s="1"/>
  <c r="I1211" i="30"/>
  <c r="G1211" i="30" s="1"/>
  <c r="I1212" i="30"/>
  <c r="G1212" i="30" s="1"/>
  <c r="I1213" i="30"/>
  <c r="G1213" i="30" s="1"/>
  <c r="I1214" i="30"/>
  <c r="G1214" i="30" s="1"/>
  <c r="I1215" i="30"/>
  <c r="G1215" i="30" s="1"/>
  <c r="I1216" i="30"/>
  <c r="G1216" i="30" s="1"/>
  <c r="I1217" i="30"/>
  <c r="G1217" i="30" s="1"/>
  <c r="I1218" i="30"/>
  <c r="G1218" i="30" s="1"/>
  <c r="I1219" i="30"/>
  <c r="G1219" i="30" s="1"/>
  <c r="I1220" i="30"/>
  <c r="G1220" i="30" s="1"/>
  <c r="I1221" i="30"/>
  <c r="G1221" i="30" s="1"/>
  <c r="I1222" i="30"/>
  <c r="G1222" i="30" s="1"/>
  <c r="I1223" i="30"/>
  <c r="G1223" i="30" s="1"/>
  <c r="I1224" i="30"/>
  <c r="G1224" i="30" s="1"/>
  <c r="I1225" i="30"/>
  <c r="G1225" i="30" s="1"/>
  <c r="I1226" i="30"/>
  <c r="G1226" i="30" s="1"/>
  <c r="I1227" i="30"/>
  <c r="G1227" i="30" s="1"/>
  <c r="I1228" i="30"/>
  <c r="G1228" i="30" s="1"/>
  <c r="I1229" i="30"/>
  <c r="G1229" i="30" s="1"/>
  <c r="I1230" i="30"/>
  <c r="G1230" i="30" s="1"/>
  <c r="I1231" i="30"/>
  <c r="G1231" i="30" s="1"/>
  <c r="I1232" i="30"/>
  <c r="G1232" i="30" s="1"/>
  <c r="I1233" i="30"/>
  <c r="G1233" i="30" s="1"/>
  <c r="I1234" i="30"/>
  <c r="G1234" i="30" s="1"/>
  <c r="I1235" i="30"/>
  <c r="G1235" i="30" s="1"/>
  <c r="I1236" i="30"/>
  <c r="G1236" i="30" s="1"/>
  <c r="I1237" i="30"/>
  <c r="G1237" i="30" s="1"/>
  <c r="I1238" i="30"/>
  <c r="G1238" i="30" s="1"/>
  <c r="I1239" i="30"/>
  <c r="G1239" i="30" s="1"/>
  <c r="I1240" i="30"/>
  <c r="G1240" i="30" s="1"/>
  <c r="I1241" i="30"/>
  <c r="G1241" i="30" s="1"/>
  <c r="I1242" i="30"/>
  <c r="G1242" i="30" s="1"/>
  <c r="I1243" i="30"/>
  <c r="G1243" i="30" s="1"/>
  <c r="I1244" i="30"/>
  <c r="G1244" i="30" s="1"/>
  <c r="I1245" i="30"/>
  <c r="G1245" i="30" s="1"/>
  <c r="I1246" i="30"/>
  <c r="G1246" i="30" s="1"/>
  <c r="I1247" i="30"/>
  <c r="G1247" i="30" s="1"/>
  <c r="I1248" i="30"/>
  <c r="G1248" i="30" s="1"/>
  <c r="I1249" i="30"/>
  <c r="G1249" i="30" s="1"/>
  <c r="I1250" i="30"/>
  <c r="G1250" i="30" s="1"/>
  <c r="I1251" i="30"/>
  <c r="G1251" i="30" s="1"/>
  <c r="I1252" i="30"/>
  <c r="G1252" i="30" s="1"/>
  <c r="I1253" i="30"/>
  <c r="G1253" i="30" s="1"/>
  <c r="I1254" i="30"/>
  <c r="G1254" i="30" s="1"/>
  <c r="I1255" i="30"/>
  <c r="G1255" i="30" s="1"/>
  <c r="I1256" i="30"/>
  <c r="G1256" i="30" s="1"/>
  <c r="I1257" i="30"/>
  <c r="G1257" i="30" s="1"/>
  <c r="I1258" i="30"/>
  <c r="G1258" i="30" s="1"/>
  <c r="I1259" i="30"/>
  <c r="G1259" i="30" s="1"/>
  <c r="I1260" i="30"/>
  <c r="G1260" i="30" s="1"/>
  <c r="I1261" i="30"/>
  <c r="G1261" i="30" s="1"/>
  <c r="I1262" i="30"/>
  <c r="G1262" i="30" s="1"/>
  <c r="I1263" i="30"/>
  <c r="G1263" i="30" s="1"/>
  <c r="I1264" i="30"/>
  <c r="G1264" i="30" s="1"/>
  <c r="I1265" i="30"/>
  <c r="G1265" i="30" s="1"/>
  <c r="I1266" i="30"/>
  <c r="G1266" i="30" s="1"/>
  <c r="I1267" i="30"/>
  <c r="G1267" i="30" s="1"/>
  <c r="I1268" i="30"/>
  <c r="G1268" i="30" s="1"/>
  <c r="I1269" i="30"/>
  <c r="G1269" i="30" s="1"/>
  <c r="I1270" i="30"/>
  <c r="G1270" i="30" s="1"/>
  <c r="I1271" i="30"/>
  <c r="G1271" i="30" s="1"/>
  <c r="I1272" i="30"/>
  <c r="G1272" i="30" s="1"/>
  <c r="I1273" i="30"/>
  <c r="G1273" i="30" s="1"/>
  <c r="I1274" i="30"/>
  <c r="G1274" i="30" s="1"/>
  <c r="I1275" i="30"/>
  <c r="G1275" i="30" s="1"/>
  <c r="I1276" i="30"/>
  <c r="G1276" i="30" s="1"/>
  <c r="I1277" i="30"/>
  <c r="G1277" i="30" s="1"/>
  <c r="I1278" i="30"/>
  <c r="G1278" i="30" s="1"/>
  <c r="I1279" i="30"/>
  <c r="G1279" i="30" s="1"/>
  <c r="I1280" i="30"/>
  <c r="G1280" i="30" s="1"/>
  <c r="I1281" i="30"/>
  <c r="G1281" i="30" s="1"/>
  <c r="I1282" i="30"/>
  <c r="G1282" i="30" s="1"/>
  <c r="I1283" i="30"/>
  <c r="G1283" i="30" s="1"/>
  <c r="I1284" i="30"/>
  <c r="G1284" i="30" s="1"/>
  <c r="I1285" i="30"/>
  <c r="G1285" i="30" s="1"/>
  <c r="I1286" i="30"/>
  <c r="G1286" i="30" s="1"/>
  <c r="I1287" i="30"/>
  <c r="G1287" i="30" s="1"/>
  <c r="I1288" i="30"/>
  <c r="G1288" i="30" s="1"/>
  <c r="I1289" i="30"/>
  <c r="G1289" i="30" s="1"/>
  <c r="I1290" i="30"/>
  <c r="G1290" i="30" s="1"/>
  <c r="I1291" i="30"/>
  <c r="G1291" i="30" s="1"/>
  <c r="I1292" i="30"/>
  <c r="G1292" i="30" s="1"/>
  <c r="I1293" i="30"/>
  <c r="G1293" i="30" s="1"/>
  <c r="I1294" i="30"/>
  <c r="G1294" i="30" s="1"/>
  <c r="I1295" i="30"/>
  <c r="G1295" i="30" s="1"/>
  <c r="I1296" i="30"/>
  <c r="G1296" i="30" s="1"/>
  <c r="I1297" i="30"/>
  <c r="G1297" i="30" s="1"/>
  <c r="I1298" i="30"/>
  <c r="G1298" i="30" s="1"/>
  <c r="I1299" i="30"/>
  <c r="G1299" i="30" s="1"/>
  <c r="I1300" i="30"/>
  <c r="G1300" i="30" s="1"/>
  <c r="I1301" i="30"/>
  <c r="G1301" i="30" s="1"/>
  <c r="I1302" i="30"/>
  <c r="G1302" i="30" s="1"/>
  <c r="I1303" i="30"/>
  <c r="G1303" i="30" s="1"/>
  <c r="I1304" i="30"/>
  <c r="G1304" i="30" s="1"/>
  <c r="I1305" i="30"/>
  <c r="G1305" i="30" s="1"/>
  <c r="I1306" i="30"/>
  <c r="G1306" i="30" s="1"/>
  <c r="I19" i="30"/>
  <c r="N7" i="30"/>
  <c r="F5" i="30"/>
  <c r="H3" i="28"/>
  <c r="H4" i="28"/>
  <c r="H5" i="28"/>
  <c r="H6" i="28"/>
  <c r="H7" i="28"/>
  <c r="H8" i="28"/>
  <c r="H9" i="28"/>
  <c r="H10" i="28"/>
  <c r="H11" i="28"/>
  <c r="H12" i="28"/>
  <c r="H13" i="28"/>
  <c r="H14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99" i="28"/>
  <c r="H100" i="28"/>
  <c r="H101" i="28"/>
  <c r="H102" i="28"/>
  <c r="H103" i="28"/>
  <c r="H104" i="28"/>
  <c r="H105" i="28"/>
  <c r="H106" i="28"/>
  <c r="H107" i="28"/>
  <c r="H108" i="28"/>
  <c r="H109" i="28"/>
  <c r="H110" i="28"/>
  <c r="H111" i="28"/>
  <c r="H112" i="28"/>
  <c r="H113" i="28"/>
  <c r="H114" i="28"/>
  <c r="H115" i="28"/>
  <c r="H116" i="28"/>
  <c r="H117" i="28"/>
  <c r="H118" i="28"/>
  <c r="H119" i="28"/>
  <c r="H120" i="28"/>
  <c r="H121" i="28"/>
  <c r="H122" i="28"/>
  <c r="H123" i="28"/>
  <c r="H124" i="28"/>
  <c r="H125" i="28"/>
  <c r="H126" i="28"/>
  <c r="H127" i="28"/>
  <c r="H128" i="28"/>
  <c r="H129" i="28"/>
  <c r="H130" i="28"/>
  <c r="H131" i="28"/>
  <c r="H132" i="28"/>
  <c r="H133" i="28"/>
  <c r="H134" i="28"/>
  <c r="H135" i="28"/>
  <c r="H136" i="28"/>
  <c r="H137" i="28"/>
  <c r="H138" i="28"/>
  <c r="H139" i="28"/>
  <c r="H140" i="28"/>
  <c r="H141" i="28"/>
  <c r="H142" i="28"/>
  <c r="H143" i="28"/>
  <c r="H144" i="28"/>
  <c r="H145" i="28"/>
  <c r="H146" i="28"/>
  <c r="H147" i="28"/>
  <c r="H148" i="28"/>
  <c r="H149" i="28"/>
  <c r="H150" i="28"/>
  <c r="H151" i="28"/>
  <c r="H152" i="28"/>
  <c r="H153" i="28"/>
  <c r="H154" i="28"/>
  <c r="H155" i="28"/>
  <c r="H156" i="28"/>
  <c r="H157" i="28"/>
  <c r="H158" i="28"/>
  <c r="H159" i="28"/>
  <c r="H160" i="28"/>
  <c r="H161" i="28"/>
  <c r="H162" i="28"/>
  <c r="H163" i="28"/>
  <c r="H164" i="28"/>
  <c r="H165" i="28"/>
  <c r="H166" i="28"/>
  <c r="H167" i="28"/>
  <c r="H168" i="28"/>
  <c r="H169" i="28"/>
  <c r="H170" i="28"/>
  <c r="H171" i="28"/>
  <c r="H172" i="28"/>
  <c r="H173" i="28"/>
  <c r="H174" i="28"/>
  <c r="H175" i="28"/>
  <c r="H176" i="28"/>
  <c r="H177" i="28"/>
  <c r="H178" i="28"/>
  <c r="H179" i="28"/>
  <c r="H180" i="28"/>
  <c r="H181" i="28"/>
  <c r="H182" i="28"/>
  <c r="H183" i="28"/>
  <c r="H184" i="28"/>
  <c r="H185" i="28"/>
  <c r="H186" i="28"/>
  <c r="H187" i="28"/>
  <c r="H188" i="28"/>
  <c r="H189" i="28"/>
  <c r="H190" i="28"/>
  <c r="H191" i="28"/>
  <c r="H192" i="28"/>
  <c r="H193" i="28"/>
  <c r="H194" i="28"/>
  <c r="H195" i="28"/>
  <c r="H196" i="28"/>
  <c r="H197" i="28"/>
  <c r="H198" i="28"/>
  <c r="H199" i="28"/>
  <c r="H200" i="28"/>
  <c r="H201" i="28"/>
  <c r="H202" i="28"/>
  <c r="H203" i="28"/>
  <c r="H204" i="28"/>
  <c r="H205" i="28"/>
  <c r="H206" i="28"/>
  <c r="H207" i="28"/>
  <c r="H208" i="28"/>
  <c r="H209" i="28"/>
  <c r="H210" i="28"/>
  <c r="H211" i="28"/>
  <c r="H212" i="28"/>
  <c r="H213" i="28"/>
  <c r="H214" i="28"/>
  <c r="H215" i="28"/>
  <c r="H216" i="28"/>
  <c r="H217" i="28"/>
  <c r="H218" i="28"/>
  <c r="H219" i="28"/>
  <c r="H220" i="28"/>
  <c r="H221" i="28"/>
  <c r="H222" i="28"/>
  <c r="H223" i="28"/>
  <c r="H224" i="28"/>
  <c r="H225" i="28"/>
  <c r="H226" i="28"/>
  <c r="H227" i="28"/>
  <c r="H228" i="28"/>
  <c r="H229" i="28"/>
  <c r="H230" i="28"/>
  <c r="H231" i="28"/>
  <c r="H232" i="28"/>
  <c r="H233" i="28"/>
  <c r="H234" i="28"/>
  <c r="H235" i="28"/>
  <c r="H236" i="28"/>
  <c r="H237" i="28"/>
  <c r="H238" i="28"/>
  <c r="H239" i="28"/>
  <c r="H240" i="28"/>
  <c r="H241" i="28"/>
  <c r="H242" i="28"/>
  <c r="H243" i="28"/>
  <c r="H244" i="28"/>
  <c r="H245" i="28"/>
  <c r="H246" i="28"/>
  <c r="H247" i="28"/>
  <c r="H248" i="28"/>
  <c r="H249" i="28"/>
  <c r="H250" i="28"/>
  <c r="H251" i="28"/>
  <c r="H252" i="28"/>
  <c r="H253" i="28"/>
  <c r="H254" i="28"/>
  <c r="H255" i="28"/>
  <c r="H256" i="28"/>
  <c r="H257" i="28"/>
  <c r="H258" i="28"/>
  <c r="H259" i="28"/>
  <c r="H260" i="28"/>
  <c r="H261" i="28"/>
  <c r="H262" i="28"/>
  <c r="H263" i="28"/>
  <c r="H264" i="28"/>
  <c r="H265" i="28"/>
  <c r="H266" i="28"/>
  <c r="H267" i="28"/>
  <c r="H268" i="28"/>
  <c r="H269" i="28"/>
  <c r="H270" i="28"/>
  <c r="H271" i="28"/>
  <c r="H272" i="28"/>
  <c r="H273" i="28"/>
  <c r="H274" i="28"/>
  <c r="H275" i="28"/>
  <c r="H276" i="28"/>
  <c r="H277" i="28"/>
  <c r="H278" i="28"/>
  <c r="H279" i="28"/>
  <c r="H280" i="28"/>
  <c r="H281" i="28"/>
  <c r="H282" i="28"/>
  <c r="H283" i="28"/>
  <c r="H284" i="28"/>
  <c r="H285" i="28"/>
  <c r="H286" i="28"/>
  <c r="H287" i="28"/>
  <c r="H288" i="28"/>
  <c r="H289" i="28"/>
  <c r="H290" i="28"/>
  <c r="H291" i="28"/>
  <c r="H292" i="28"/>
  <c r="H293" i="28"/>
  <c r="H294" i="28"/>
  <c r="H295" i="28"/>
  <c r="H296" i="28"/>
  <c r="H297" i="28"/>
  <c r="H298" i="28"/>
  <c r="H299" i="28"/>
  <c r="H300" i="28"/>
  <c r="H301" i="28"/>
  <c r="H302" i="28"/>
  <c r="H303" i="28"/>
  <c r="H304" i="28"/>
  <c r="H305" i="28"/>
  <c r="H306" i="28"/>
  <c r="H307" i="28"/>
  <c r="H308" i="28"/>
  <c r="H309" i="28"/>
  <c r="H310" i="28"/>
  <c r="H311" i="28"/>
  <c r="H312" i="28"/>
  <c r="H313" i="28"/>
  <c r="H314" i="28"/>
  <c r="H315" i="28"/>
  <c r="H316" i="28"/>
  <c r="H317" i="28"/>
  <c r="H318" i="28"/>
  <c r="H319" i="28"/>
  <c r="H320" i="28"/>
  <c r="H321" i="28"/>
  <c r="H322" i="28"/>
  <c r="H323" i="28"/>
  <c r="H324" i="28"/>
  <c r="H325" i="28"/>
  <c r="H326" i="28"/>
  <c r="H327" i="28"/>
  <c r="H328" i="28"/>
  <c r="H329" i="28"/>
  <c r="H330" i="28"/>
  <c r="H331" i="28"/>
  <c r="H332" i="28"/>
  <c r="H333" i="28"/>
  <c r="H334" i="28"/>
  <c r="H335" i="28"/>
  <c r="H336" i="28"/>
  <c r="H337" i="28"/>
  <c r="H338" i="28"/>
  <c r="H339" i="28"/>
  <c r="H340" i="28"/>
  <c r="H341" i="28"/>
  <c r="H342" i="28"/>
  <c r="H343" i="28"/>
  <c r="H344" i="28"/>
  <c r="H345" i="28"/>
  <c r="H346" i="28"/>
  <c r="H347" i="28"/>
  <c r="H348" i="28"/>
  <c r="H349" i="28"/>
  <c r="H350" i="28"/>
  <c r="H351" i="28"/>
  <c r="H352" i="28"/>
  <c r="H353" i="28"/>
  <c r="H354" i="28"/>
  <c r="H355" i="28"/>
  <c r="H356" i="28"/>
  <c r="H357" i="28"/>
  <c r="H358" i="28"/>
  <c r="H359" i="28"/>
  <c r="H360" i="28"/>
  <c r="H361" i="28"/>
  <c r="H362" i="28"/>
  <c r="H363" i="28"/>
  <c r="H364" i="28"/>
  <c r="H365" i="28"/>
  <c r="H366" i="28"/>
  <c r="H367" i="28"/>
  <c r="H368" i="28"/>
  <c r="H369" i="28"/>
  <c r="H370" i="28"/>
  <c r="H371" i="28"/>
  <c r="H372" i="28"/>
  <c r="H373" i="28"/>
  <c r="H374" i="28"/>
  <c r="H375" i="28"/>
  <c r="H376" i="28"/>
  <c r="H377" i="28"/>
  <c r="H378" i="28"/>
  <c r="H379" i="28"/>
  <c r="H380" i="28"/>
  <c r="H381" i="28"/>
  <c r="H382" i="28"/>
  <c r="H383" i="28"/>
  <c r="H384" i="28"/>
  <c r="H385" i="28"/>
  <c r="H386" i="28"/>
  <c r="H387" i="28"/>
  <c r="H388" i="28"/>
  <c r="H389" i="28"/>
  <c r="H390" i="28"/>
  <c r="H391" i="28"/>
  <c r="H392" i="28"/>
  <c r="H393" i="28"/>
  <c r="H394" i="28"/>
  <c r="H395" i="28"/>
  <c r="H396" i="28"/>
  <c r="H397" i="28"/>
  <c r="H398" i="28"/>
  <c r="H399" i="28"/>
  <c r="H400" i="28"/>
  <c r="H401" i="28"/>
  <c r="H402" i="28"/>
  <c r="H403" i="28"/>
  <c r="H404" i="28"/>
  <c r="H405" i="28"/>
  <c r="H406" i="28"/>
  <c r="H407" i="28"/>
  <c r="H408" i="28"/>
  <c r="H409" i="28"/>
  <c r="H410" i="28"/>
  <c r="H411" i="28"/>
  <c r="H412" i="28"/>
  <c r="H413" i="28"/>
  <c r="H414" i="28"/>
  <c r="H415" i="28"/>
  <c r="H416" i="28"/>
  <c r="H417" i="28"/>
  <c r="H418" i="28"/>
  <c r="H419" i="28"/>
  <c r="H420" i="28"/>
  <c r="H421" i="28"/>
  <c r="H422" i="28"/>
  <c r="H423" i="28"/>
  <c r="H424" i="28"/>
  <c r="H425" i="28"/>
  <c r="H426" i="28"/>
  <c r="H427" i="28"/>
  <c r="H428" i="28"/>
  <c r="H429" i="28"/>
  <c r="H430" i="28"/>
  <c r="H431" i="28"/>
  <c r="H432" i="28"/>
  <c r="H433" i="28"/>
  <c r="H434" i="28"/>
  <c r="H435" i="28"/>
  <c r="H436" i="28"/>
  <c r="H437" i="28"/>
  <c r="H438" i="28"/>
  <c r="H439" i="28"/>
  <c r="H440" i="28"/>
  <c r="H441" i="28"/>
  <c r="H442" i="28"/>
  <c r="H443" i="28"/>
  <c r="H444" i="28"/>
  <c r="H445" i="28"/>
  <c r="H446" i="28"/>
  <c r="H447" i="28"/>
  <c r="H448" i="28"/>
  <c r="H449" i="28"/>
  <c r="H450" i="28"/>
  <c r="H451" i="28"/>
  <c r="H452" i="28"/>
  <c r="H453" i="28"/>
  <c r="H454" i="28"/>
  <c r="H455" i="28"/>
  <c r="H456" i="28"/>
  <c r="H457" i="28"/>
  <c r="H458" i="28"/>
  <c r="H459" i="28"/>
  <c r="H460" i="28"/>
  <c r="H461" i="28"/>
  <c r="H462" i="28"/>
  <c r="H463" i="28"/>
  <c r="H464" i="28"/>
  <c r="H465" i="28"/>
  <c r="H466" i="28"/>
  <c r="H467" i="28"/>
  <c r="H468" i="28"/>
  <c r="H469" i="28"/>
  <c r="H470" i="28"/>
  <c r="H471" i="28"/>
  <c r="H472" i="28"/>
  <c r="H473" i="28"/>
  <c r="H474" i="28"/>
  <c r="H475" i="28"/>
  <c r="H476" i="28"/>
  <c r="H477" i="28"/>
  <c r="H478" i="28"/>
  <c r="H479" i="28"/>
  <c r="H480" i="28"/>
  <c r="H481" i="28"/>
  <c r="H482" i="28"/>
  <c r="H483" i="28"/>
  <c r="H484" i="28"/>
  <c r="H485" i="28"/>
  <c r="H486" i="28"/>
  <c r="H487" i="28"/>
  <c r="H488" i="28"/>
  <c r="H489" i="28"/>
  <c r="H490" i="28"/>
  <c r="H491" i="28"/>
  <c r="H492" i="28"/>
  <c r="H493" i="28"/>
  <c r="H494" i="28"/>
  <c r="H495" i="28"/>
  <c r="H496" i="28"/>
  <c r="H497" i="28"/>
  <c r="H498" i="28"/>
  <c r="H499" i="28"/>
  <c r="H500" i="28"/>
  <c r="H501" i="28"/>
  <c r="H502" i="28"/>
  <c r="H503" i="28"/>
  <c r="H504" i="28"/>
  <c r="H505" i="28"/>
  <c r="H506" i="28"/>
  <c r="H507" i="28"/>
  <c r="H508" i="28"/>
  <c r="H509" i="28"/>
  <c r="H510" i="28"/>
  <c r="H511" i="28"/>
  <c r="H512" i="28"/>
  <c r="H513" i="28"/>
  <c r="H514" i="28"/>
  <c r="H515" i="28"/>
  <c r="H516" i="28"/>
  <c r="H517" i="28"/>
  <c r="H518" i="28"/>
  <c r="I3" i="28"/>
  <c r="I4" i="28"/>
  <c r="I5" i="28"/>
  <c r="I6" i="28"/>
  <c r="I7" i="28"/>
  <c r="I8" i="28"/>
  <c r="I9" i="28"/>
  <c r="I10" i="28"/>
  <c r="I11" i="28"/>
  <c r="I12" i="28"/>
  <c r="I13" i="28"/>
  <c r="I14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144" i="28"/>
  <c r="I145" i="28"/>
  <c r="I146" i="28"/>
  <c r="I147" i="28"/>
  <c r="I148" i="28"/>
  <c r="I149" i="28"/>
  <c r="I150" i="28"/>
  <c r="I151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I168" i="28"/>
  <c r="I169" i="28"/>
  <c r="I170" i="28"/>
  <c r="I171" i="28"/>
  <c r="I172" i="28"/>
  <c r="I173" i="28"/>
  <c r="I174" i="28"/>
  <c r="I175" i="28"/>
  <c r="I176" i="28"/>
  <c r="I177" i="28"/>
  <c r="I178" i="28"/>
  <c r="I179" i="28"/>
  <c r="I180" i="28"/>
  <c r="I181" i="28"/>
  <c r="I182" i="28"/>
  <c r="I183" i="28"/>
  <c r="I184" i="28"/>
  <c r="I185" i="28"/>
  <c r="I186" i="28"/>
  <c r="I187" i="28"/>
  <c r="I188" i="28"/>
  <c r="I189" i="28"/>
  <c r="I190" i="28"/>
  <c r="I191" i="28"/>
  <c r="I192" i="28"/>
  <c r="I193" i="28"/>
  <c r="I194" i="28"/>
  <c r="I195" i="28"/>
  <c r="I196" i="28"/>
  <c r="I197" i="28"/>
  <c r="I198" i="28"/>
  <c r="I199" i="28"/>
  <c r="I200" i="28"/>
  <c r="I201" i="28"/>
  <c r="I202" i="28"/>
  <c r="I203" i="28"/>
  <c r="I204" i="28"/>
  <c r="I205" i="28"/>
  <c r="I206" i="28"/>
  <c r="I207" i="28"/>
  <c r="I208" i="28"/>
  <c r="I209" i="28"/>
  <c r="I210" i="28"/>
  <c r="I211" i="28"/>
  <c r="I212" i="28"/>
  <c r="I213" i="28"/>
  <c r="I214" i="28"/>
  <c r="I215" i="28"/>
  <c r="I216" i="28"/>
  <c r="I217" i="28"/>
  <c r="I218" i="28"/>
  <c r="I219" i="28"/>
  <c r="I220" i="28"/>
  <c r="I221" i="28"/>
  <c r="I222" i="28"/>
  <c r="I223" i="28"/>
  <c r="I224" i="28"/>
  <c r="I225" i="28"/>
  <c r="I226" i="28"/>
  <c r="I227" i="28"/>
  <c r="I228" i="28"/>
  <c r="I229" i="28"/>
  <c r="I230" i="28"/>
  <c r="I231" i="28"/>
  <c r="I232" i="28"/>
  <c r="I233" i="28"/>
  <c r="I234" i="28"/>
  <c r="I235" i="28"/>
  <c r="I236" i="28"/>
  <c r="I237" i="28"/>
  <c r="I238" i="28"/>
  <c r="I239" i="28"/>
  <c r="I240" i="28"/>
  <c r="I241" i="28"/>
  <c r="I242" i="28"/>
  <c r="I243" i="28"/>
  <c r="I244" i="28"/>
  <c r="I245" i="28"/>
  <c r="I246" i="28"/>
  <c r="I247" i="28"/>
  <c r="I248" i="28"/>
  <c r="I249" i="28"/>
  <c r="I250" i="28"/>
  <c r="I251" i="28"/>
  <c r="I252" i="28"/>
  <c r="I253" i="28"/>
  <c r="I254" i="28"/>
  <c r="I255" i="28"/>
  <c r="I256" i="28"/>
  <c r="I257" i="28"/>
  <c r="I258" i="28"/>
  <c r="I259" i="28"/>
  <c r="I260" i="28"/>
  <c r="I261" i="28"/>
  <c r="I262" i="28"/>
  <c r="I263" i="28"/>
  <c r="I264" i="28"/>
  <c r="I265" i="28"/>
  <c r="I266" i="28"/>
  <c r="I267" i="28"/>
  <c r="I268" i="28"/>
  <c r="I269" i="28"/>
  <c r="I270" i="28"/>
  <c r="I271" i="28"/>
  <c r="I272" i="28"/>
  <c r="I273" i="28"/>
  <c r="I274" i="28"/>
  <c r="I275" i="28"/>
  <c r="I276" i="28"/>
  <c r="I277" i="28"/>
  <c r="I278" i="28"/>
  <c r="I279" i="28"/>
  <c r="I280" i="28"/>
  <c r="I281" i="28"/>
  <c r="I282" i="28"/>
  <c r="I283" i="28"/>
  <c r="I284" i="28"/>
  <c r="I285" i="28"/>
  <c r="I286" i="28"/>
  <c r="I287" i="28"/>
  <c r="I288" i="28"/>
  <c r="I289" i="28"/>
  <c r="I290" i="28"/>
  <c r="I291" i="28"/>
  <c r="I292" i="28"/>
  <c r="I293" i="28"/>
  <c r="I294" i="28"/>
  <c r="I295" i="28"/>
  <c r="I296" i="28"/>
  <c r="I297" i="28"/>
  <c r="I298" i="28"/>
  <c r="I299" i="28"/>
  <c r="I300" i="28"/>
  <c r="I301" i="28"/>
  <c r="I302" i="28"/>
  <c r="I303" i="28"/>
  <c r="I304" i="28"/>
  <c r="I305" i="28"/>
  <c r="I306" i="28"/>
  <c r="I307" i="28"/>
  <c r="I308" i="28"/>
  <c r="I309" i="28"/>
  <c r="I310" i="28"/>
  <c r="I311" i="28"/>
  <c r="I312" i="28"/>
  <c r="I313" i="28"/>
  <c r="I314" i="28"/>
  <c r="I315" i="28"/>
  <c r="I316" i="28"/>
  <c r="I317" i="28"/>
  <c r="I318" i="28"/>
  <c r="I319" i="28"/>
  <c r="I320" i="28"/>
  <c r="I321" i="28"/>
  <c r="I322" i="28"/>
  <c r="I323" i="28"/>
  <c r="I324" i="28"/>
  <c r="I325" i="28"/>
  <c r="I326" i="28"/>
  <c r="I327" i="28"/>
  <c r="I328" i="28"/>
  <c r="I329" i="28"/>
  <c r="I330" i="28"/>
  <c r="I331" i="28"/>
  <c r="I332" i="28"/>
  <c r="I333" i="28"/>
  <c r="I334" i="28"/>
  <c r="I335" i="28"/>
  <c r="I336" i="28"/>
  <c r="I337" i="28"/>
  <c r="I338" i="28"/>
  <c r="I339" i="28"/>
  <c r="I340" i="28"/>
  <c r="I341" i="28"/>
  <c r="I342" i="28"/>
  <c r="I343" i="28"/>
  <c r="I344" i="28"/>
  <c r="I345" i="28"/>
  <c r="I346" i="28"/>
  <c r="I347" i="28"/>
  <c r="I348" i="28"/>
  <c r="I349" i="28"/>
  <c r="I350" i="28"/>
  <c r="I351" i="28"/>
  <c r="I352" i="28"/>
  <c r="I353" i="28"/>
  <c r="I354" i="28"/>
  <c r="I355" i="28"/>
  <c r="I356" i="28"/>
  <c r="I357" i="28"/>
  <c r="I358" i="28"/>
  <c r="I359" i="28"/>
  <c r="I360" i="28"/>
  <c r="I361" i="28"/>
  <c r="I362" i="28"/>
  <c r="I363" i="28"/>
  <c r="I364" i="28"/>
  <c r="I365" i="28"/>
  <c r="I366" i="28"/>
  <c r="I367" i="28"/>
  <c r="I368" i="28"/>
  <c r="I369" i="28"/>
  <c r="I370" i="28"/>
  <c r="I371" i="28"/>
  <c r="I372" i="28"/>
  <c r="I373" i="28"/>
  <c r="I374" i="28"/>
  <c r="I375" i="28"/>
  <c r="I376" i="28"/>
  <c r="I377" i="28"/>
  <c r="I378" i="28"/>
  <c r="I379" i="28"/>
  <c r="I380" i="28"/>
  <c r="I381" i="28"/>
  <c r="I382" i="28"/>
  <c r="I383" i="28"/>
  <c r="I384" i="28"/>
  <c r="I385" i="28"/>
  <c r="I386" i="28"/>
  <c r="I387" i="28"/>
  <c r="I388" i="28"/>
  <c r="I389" i="28"/>
  <c r="I390" i="28"/>
  <c r="I391" i="28"/>
  <c r="I392" i="28"/>
  <c r="I393" i="28"/>
  <c r="I394" i="28"/>
  <c r="I395" i="28"/>
  <c r="I396" i="28"/>
  <c r="I397" i="28"/>
  <c r="I398" i="28"/>
  <c r="I399" i="28"/>
  <c r="I400" i="28"/>
  <c r="I401" i="28"/>
  <c r="I402" i="28"/>
  <c r="I403" i="28"/>
  <c r="I404" i="28"/>
  <c r="I405" i="28"/>
  <c r="I406" i="28"/>
  <c r="I407" i="28"/>
  <c r="I408" i="28"/>
  <c r="I409" i="28"/>
  <c r="I410" i="28"/>
  <c r="I411" i="28"/>
  <c r="I412" i="28"/>
  <c r="I413" i="28"/>
  <c r="I414" i="28"/>
  <c r="I415" i="28"/>
  <c r="I416" i="28"/>
  <c r="I417" i="28"/>
  <c r="I418" i="28"/>
  <c r="I419" i="28"/>
  <c r="I420" i="28"/>
  <c r="I421" i="28"/>
  <c r="I422" i="28"/>
  <c r="I423" i="28"/>
  <c r="I424" i="28"/>
  <c r="I425" i="28"/>
  <c r="I426" i="28"/>
  <c r="I427" i="28"/>
  <c r="I428" i="28"/>
  <c r="I429" i="28"/>
  <c r="I430" i="28"/>
  <c r="I431" i="28"/>
  <c r="I432" i="28"/>
  <c r="I433" i="28"/>
  <c r="I434" i="28"/>
  <c r="I435" i="28"/>
  <c r="I436" i="28"/>
  <c r="I437" i="28"/>
  <c r="I438" i="28"/>
  <c r="I439" i="28"/>
  <c r="I440" i="28"/>
  <c r="I441" i="28"/>
  <c r="I442" i="28"/>
  <c r="I443" i="28"/>
  <c r="I444" i="28"/>
  <c r="I445" i="28"/>
  <c r="I446" i="28"/>
  <c r="I447" i="28"/>
  <c r="I448" i="28"/>
  <c r="I449" i="28"/>
  <c r="I450" i="28"/>
  <c r="I451" i="28"/>
  <c r="I452" i="28"/>
  <c r="I453" i="28"/>
  <c r="I454" i="28"/>
  <c r="I455" i="28"/>
  <c r="I456" i="28"/>
  <c r="I457" i="28"/>
  <c r="I458" i="28"/>
  <c r="I459" i="28"/>
  <c r="I460" i="28"/>
  <c r="I461" i="28"/>
  <c r="I462" i="28"/>
  <c r="I463" i="28"/>
  <c r="I464" i="28"/>
  <c r="I465" i="28"/>
  <c r="I466" i="28"/>
  <c r="I467" i="28"/>
  <c r="I468" i="28"/>
  <c r="I469" i="28"/>
  <c r="I470" i="28"/>
  <c r="I471" i="28"/>
  <c r="I472" i="28"/>
  <c r="I473" i="28"/>
  <c r="I474" i="28"/>
  <c r="I475" i="28"/>
  <c r="I476" i="28"/>
  <c r="I477" i="28"/>
  <c r="I478" i="28"/>
  <c r="I479" i="28"/>
  <c r="I480" i="28"/>
  <c r="I481" i="28"/>
  <c r="I482" i="28"/>
  <c r="I483" i="28"/>
  <c r="I484" i="28"/>
  <c r="I485" i="28"/>
  <c r="I486" i="28"/>
  <c r="I487" i="28"/>
  <c r="I488" i="28"/>
  <c r="I489" i="28"/>
  <c r="I490" i="28"/>
  <c r="I491" i="28"/>
  <c r="I492" i="28"/>
  <c r="I493" i="28"/>
  <c r="I494" i="28"/>
  <c r="I495" i="28"/>
  <c r="I496" i="28"/>
  <c r="I497" i="28"/>
  <c r="I498" i="28"/>
  <c r="I499" i="28"/>
  <c r="I500" i="28"/>
  <c r="I501" i="28"/>
  <c r="I502" i="28"/>
  <c r="I503" i="28"/>
  <c r="I504" i="28"/>
  <c r="I505" i="28"/>
  <c r="I506" i="28"/>
  <c r="I507" i="28"/>
  <c r="I508" i="28"/>
  <c r="I509" i="28"/>
  <c r="I510" i="28"/>
  <c r="I511" i="28"/>
  <c r="I512" i="28"/>
  <c r="I513" i="28"/>
  <c r="I514" i="28"/>
  <c r="I515" i="28"/>
  <c r="I516" i="28"/>
  <c r="I517" i="28"/>
  <c r="I518" i="28"/>
  <c r="I16" i="30"/>
  <c r="G16" i="30" s="1"/>
  <c r="Q239" i="21"/>
  <c r="Q238" i="21"/>
  <c r="Q237" i="21"/>
  <c r="Q236" i="21"/>
  <c r="Q235" i="21"/>
  <c r="Q234" i="21"/>
  <c r="Q233" i="21"/>
  <c r="Q232" i="21"/>
  <c r="Q231" i="21"/>
  <c r="Q230" i="21"/>
  <c r="Q229" i="21"/>
  <c r="Q228" i="21"/>
  <c r="Q227" i="21"/>
  <c r="Q226" i="21"/>
  <c r="Q225" i="21"/>
  <c r="Q224" i="21"/>
  <c r="Q223" i="21"/>
  <c r="Q222" i="21"/>
  <c r="Q221" i="21"/>
  <c r="Q220" i="21"/>
  <c r="Q219" i="21"/>
  <c r="Q218" i="21"/>
  <c r="Q217" i="21"/>
  <c r="Q216" i="21"/>
  <c r="Q215" i="21"/>
  <c r="M21" i="30"/>
  <c r="M25" i="30"/>
  <c r="M26" i="30"/>
  <c r="M29" i="30"/>
  <c r="M41" i="30"/>
  <c r="M45" i="30"/>
  <c r="M53" i="30"/>
  <c r="M54" i="30"/>
  <c r="M57" i="30"/>
  <c r="M60" i="30"/>
  <c r="M61" i="30"/>
  <c r="M85" i="30"/>
  <c r="M93" i="30"/>
  <c r="M117" i="30"/>
  <c r="M124" i="30"/>
  <c r="M125" i="30"/>
  <c r="M137" i="30"/>
  <c r="M156" i="30"/>
  <c r="M157" i="30"/>
  <c r="Q188" i="21"/>
  <c r="I18" i="30"/>
  <c r="I15" i="30"/>
  <c r="I17" i="30"/>
  <c r="I14" i="30"/>
  <c r="I6" i="30"/>
  <c r="F15" i="28"/>
  <c r="H15" i="28" s="1"/>
  <c r="M13" i="30"/>
  <c r="Q175" i="21"/>
  <c r="Q176" i="21"/>
  <c r="O16" i="26"/>
  <c r="O17" i="26" s="1"/>
  <c r="H5" i="26"/>
  <c r="H7" i="26" s="1"/>
  <c r="H8" i="29"/>
  <c r="N3" i="30"/>
  <c r="N4" i="30"/>
  <c r="N5" i="30"/>
  <c r="N8" i="30"/>
  <c r="N9" i="30"/>
  <c r="N10" i="30"/>
  <c r="N11" i="30"/>
  <c r="N13" i="30"/>
  <c r="N21" i="30"/>
  <c r="N25" i="30"/>
  <c r="N29" i="30"/>
  <c r="N30" i="30"/>
  <c r="N2" i="30"/>
  <c r="I12" i="30"/>
  <c r="G12" i="30" s="1"/>
  <c r="L11" i="26"/>
  <c r="N16" i="30" l="1"/>
  <c r="N6" i="30"/>
  <c r="G6" i="30"/>
  <c r="M15" i="30"/>
  <c r="G15" i="30"/>
  <c r="M19" i="30"/>
  <c r="G19" i="30"/>
  <c r="N159" i="30"/>
  <c r="G159" i="30"/>
  <c r="N147" i="30"/>
  <c r="G147" i="30"/>
  <c r="N115" i="30"/>
  <c r="G115" i="30"/>
  <c r="N32" i="30"/>
  <c r="G32" i="30"/>
  <c r="M28" i="30"/>
  <c r="G28" i="30"/>
  <c r="M24" i="30"/>
  <c r="G24" i="30"/>
  <c r="N20" i="30"/>
  <c r="G20" i="30"/>
  <c r="M14" i="30"/>
  <c r="G14" i="30"/>
  <c r="M31" i="30"/>
  <c r="G31" i="30"/>
  <c r="M27" i="30"/>
  <c r="G27" i="30"/>
  <c r="M23" i="30"/>
  <c r="G23" i="30"/>
  <c r="G5" i="30"/>
  <c r="H5" i="30"/>
  <c r="N165" i="30"/>
  <c r="G165" i="30"/>
  <c r="N157" i="30"/>
  <c r="G157" i="30"/>
  <c r="N153" i="30"/>
  <c r="G153" i="30"/>
  <c r="N149" i="30"/>
  <c r="G149" i="30"/>
  <c r="N145" i="30"/>
  <c r="G145" i="30"/>
  <c r="N137" i="30"/>
  <c r="G137" i="30"/>
  <c r="N129" i="30"/>
  <c r="G129" i="30"/>
  <c r="N125" i="30"/>
  <c r="G125" i="30"/>
  <c r="N121" i="30"/>
  <c r="G121" i="30"/>
  <c r="N117" i="30"/>
  <c r="G117" i="30"/>
  <c r="N113" i="30"/>
  <c r="G113" i="30"/>
  <c r="N109" i="30"/>
  <c r="G109" i="30"/>
  <c r="N101" i="30"/>
  <c r="G101" i="30"/>
  <c r="N93" i="30"/>
  <c r="N89" i="30"/>
  <c r="G89" i="30"/>
  <c r="N85" i="30"/>
  <c r="G85" i="30"/>
  <c r="N81" i="30"/>
  <c r="G81" i="30"/>
  <c r="N73" i="30"/>
  <c r="G73" i="30"/>
  <c r="N65" i="30"/>
  <c r="G65" i="30"/>
  <c r="N61" i="30"/>
  <c r="G61" i="30"/>
  <c r="N54" i="30"/>
  <c r="G54" i="30"/>
  <c r="N50" i="30"/>
  <c r="G50" i="30"/>
  <c r="N46" i="30"/>
  <c r="G46" i="30"/>
  <c r="N38" i="30"/>
  <c r="G38" i="30"/>
  <c r="N34" i="30"/>
  <c r="G34" i="30"/>
  <c r="M30" i="30"/>
  <c r="G30" i="30"/>
  <c r="N26" i="30"/>
  <c r="G26" i="30"/>
  <c r="M22" i="30"/>
  <c r="G22" i="30"/>
  <c r="M18" i="30"/>
  <c r="G18" i="30"/>
  <c r="M17" i="30"/>
  <c r="G17" i="30"/>
  <c r="N164" i="30"/>
  <c r="G164" i="30"/>
  <c r="N156" i="30"/>
  <c r="G156" i="30"/>
  <c r="N152" i="30"/>
  <c r="G152" i="30"/>
  <c r="N148" i="30"/>
  <c r="G148" i="30"/>
  <c r="N140" i="30"/>
  <c r="G140" i="30"/>
  <c r="N136" i="30"/>
  <c r="G136" i="30"/>
  <c r="N132" i="30"/>
  <c r="G132" i="30"/>
  <c r="N124" i="30"/>
  <c r="G124" i="30"/>
  <c r="N120" i="30"/>
  <c r="G120" i="30"/>
  <c r="N116" i="30"/>
  <c r="G116" i="30"/>
  <c r="N108" i="30"/>
  <c r="G108" i="30"/>
  <c r="N104" i="30"/>
  <c r="G104" i="30"/>
  <c r="N100" i="30"/>
  <c r="G100" i="30"/>
  <c r="N92" i="30"/>
  <c r="N88" i="30"/>
  <c r="G88" i="30"/>
  <c r="N84" i="30"/>
  <c r="G84" i="30"/>
  <c r="N76" i="30"/>
  <c r="G76" i="30"/>
  <c r="N72" i="30"/>
  <c r="G72" i="30"/>
  <c r="N68" i="30"/>
  <c r="G68" i="30"/>
  <c r="N60" i="30"/>
  <c r="G60" i="30"/>
  <c r="N57" i="30"/>
  <c r="G57" i="30"/>
  <c r="N53" i="30"/>
  <c r="G53" i="30"/>
  <c r="N45" i="30"/>
  <c r="G45" i="30"/>
  <c r="N41" i="30"/>
  <c r="N37" i="30"/>
  <c r="G37" i="30"/>
  <c r="N161" i="30"/>
  <c r="M161" i="30"/>
  <c r="N141" i="30"/>
  <c r="M141" i="30"/>
  <c r="N133" i="30"/>
  <c r="M133" i="30"/>
  <c r="N105" i="30"/>
  <c r="M105" i="30"/>
  <c r="N97" i="30"/>
  <c r="M97" i="30"/>
  <c r="N77" i="30"/>
  <c r="M77" i="30"/>
  <c r="N69" i="30"/>
  <c r="M69" i="30"/>
  <c r="N42" i="30"/>
  <c r="M42" i="30"/>
  <c r="M129" i="30"/>
  <c r="M109" i="30"/>
  <c r="M65" i="30"/>
  <c r="M46" i="30"/>
  <c r="M34" i="30"/>
  <c r="M165" i="30"/>
  <c r="M153" i="30"/>
  <c r="M145" i="30"/>
  <c r="M121" i="30"/>
  <c r="M113" i="30"/>
  <c r="M101" i="30"/>
  <c r="M89" i="30"/>
  <c r="M81" i="30"/>
  <c r="M50" i="30"/>
  <c r="M38" i="30"/>
  <c r="M37" i="30"/>
  <c r="M155" i="30"/>
  <c r="N155" i="30"/>
  <c r="M167" i="30"/>
  <c r="N167" i="30"/>
  <c r="M163" i="30"/>
  <c r="N163" i="30"/>
  <c r="M151" i="30"/>
  <c r="N151" i="30"/>
  <c r="M143" i="30"/>
  <c r="N143" i="30"/>
  <c r="M139" i="30"/>
  <c r="N139" i="30"/>
  <c r="M131" i="30"/>
  <c r="N131" i="30"/>
  <c r="M123" i="30"/>
  <c r="N123" i="30"/>
  <c r="M119" i="30"/>
  <c r="N119" i="30"/>
  <c r="M111" i="30"/>
  <c r="N111" i="30"/>
  <c r="M103" i="30"/>
  <c r="N103" i="30"/>
  <c r="M95" i="30"/>
  <c r="N95" i="30"/>
  <c r="M87" i="30"/>
  <c r="N87" i="30"/>
  <c r="M79" i="30"/>
  <c r="N79" i="30"/>
  <c r="M71" i="30"/>
  <c r="N71" i="30"/>
  <c r="M63" i="30"/>
  <c r="N63" i="30"/>
  <c r="M56" i="30"/>
  <c r="N56" i="30"/>
  <c r="M52" i="30"/>
  <c r="N52" i="30"/>
  <c r="M44" i="30"/>
  <c r="N44" i="30"/>
  <c r="M36" i="30"/>
  <c r="N36" i="30"/>
  <c r="M166" i="30"/>
  <c r="N166" i="30"/>
  <c r="M162" i="30"/>
  <c r="N162" i="30"/>
  <c r="M158" i="30"/>
  <c r="N158" i="30"/>
  <c r="M154" i="30"/>
  <c r="N154" i="30"/>
  <c r="M150" i="30"/>
  <c r="N150" i="30"/>
  <c r="M146" i="30"/>
  <c r="N146" i="30"/>
  <c r="M142" i="30"/>
  <c r="N142" i="30"/>
  <c r="M138" i="30"/>
  <c r="N138" i="30"/>
  <c r="M134" i="30"/>
  <c r="N134" i="30"/>
  <c r="M130" i="30"/>
  <c r="N130" i="30"/>
  <c r="M126" i="30"/>
  <c r="N126" i="30"/>
  <c r="M122" i="30"/>
  <c r="N122" i="30"/>
  <c r="M118" i="30"/>
  <c r="N118" i="30"/>
  <c r="M114" i="30"/>
  <c r="N114" i="30"/>
  <c r="M110" i="30"/>
  <c r="N110" i="30"/>
  <c r="M106" i="30"/>
  <c r="N106" i="30"/>
  <c r="M102" i="30"/>
  <c r="N102" i="30"/>
  <c r="M98" i="30"/>
  <c r="N98" i="30"/>
  <c r="M94" i="30"/>
  <c r="N94" i="30"/>
  <c r="M90" i="30"/>
  <c r="N90" i="30"/>
  <c r="M86" i="30"/>
  <c r="N86" i="30"/>
  <c r="M82" i="30"/>
  <c r="N82" i="30"/>
  <c r="M78" i="30"/>
  <c r="N78" i="30"/>
  <c r="M74" i="30"/>
  <c r="N74" i="30"/>
  <c r="M70" i="30"/>
  <c r="N70" i="30"/>
  <c r="M66" i="30"/>
  <c r="N66" i="30"/>
  <c r="M62" i="30"/>
  <c r="N62" i="30"/>
  <c r="M58" i="30"/>
  <c r="N58" i="30"/>
  <c r="M55" i="30"/>
  <c r="N55" i="30"/>
  <c r="M51" i="30"/>
  <c r="N51" i="30"/>
  <c r="M47" i="30"/>
  <c r="N47" i="30"/>
  <c r="M43" i="30"/>
  <c r="N43" i="30"/>
  <c r="M39" i="30"/>
  <c r="N39" i="30"/>
  <c r="M35" i="30"/>
  <c r="N35" i="30"/>
  <c r="M135" i="30"/>
  <c r="N135" i="30"/>
  <c r="M127" i="30"/>
  <c r="N127" i="30"/>
  <c r="M107" i="30"/>
  <c r="N107" i="30"/>
  <c r="M99" i="30"/>
  <c r="N99" i="30"/>
  <c r="M91" i="30"/>
  <c r="N91" i="30"/>
  <c r="M83" i="30"/>
  <c r="N83" i="30"/>
  <c r="M75" i="30"/>
  <c r="N75" i="30"/>
  <c r="M67" i="30"/>
  <c r="N67" i="30"/>
  <c r="M59" i="30"/>
  <c r="N59" i="30"/>
  <c r="M48" i="30"/>
  <c r="N48" i="30"/>
  <c r="M40" i="30"/>
  <c r="N40" i="30"/>
  <c r="M160" i="30"/>
  <c r="N160" i="30"/>
  <c r="M144" i="30"/>
  <c r="N144" i="30"/>
  <c r="M128" i="30"/>
  <c r="N128" i="30"/>
  <c r="M112" i="30"/>
  <c r="N112" i="30"/>
  <c r="M96" i="30"/>
  <c r="N96" i="30"/>
  <c r="M80" i="30"/>
  <c r="N80" i="30"/>
  <c r="M64" i="30"/>
  <c r="N64" i="30"/>
  <c r="M49" i="30"/>
  <c r="N49" i="30"/>
  <c r="M33" i="30"/>
  <c r="N33" i="30"/>
  <c r="N19" i="30"/>
  <c r="M32" i="30"/>
  <c r="N24" i="30"/>
  <c r="M159" i="30"/>
  <c r="M147" i="30"/>
  <c r="M115" i="30"/>
  <c r="M20" i="30"/>
  <c r="N28" i="30"/>
  <c r="N31" i="30"/>
  <c r="N27" i="30"/>
  <c r="N23" i="30"/>
  <c r="N17" i="30"/>
  <c r="N18" i="30"/>
  <c r="I15" i="28"/>
  <c r="N14" i="30"/>
  <c r="N12" i="30"/>
  <c r="M16" i="30"/>
  <c r="N15" i="30"/>
  <c r="M12" i="30"/>
  <c r="L9" i="26"/>
  <c r="M11" i="30"/>
  <c r="M10" i="30"/>
  <c r="J168" i="30"/>
  <c r="M168" i="30" s="1"/>
  <c r="J169" i="30"/>
  <c r="M169" i="30" s="1"/>
  <c r="J170" i="30"/>
  <c r="N170" i="30" s="1"/>
  <c r="J171" i="30"/>
  <c r="N171" i="30" s="1"/>
  <c r="J172" i="30"/>
  <c r="M172" i="30" s="1"/>
  <c r="J173" i="30"/>
  <c r="M173" i="30" s="1"/>
  <c r="J174" i="30"/>
  <c r="N174" i="30" s="1"/>
  <c r="J175" i="30"/>
  <c r="N175" i="30" s="1"/>
  <c r="J176" i="30"/>
  <c r="N176" i="30" s="1"/>
  <c r="J177" i="30"/>
  <c r="M177" i="30" s="1"/>
  <c r="J178" i="30"/>
  <c r="N178" i="30" s="1"/>
  <c r="J179" i="30"/>
  <c r="N179" i="30" s="1"/>
  <c r="J180" i="30"/>
  <c r="N180" i="30" s="1"/>
  <c r="J181" i="30"/>
  <c r="N181" i="30" s="1"/>
  <c r="J182" i="30"/>
  <c r="N182" i="30" s="1"/>
  <c r="J183" i="30"/>
  <c r="N183" i="30" s="1"/>
  <c r="J184" i="30"/>
  <c r="M184" i="30" s="1"/>
  <c r="J185" i="30"/>
  <c r="N185" i="30" s="1"/>
  <c r="J186" i="30"/>
  <c r="N186" i="30" s="1"/>
  <c r="J187" i="30"/>
  <c r="N187" i="30" s="1"/>
  <c r="J188" i="30"/>
  <c r="N188" i="30" s="1"/>
  <c r="J189" i="30"/>
  <c r="M189" i="30" s="1"/>
  <c r="J190" i="30"/>
  <c r="N190" i="30" s="1"/>
  <c r="J191" i="30"/>
  <c r="N191" i="30" s="1"/>
  <c r="J192" i="30"/>
  <c r="N192" i="30" s="1"/>
  <c r="J193" i="30"/>
  <c r="N193" i="30" s="1"/>
  <c r="J194" i="30"/>
  <c r="N194" i="30" s="1"/>
  <c r="J195" i="30"/>
  <c r="N195" i="30" s="1"/>
  <c r="J196" i="30"/>
  <c r="M196" i="30" s="1"/>
  <c r="J197" i="30"/>
  <c r="M197" i="30" s="1"/>
  <c r="J198" i="30"/>
  <c r="N198" i="30" s="1"/>
  <c r="J199" i="30"/>
  <c r="N199" i="30" s="1"/>
  <c r="J200" i="30"/>
  <c r="M200" i="30" s="1"/>
  <c r="J201" i="30"/>
  <c r="M201" i="30" s="1"/>
  <c r="J202" i="30"/>
  <c r="N202" i="30" s="1"/>
  <c r="J203" i="30"/>
  <c r="N203" i="30" s="1"/>
  <c r="J204" i="30"/>
  <c r="N204" i="30" s="1"/>
  <c r="J205" i="30"/>
  <c r="M205" i="30" s="1"/>
  <c r="J206" i="30"/>
  <c r="N206" i="30" s="1"/>
  <c r="J207" i="30"/>
  <c r="N207" i="30" s="1"/>
  <c r="J208" i="30"/>
  <c r="N208" i="30" s="1"/>
  <c r="J209" i="30"/>
  <c r="M209" i="30" s="1"/>
  <c r="J210" i="30"/>
  <c r="N210" i="30" s="1"/>
  <c r="J211" i="30"/>
  <c r="N211" i="30" s="1"/>
  <c r="J212" i="30"/>
  <c r="M212" i="30" s="1"/>
  <c r="J213" i="30"/>
  <c r="M213" i="30" s="1"/>
  <c r="J214" i="30"/>
  <c r="N214" i="30" s="1"/>
  <c r="J215" i="30"/>
  <c r="N215" i="30" s="1"/>
  <c r="J216" i="30"/>
  <c r="N216" i="30" s="1"/>
  <c r="J217" i="30"/>
  <c r="M217" i="30" s="1"/>
  <c r="J218" i="30"/>
  <c r="N218" i="30" s="1"/>
  <c r="J219" i="30"/>
  <c r="N219" i="30" s="1"/>
  <c r="J220" i="30"/>
  <c r="M220" i="30" s="1"/>
  <c r="J221" i="30"/>
  <c r="N221" i="30" s="1"/>
  <c r="J222" i="30"/>
  <c r="N222" i="30" s="1"/>
  <c r="J223" i="30"/>
  <c r="N223" i="30" s="1"/>
  <c r="J224" i="30"/>
  <c r="N224" i="30" s="1"/>
  <c r="J225" i="30"/>
  <c r="M225" i="30" s="1"/>
  <c r="J226" i="30"/>
  <c r="N226" i="30" s="1"/>
  <c r="J227" i="30"/>
  <c r="N227" i="30" s="1"/>
  <c r="J228" i="30"/>
  <c r="M228" i="30" s="1"/>
  <c r="J229" i="30"/>
  <c r="M229" i="30" s="1"/>
  <c r="J230" i="30"/>
  <c r="N230" i="30" s="1"/>
  <c r="J231" i="30"/>
  <c r="N231" i="30" s="1"/>
  <c r="J232" i="30"/>
  <c r="M232" i="30" s="1"/>
  <c r="J233" i="30"/>
  <c r="M233" i="30" s="1"/>
  <c r="J234" i="30"/>
  <c r="N234" i="30" s="1"/>
  <c r="J235" i="30"/>
  <c r="N235" i="30" s="1"/>
  <c r="J236" i="30"/>
  <c r="M236" i="30" s="1"/>
  <c r="J237" i="30"/>
  <c r="M237" i="30" s="1"/>
  <c r="J238" i="30"/>
  <c r="N238" i="30" s="1"/>
  <c r="J239" i="30"/>
  <c r="N239" i="30" s="1"/>
  <c r="J240" i="30"/>
  <c r="N240" i="30" s="1"/>
  <c r="J241" i="30"/>
  <c r="M241" i="30" s="1"/>
  <c r="J242" i="30"/>
  <c r="N242" i="30" s="1"/>
  <c r="J243" i="30"/>
  <c r="N243" i="30" s="1"/>
  <c r="J244" i="30"/>
  <c r="M244" i="30" s="1"/>
  <c r="J245" i="30"/>
  <c r="M245" i="30" s="1"/>
  <c r="J246" i="30"/>
  <c r="N246" i="30" s="1"/>
  <c r="J247" i="30"/>
  <c r="N247" i="30" s="1"/>
  <c r="J248" i="30"/>
  <c r="M248" i="30" s="1"/>
  <c r="J249" i="30"/>
  <c r="M249" i="30" s="1"/>
  <c r="J250" i="30"/>
  <c r="N250" i="30" s="1"/>
  <c r="J251" i="30"/>
  <c r="N251" i="30" s="1"/>
  <c r="J252" i="30"/>
  <c r="N252" i="30" s="1"/>
  <c r="J253" i="30"/>
  <c r="N253" i="30" s="1"/>
  <c r="J254" i="30"/>
  <c r="N254" i="30" s="1"/>
  <c r="J255" i="30"/>
  <c r="N255" i="30" s="1"/>
  <c r="J256" i="30"/>
  <c r="N256" i="30" s="1"/>
  <c r="J257" i="30"/>
  <c r="M257" i="30" s="1"/>
  <c r="J258" i="30"/>
  <c r="N258" i="30" s="1"/>
  <c r="J259" i="30"/>
  <c r="N259" i="30" s="1"/>
  <c r="J260" i="30"/>
  <c r="N260" i="30" s="1"/>
  <c r="J261" i="30"/>
  <c r="M261" i="30" s="1"/>
  <c r="J262" i="30"/>
  <c r="N262" i="30" s="1"/>
  <c r="J263" i="30"/>
  <c r="N263" i="30" s="1"/>
  <c r="J264" i="30"/>
  <c r="M264" i="30" s="1"/>
  <c r="J265" i="30"/>
  <c r="J266" i="30"/>
  <c r="N266" i="30" s="1"/>
  <c r="J267" i="30"/>
  <c r="N267" i="30" s="1"/>
  <c r="J268" i="30"/>
  <c r="N268" i="30" s="1"/>
  <c r="J269" i="30"/>
  <c r="J270" i="30"/>
  <c r="N270" i="30" s="1"/>
  <c r="J271" i="30"/>
  <c r="N271" i="30" s="1"/>
  <c r="J272" i="30"/>
  <c r="N272" i="30" s="1"/>
  <c r="J273" i="30"/>
  <c r="J274" i="30"/>
  <c r="N274" i="30" s="1"/>
  <c r="J275" i="30"/>
  <c r="N275" i="30" s="1"/>
  <c r="J276" i="30"/>
  <c r="M276" i="30" s="1"/>
  <c r="J277" i="30"/>
  <c r="J278" i="30"/>
  <c r="N278" i="30" s="1"/>
  <c r="J279" i="30"/>
  <c r="N279" i="30" s="1"/>
  <c r="J280" i="30"/>
  <c r="M280" i="30" s="1"/>
  <c r="J281" i="30"/>
  <c r="J282" i="30"/>
  <c r="N282" i="30" s="1"/>
  <c r="J283" i="30"/>
  <c r="N283" i="30" s="1"/>
  <c r="J284" i="30"/>
  <c r="M284" i="30" s="1"/>
  <c r="J285" i="30"/>
  <c r="J286" i="30"/>
  <c r="N286" i="30" s="1"/>
  <c r="J287" i="30"/>
  <c r="N287" i="30" s="1"/>
  <c r="J288" i="30"/>
  <c r="N288" i="30" s="1"/>
  <c r="J289" i="30"/>
  <c r="J290" i="30"/>
  <c r="N290" i="30" s="1"/>
  <c r="J291" i="30"/>
  <c r="N291" i="30" s="1"/>
  <c r="J292" i="30"/>
  <c r="M292" i="30" s="1"/>
  <c r="J293" i="30"/>
  <c r="J294" i="30"/>
  <c r="N294" i="30" s="1"/>
  <c r="J295" i="30"/>
  <c r="N295" i="30" s="1"/>
  <c r="J296" i="30"/>
  <c r="N296" i="30" s="1"/>
  <c r="J297" i="30"/>
  <c r="J298" i="30"/>
  <c r="N298" i="30" s="1"/>
  <c r="J299" i="30"/>
  <c r="N299" i="30" s="1"/>
  <c r="J300" i="30"/>
  <c r="N300" i="30" s="1"/>
  <c r="J301" i="30"/>
  <c r="J302" i="30"/>
  <c r="N302" i="30" s="1"/>
  <c r="J303" i="30"/>
  <c r="N303" i="30" s="1"/>
  <c r="J304" i="30"/>
  <c r="N304" i="30" s="1"/>
  <c r="J305" i="30"/>
  <c r="J306" i="30"/>
  <c r="N306" i="30" s="1"/>
  <c r="J307" i="30"/>
  <c r="N307" i="30" s="1"/>
  <c r="J308" i="30"/>
  <c r="M308" i="30" s="1"/>
  <c r="J309" i="30"/>
  <c r="J310" i="30"/>
  <c r="N310" i="30" s="1"/>
  <c r="J311" i="30"/>
  <c r="N311" i="30" s="1"/>
  <c r="J312" i="30"/>
  <c r="M312" i="30" s="1"/>
  <c r="J313" i="30"/>
  <c r="J314" i="30"/>
  <c r="N314" i="30" s="1"/>
  <c r="J315" i="30"/>
  <c r="N315" i="30" s="1"/>
  <c r="J316" i="30"/>
  <c r="M316" i="30" s="1"/>
  <c r="J317" i="30"/>
  <c r="J318" i="30"/>
  <c r="N318" i="30" s="1"/>
  <c r="J319" i="30"/>
  <c r="N319" i="30" s="1"/>
  <c r="J320" i="30"/>
  <c r="N320" i="30" s="1"/>
  <c r="J321" i="30"/>
  <c r="J322" i="30"/>
  <c r="N322" i="30" s="1"/>
  <c r="J323" i="30"/>
  <c r="N323" i="30" s="1"/>
  <c r="J324" i="30"/>
  <c r="M324" i="30" s="1"/>
  <c r="J325" i="30"/>
  <c r="J326" i="30"/>
  <c r="N326" i="30" s="1"/>
  <c r="J327" i="30"/>
  <c r="N327" i="30" s="1"/>
  <c r="J328" i="30"/>
  <c r="N328" i="30" s="1"/>
  <c r="J329" i="30"/>
  <c r="J330" i="30"/>
  <c r="N330" i="30" s="1"/>
  <c r="J331" i="30"/>
  <c r="N331" i="30" s="1"/>
  <c r="J332" i="30"/>
  <c r="N332" i="30" s="1"/>
  <c r="J333" i="30"/>
  <c r="J334" i="30"/>
  <c r="N334" i="30" s="1"/>
  <c r="J335" i="30"/>
  <c r="N335" i="30" s="1"/>
  <c r="J336" i="30"/>
  <c r="N336" i="30" s="1"/>
  <c r="J337" i="30"/>
  <c r="J338" i="30"/>
  <c r="N338" i="30" s="1"/>
  <c r="J339" i="30"/>
  <c r="N339" i="30" s="1"/>
  <c r="J340" i="30"/>
  <c r="M340" i="30" s="1"/>
  <c r="J341" i="30"/>
  <c r="J342" i="30"/>
  <c r="N342" i="30" s="1"/>
  <c r="J343" i="30"/>
  <c r="N343" i="30" s="1"/>
  <c r="J344" i="30"/>
  <c r="N344" i="30" s="1"/>
  <c r="J345" i="30"/>
  <c r="J346" i="30"/>
  <c r="N346" i="30" s="1"/>
  <c r="J347" i="30"/>
  <c r="N347" i="30" s="1"/>
  <c r="J348" i="30"/>
  <c r="M348" i="30" s="1"/>
  <c r="J349" i="30"/>
  <c r="J350" i="30"/>
  <c r="N350" i="30" s="1"/>
  <c r="J351" i="30"/>
  <c r="N351" i="30" s="1"/>
  <c r="J352" i="30"/>
  <c r="N352" i="30" s="1"/>
  <c r="J353" i="30"/>
  <c r="J354" i="30"/>
  <c r="N354" i="30" s="1"/>
  <c r="J355" i="30"/>
  <c r="N355" i="30" s="1"/>
  <c r="J356" i="30"/>
  <c r="J357" i="30"/>
  <c r="J358" i="30"/>
  <c r="N358" i="30" s="1"/>
  <c r="J359" i="30"/>
  <c r="N359" i="30" s="1"/>
  <c r="J360" i="30"/>
  <c r="M360" i="30" s="1"/>
  <c r="J361" i="30"/>
  <c r="J362" i="30"/>
  <c r="N362" i="30" s="1"/>
  <c r="J363" i="30"/>
  <c r="N363" i="30" s="1"/>
  <c r="J364" i="30"/>
  <c r="J365" i="30"/>
  <c r="J366" i="30"/>
  <c r="N366" i="30" s="1"/>
  <c r="J367" i="30"/>
  <c r="N367" i="30" s="1"/>
  <c r="J368" i="30"/>
  <c r="N368" i="30" s="1"/>
  <c r="J369" i="30"/>
  <c r="J370" i="30"/>
  <c r="N370" i="30" s="1"/>
  <c r="J371" i="30"/>
  <c r="N371" i="30" s="1"/>
  <c r="J372" i="30"/>
  <c r="J373" i="30"/>
  <c r="J374" i="30"/>
  <c r="N374" i="30" s="1"/>
  <c r="J375" i="30"/>
  <c r="N375" i="30" s="1"/>
  <c r="J376" i="30"/>
  <c r="J377" i="30"/>
  <c r="J378" i="30"/>
  <c r="N378" i="30" s="1"/>
  <c r="J379" i="30"/>
  <c r="N379" i="30" s="1"/>
  <c r="J380" i="30"/>
  <c r="J381" i="30"/>
  <c r="J382" i="30"/>
  <c r="N382" i="30" s="1"/>
  <c r="J383" i="30"/>
  <c r="N383" i="30" s="1"/>
  <c r="J384" i="30"/>
  <c r="N384" i="30" s="1"/>
  <c r="J385" i="30"/>
  <c r="J386" i="30"/>
  <c r="N386" i="30" s="1"/>
  <c r="J387" i="30"/>
  <c r="N387" i="30" s="1"/>
  <c r="J388" i="30"/>
  <c r="J389" i="30"/>
  <c r="J390" i="30"/>
  <c r="N390" i="30" s="1"/>
  <c r="J391" i="30"/>
  <c r="N391" i="30" s="1"/>
  <c r="J392" i="30"/>
  <c r="J393" i="30"/>
  <c r="J394" i="30"/>
  <c r="N394" i="30" s="1"/>
  <c r="J395" i="30"/>
  <c r="N395" i="30" s="1"/>
  <c r="J396" i="30"/>
  <c r="J397" i="30"/>
  <c r="J398" i="30"/>
  <c r="N398" i="30" s="1"/>
  <c r="J399" i="30"/>
  <c r="N399" i="30" s="1"/>
  <c r="J400" i="30"/>
  <c r="N400" i="30" s="1"/>
  <c r="J401" i="30"/>
  <c r="J402" i="30"/>
  <c r="N402" i="30" s="1"/>
  <c r="J403" i="30"/>
  <c r="N403" i="30" s="1"/>
  <c r="J404" i="30"/>
  <c r="J405" i="30"/>
  <c r="J406" i="30"/>
  <c r="N406" i="30" s="1"/>
  <c r="J407" i="30"/>
  <c r="N407" i="30" s="1"/>
  <c r="J408" i="30"/>
  <c r="J409" i="30"/>
  <c r="J410" i="30"/>
  <c r="N410" i="30" s="1"/>
  <c r="J411" i="30"/>
  <c r="N411" i="30" s="1"/>
  <c r="J412" i="30"/>
  <c r="J413" i="30"/>
  <c r="J414" i="30"/>
  <c r="N414" i="30" s="1"/>
  <c r="J415" i="30"/>
  <c r="N415" i="30" s="1"/>
  <c r="J416" i="30"/>
  <c r="N416" i="30" s="1"/>
  <c r="J417" i="30"/>
  <c r="J418" i="30"/>
  <c r="N418" i="30" s="1"/>
  <c r="J419" i="30"/>
  <c r="N419" i="30" s="1"/>
  <c r="J420" i="30"/>
  <c r="J421" i="30"/>
  <c r="J422" i="30"/>
  <c r="N422" i="30" s="1"/>
  <c r="J423" i="30"/>
  <c r="N423" i="30" s="1"/>
  <c r="J424" i="30"/>
  <c r="J425" i="30"/>
  <c r="J426" i="30"/>
  <c r="N426" i="30" s="1"/>
  <c r="J427" i="30"/>
  <c r="N427" i="30" s="1"/>
  <c r="J428" i="30"/>
  <c r="J429" i="30"/>
  <c r="J430" i="30"/>
  <c r="N430" i="30" s="1"/>
  <c r="J431" i="30"/>
  <c r="N431" i="30" s="1"/>
  <c r="J432" i="30"/>
  <c r="N432" i="30" s="1"/>
  <c r="J433" i="30"/>
  <c r="J434" i="30"/>
  <c r="N434" i="30" s="1"/>
  <c r="J435" i="30"/>
  <c r="N435" i="30" s="1"/>
  <c r="J436" i="30"/>
  <c r="J437" i="30"/>
  <c r="J438" i="30"/>
  <c r="N438" i="30" s="1"/>
  <c r="J439" i="30"/>
  <c r="N439" i="30" s="1"/>
  <c r="J440" i="30"/>
  <c r="J441" i="30"/>
  <c r="J442" i="30"/>
  <c r="N442" i="30" s="1"/>
  <c r="J443" i="30"/>
  <c r="N443" i="30" s="1"/>
  <c r="J444" i="30"/>
  <c r="J445" i="30"/>
  <c r="J446" i="30"/>
  <c r="N446" i="30" s="1"/>
  <c r="J447" i="30"/>
  <c r="N447" i="30" s="1"/>
  <c r="J448" i="30"/>
  <c r="N448" i="30" s="1"/>
  <c r="J449" i="30"/>
  <c r="J450" i="30"/>
  <c r="N450" i="30" s="1"/>
  <c r="J451" i="30"/>
  <c r="N451" i="30" s="1"/>
  <c r="J452" i="30"/>
  <c r="J453" i="30"/>
  <c r="J454" i="30"/>
  <c r="N454" i="30" s="1"/>
  <c r="J455" i="30"/>
  <c r="N455" i="30" s="1"/>
  <c r="J456" i="30"/>
  <c r="J457" i="30"/>
  <c r="J458" i="30"/>
  <c r="N458" i="30" s="1"/>
  <c r="J459" i="30"/>
  <c r="N459" i="30" s="1"/>
  <c r="J460" i="30"/>
  <c r="J461" i="30"/>
  <c r="J462" i="30"/>
  <c r="N462" i="30" s="1"/>
  <c r="J463" i="30"/>
  <c r="N463" i="30" s="1"/>
  <c r="J464" i="30"/>
  <c r="N464" i="30" s="1"/>
  <c r="J465" i="30"/>
  <c r="J466" i="30"/>
  <c r="N466" i="30" s="1"/>
  <c r="J467" i="30"/>
  <c r="N467" i="30" s="1"/>
  <c r="J468" i="30"/>
  <c r="J469" i="30"/>
  <c r="J470" i="30"/>
  <c r="N470" i="30" s="1"/>
  <c r="J471" i="30"/>
  <c r="N471" i="30" s="1"/>
  <c r="J472" i="30"/>
  <c r="J473" i="30"/>
  <c r="J474" i="30"/>
  <c r="N474" i="30" s="1"/>
  <c r="J475" i="30"/>
  <c r="N475" i="30" s="1"/>
  <c r="J476" i="30"/>
  <c r="J477" i="30"/>
  <c r="J478" i="30"/>
  <c r="N478" i="30" s="1"/>
  <c r="J479" i="30"/>
  <c r="N479" i="30" s="1"/>
  <c r="J480" i="30"/>
  <c r="N480" i="30" s="1"/>
  <c r="J481" i="30"/>
  <c r="J482" i="30"/>
  <c r="N482" i="30" s="1"/>
  <c r="J483" i="30"/>
  <c r="N483" i="30" s="1"/>
  <c r="J484" i="30"/>
  <c r="J485" i="30"/>
  <c r="J486" i="30"/>
  <c r="N486" i="30" s="1"/>
  <c r="J487" i="30"/>
  <c r="N487" i="30" s="1"/>
  <c r="J488" i="30"/>
  <c r="J489" i="30"/>
  <c r="J490" i="30"/>
  <c r="N490" i="30" s="1"/>
  <c r="J491" i="30"/>
  <c r="N491" i="30" s="1"/>
  <c r="J492" i="30"/>
  <c r="J493" i="30"/>
  <c r="J494" i="30"/>
  <c r="N494" i="30" s="1"/>
  <c r="J495" i="30"/>
  <c r="N495" i="30" s="1"/>
  <c r="J496" i="30"/>
  <c r="N496" i="30" s="1"/>
  <c r="J497" i="30"/>
  <c r="J498" i="30"/>
  <c r="N498" i="30" s="1"/>
  <c r="J499" i="30"/>
  <c r="N499" i="30" s="1"/>
  <c r="J500" i="30"/>
  <c r="J501" i="30"/>
  <c r="J502" i="30"/>
  <c r="N502" i="30" s="1"/>
  <c r="J503" i="30"/>
  <c r="N503" i="30" s="1"/>
  <c r="J504" i="30"/>
  <c r="J505" i="30"/>
  <c r="J506" i="30"/>
  <c r="N506" i="30" s="1"/>
  <c r="J507" i="30"/>
  <c r="N507" i="30" s="1"/>
  <c r="J508" i="30"/>
  <c r="J509" i="30"/>
  <c r="J510" i="30"/>
  <c r="N510" i="30" s="1"/>
  <c r="J511" i="30"/>
  <c r="N511" i="30" s="1"/>
  <c r="J512" i="30"/>
  <c r="N512" i="30" s="1"/>
  <c r="J513" i="30"/>
  <c r="J514" i="30"/>
  <c r="N514" i="30" s="1"/>
  <c r="J515" i="30"/>
  <c r="N515" i="30" s="1"/>
  <c r="J516" i="30"/>
  <c r="J517" i="30"/>
  <c r="J518" i="30"/>
  <c r="N518" i="30" s="1"/>
  <c r="J519" i="30"/>
  <c r="N519" i="30" s="1"/>
  <c r="J520" i="30"/>
  <c r="J521" i="30"/>
  <c r="J522" i="30"/>
  <c r="N522" i="30" s="1"/>
  <c r="J523" i="30"/>
  <c r="N523" i="30" s="1"/>
  <c r="J524" i="30"/>
  <c r="J525" i="30"/>
  <c r="J526" i="30"/>
  <c r="N526" i="30" s="1"/>
  <c r="J527" i="30"/>
  <c r="N527" i="30" s="1"/>
  <c r="J528" i="30"/>
  <c r="N528" i="30" s="1"/>
  <c r="J529" i="30"/>
  <c r="J530" i="30"/>
  <c r="N530" i="30" s="1"/>
  <c r="J531" i="30"/>
  <c r="N531" i="30" s="1"/>
  <c r="J532" i="30"/>
  <c r="J533" i="30"/>
  <c r="J534" i="30"/>
  <c r="N534" i="30" s="1"/>
  <c r="J535" i="30"/>
  <c r="N535" i="30" s="1"/>
  <c r="J536" i="30"/>
  <c r="J537" i="30"/>
  <c r="J538" i="30"/>
  <c r="N538" i="30" s="1"/>
  <c r="J539" i="30"/>
  <c r="N539" i="30" s="1"/>
  <c r="J540" i="30"/>
  <c r="J541" i="30"/>
  <c r="J542" i="30"/>
  <c r="N542" i="30" s="1"/>
  <c r="J543" i="30"/>
  <c r="N543" i="30" s="1"/>
  <c r="J544" i="30"/>
  <c r="N544" i="30" s="1"/>
  <c r="J545" i="30"/>
  <c r="J546" i="30"/>
  <c r="N546" i="30" s="1"/>
  <c r="J547" i="30"/>
  <c r="N547" i="30" s="1"/>
  <c r="J548" i="30"/>
  <c r="J549" i="30"/>
  <c r="J550" i="30"/>
  <c r="N550" i="30" s="1"/>
  <c r="J551" i="30"/>
  <c r="N551" i="30" s="1"/>
  <c r="J552" i="30"/>
  <c r="J553" i="30"/>
  <c r="J554" i="30"/>
  <c r="N554" i="30" s="1"/>
  <c r="J555" i="30"/>
  <c r="N555" i="30" s="1"/>
  <c r="J556" i="30"/>
  <c r="J557" i="30"/>
  <c r="J558" i="30"/>
  <c r="N558" i="30" s="1"/>
  <c r="J559" i="30"/>
  <c r="N559" i="30" s="1"/>
  <c r="J560" i="30"/>
  <c r="N560" i="30" s="1"/>
  <c r="J561" i="30"/>
  <c r="J562" i="30"/>
  <c r="N562" i="30" s="1"/>
  <c r="J563" i="30"/>
  <c r="N563" i="30" s="1"/>
  <c r="J564" i="30"/>
  <c r="J565" i="30"/>
  <c r="J566" i="30"/>
  <c r="N566" i="30" s="1"/>
  <c r="J567" i="30"/>
  <c r="N567" i="30" s="1"/>
  <c r="J568" i="30"/>
  <c r="J569" i="30"/>
  <c r="J570" i="30"/>
  <c r="N570" i="30" s="1"/>
  <c r="J571" i="30"/>
  <c r="N571" i="30" s="1"/>
  <c r="J572" i="30"/>
  <c r="J573" i="30"/>
  <c r="J574" i="30"/>
  <c r="N574" i="30" s="1"/>
  <c r="J575" i="30"/>
  <c r="N575" i="30" s="1"/>
  <c r="J576" i="30"/>
  <c r="N576" i="30" s="1"/>
  <c r="J577" i="30"/>
  <c r="J578" i="30"/>
  <c r="N578" i="30" s="1"/>
  <c r="J579" i="30"/>
  <c r="N579" i="30" s="1"/>
  <c r="J580" i="30"/>
  <c r="J581" i="30"/>
  <c r="J582" i="30"/>
  <c r="N582" i="30" s="1"/>
  <c r="J583" i="30"/>
  <c r="N583" i="30" s="1"/>
  <c r="J584" i="30"/>
  <c r="J585" i="30"/>
  <c r="J586" i="30"/>
  <c r="N586" i="30" s="1"/>
  <c r="J587" i="30"/>
  <c r="N587" i="30" s="1"/>
  <c r="J588" i="30"/>
  <c r="J589" i="30"/>
  <c r="J590" i="30"/>
  <c r="N590" i="30" s="1"/>
  <c r="J591" i="30"/>
  <c r="N591" i="30" s="1"/>
  <c r="J592" i="30"/>
  <c r="N592" i="30" s="1"/>
  <c r="J593" i="30"/>
  <c r="J594" i="30"/>
  <c r="N594" i="30" s="1"/>
  <c r="J595" i="30"/>
  <c r="N595" i="30" s="1"/>
  <c r="J596" i="30"/>
  <c r="J597" i="30"/>
  <c r="J598" i="30"/>
  <c r="N598" i="30" s="1"/>
  <c r="J599" i="30"/>
  <c r="N599" i="30" s="1"/>
  <c r="J600" i="30"/>
  <c r="J601" i="30"/>
  <c r="J602" i="30"/>
  <c r="N602" i="30" s="1"/>
  <c r="J603" i="30"/>
  <c r="N603" i="30" s="1"/>
  <c r="J604" i="30"/>
  <c r="J605" i="30"/>
  <c r="J606" i="30"/>
  <c r="N606" i="30" s="1"/>
  <c r="J607" i="30"/>
  <c r="N607" i="30" s="1"/>
  <c r="J608" i="30"/>
  <c r="N608" i="30" s="1"/>
  <c r="J609" i="30"/>
  <c r="J610" i="30"/>
  <c r="N610" i="30" s="1"/>
  <c r="J611" i="30"/>
  <c r="N611" i="30" s="1"/>
  <c r="J612" i="30"/>
  <c r="J613" i="30"/>
  <c r="J614" i="30"/>
  <c r="N614" i="30" s="1"/>
  <c r="J615" i="30"/>
  <c r="N615" i="30" s="1"/>
  <c r="J616" i="30"/>
  <c r="J617" i="30"/>
  <c r="J618" i="30"/>
  <c r="N618" i="30" s="1"/>
  <c r="J619" i="30"/>
  <c r="N619" i="30" s="1"/>
  <c r="J620" i="30"/>
  <c r="J621" i="30"/>
  <c r="J622" i="30"/>
  <c r="N622" i="30" s="1"/>
  <c r="J623" i="30"/>
  <c r="N623" i="30" s="1"/>
  <c r="J624" i="30"/>
  <c r="N624" i="30" s="1"/>
  <c r="J625" i="30"/>
  <c r="J626" i="30"/>
  <c r="N626" i="30" s="1"/>
  <c r="J627" i="30"/>
  <c r="N627" i="30" s="1"/>
  <c r="J628" i="30"/>
  <c r="J629" i="30"/>
  <c r="J630" i="30"/>
  <c r="N630" i="30" s="1"/>
  <c r="J631" i="30"/>
  <c r="N631" i="30" s="1"/>
  <c r="J632" i="30"/>
  <c r="J633" i="30"/>
  <c r="J634" i="30"/>
  <c r="N634" i="30" s="1"/>
  <c r="J635" i="30"/>
  <c r="N635" i="30" s="1"/>
  <c r="J636" i="30"/>
  <c r="J637" i="30"/>
  <c r="J638" i="30"/>
  <c r="N638" i="30" s="1"/>
  <c r="J639" i="30"/>
  <c r="N639" i="30" s="1"/>
  <c r="J640" i="30"/>
  <c r="N640" i="30" s="1"/>
  <c r="J641" i="30"/>
  <c r="J642" i="30"/>
  <c r="N642" i="30" s="1"/>
  <c r="J643" i="30"/>
  <c r="N643" i="30" s="1"/>
  <c r="J644" i="30"/>
  <c r="J645" i="30"/>
  <c r="J646" i="30"/>
  <c r="N646" i="30" s="1"/>
  <c r="J647" i="30"/>
  <c r="N647" i="30" s="1"/>
  <c r="J648" i="30"/>
  <c r="J649" i="30"/>
  <c r="J650" i="30"/>
  <c r="N650" i="30" s="1"/>
  <c r="J651" i="30"/>
  <c r="N651" i="30" s="1"/>
  <c r="J652" i="30"/>
  <c r="J653" i="30"/>
  <c r="J654" i="30"/>
  <c r="N654" i="30" s="1"/>
  <c r="J655" i="30"/>
  <c r="N655" i="30" s="1"/>
  <c r="J656" i="30"/>
  <c r="N656" i="30" s="1"/>
  <c r="J657" i="30"/>
  <c r="J658" i="30"/>
  <c r="N658" i="30" s="1"/>
  <c r="J659" i="30"/>
  <c r="N659" i="30" s="1"/>
  <c r="J660" i="30"/>
  <c r="J661" i="30"/>
  <c r="J662" i="30"/>
  <c r="N662" i="30" s="1"/>
  <c r="J663" i="30"/>
  <c r="N663" i="30" s="1"/>
  <c r="J664" i="30"/>
  <c r="J665" i="30"/>
  <c r="J666" i="30"/>
  <c r="N666" i="30" s="1"/>
  <c r="J667" i="30"/>
  <c r="N667" i="30" s="1"/>
  <c r="J668" i="30"/>
  <c r="J669" i="30"/>
  <c r="J670" i="30"/>
  <c r="N670" i="30" s="1"/>
  <c r="J671" i="30"/>
  <c r="N671" i="30" s="1"/>
  <c r="J672" i="30"/>
  <c r="N672" i="30" s="1"/>
  <c r="J673" i="30"/>
  <c r="J674" i="30"/>
  <c r="N674" i="30" s="1"/>
  <c r="J675" i="30"/>
  <c r="N675" i="30" s="1"/>
  <c r="J676" i="30"/>
  <c r="J677" i="30"/>
  <c r="J678" i="30"/>
  <c r="N678" i="30" s="1"/>
  <c r="J679" i="30"/>
  <c r="N679" i="30" s="1"/>
  <c r="J680" i="30"/>
  <c r="J681" i="30"/>
  <c r="J682" i="30"/>
  <c r="N682" i="30" s="1"/>
  <c r="J683" i="30"/>
  <c r="N683" i="30" s="1"/>
  <c r="J684" i="30"/>
  <c r="J685" i="30"/>
  <c r="J686" i="30"/>
  <c r="N686" i="30" s="1"/>
  <c r="J687" i="30"/>
  <c r="N687" i="30" s="1"/>
  <c r="J688" i="30"/>
  <c r="N688" i="30" s="1"/>
  <c r="J689" i="30"/>
  <c r="J690" i="30"/>
  <c r="N690" i="30" s="1"/>
  <c r="J691" i="30"/>
  <c r="N691" i="30" s="1"/>
  <c r="J692" i="30"/>
  <c r="J693" i="30"/>
  <c r="J694" i="30"/>
  <c r="N694" i="30" s="1"/>
  <c r="J695" i="30"/>
  <c r="N695" i="30" s="1"/>
  <c r="J696" i="30"/>
  <c r="J697" i="30"/>
  <c r="J698" i="30"/>
  <c r="N698" i="30" s="1"/>
  <c r="J699" i="30"/>
  <c r="N699" i="30" s="1"/>
  <c r="J700" i="30"/>
  <c r="J701" i="30"/>
  <c r="J702" i="30"/>
  <c r="N702" i="30" s="1"/>
  <c r="J703" i="30"/>
  <c r="N703" i="30" s="1"/>
  <c r="J704" i="30"/>
  <c r="J705" i="30"/>
  <c r="J706" i="30"/>
  <c r="N706" i="30" s="1"/>
  <c r="J707" i="30"/>
  <c r="N707" i="30" s="1"/>
  <c r="J708" i="30"/>
  <c r="J709" i="30"/>
  <c r="J710" i="30"/>
  <c r="J711" i="30"/>
  <c r="N711" i="30" s="1"/>
  <c r="J712" i="30"/>
  <c r="J713" i="30"/>
  <c r="J714" i="30"/>
  <c r="N714" i="30" s="1"/>
  <c r="J715" i="30"/>
  <c r="N715" i="30" s="1"/>
  <c r="J716" i="30"/>
  <c r="J717" i="30"/>
  <c r="J718" i="30"/>
  <c r="N718" i="30" s="1"/>
  <c r="J719" i="30"/>
  <c r="N719" i="30" s="1"/>
  <c r="J720" i="30"/>
  <c r="J721" i="30"/>
  <c r="J722" i="30"/>
  <c r="N722" i="30" s="1"/>
  <c r="J723" i="30"/>
  <c r="N723" i="30" s="1"/>
  <c r="J724" i="30"/>
  <c r="J725" i="30"/>
  <c r="J726" i="30"/>
  <c r="N726" i="30" s="1"/>
  <c r="J727" i="30"/>
  <c r="N727" i="30" s="1"/>
  <c r="J728" i="30"/>
  <c r="J729" i="30"/>
  <c r="J730" i="30"/>
  <c r="N730" i="30" s="1"/>
  <c r="J731" i="30"/>
  <c r="N731" i="30" s="1"/>
  <c r="J732" i="30"/>
  <c r="J733" i="30"/>
  <c r="J734" i="30"/>
  <c r="N734" i="30" s="1"/>
  <c r="J735" i="30"/>
  <c r="N735" i="30" s="1"/>
  <c r="J736" i="30"/>
  <c r="J737" i="30"/>
  <c r="J738" i="30"/>
  <c r="J739" i="30"/>
  <c r="N739" i="30" s="1"/>
  <c r="J740" i="30"/>
  <c r="J741" i="30"/>
  <c r="J742" i="30"/>
  <c r="N742" i="30" s="1"/>
  <c r="J743" i="30"/>
  <c r="N743" i="30" s="1"/>
  <c r="J744" i="30"/>
  <c r="J745" i="30"/>
  <c r="J746" i="30"/>
  <c r="N746" i="30" s="1"/>
  <c r="J747" i="30"/>
  <c r="N747" i="30" s="1"/>
  <c r="J748" i="30"/>
  <c r="J749" i="30"/>
  <c r="J750" i="30"/>
  <c r="N750" i="30" s="1"/>
  <c r="J751" i="30"/>
  <c r="N751" i="30" s="1"/>
  <c r="J752" i="30"/>
  <c r="J753" i="30"/>
  <c r="J754" i="30"/>
  <c r="N754" i="30" s="1"/>
  <c r="J755" i="30"/>
  <c r="N755" i="30" s="1"/>
  <c r="J756" i="30"/>
  <c r="J757" i="30"/>
  <c r="J758" i="30"/>
  <c r="N758" i="30" s="1"/>
  <c r="J759" i="30"/>
  <c r="N759" i="30" s="1"/>
  <c r="J760" i="30"/>
  <c r="J761" i="30"/>
  <c r="J762" i="30"/>
  <c r="N762" i="30" s="1"/>
  <c r="J763" i="30"/>
  <c r="N763" i="30" s="1"/>
  <c r="J764" i="30"/>
  <c r="J765" i="30"/>
  <c r="J766" i="30"/>
  <c r="N766" i="30" s="1"/>
  <c r="J767" i="30"/>
  <c r="N767" i="30" s="1"/>
  <c r="J768" i="30"/>
  <c r="J769" i="30"/>
  <c r="J770" i="30"/>
  <c r="N770" i="30" s="1"/>
  <c r="J771" i="30"/>
  <c r="N771" i="30" s="1"/>
  <c r="J772" i="30"/>
  <c r="J773" i="30"/>
  <c r="J774" i="30"/>
  <c r="N774" i="30" s="1"/>
  <c r="J775" i="30"/>
  <c r="N775" i="30" s="1"/>
  <c r="J776" i="30"/>
  <c r="J777" i="30"/>
  <c r="J778" i="30"/>
  <c r="N778" i="30" s="1"/>
  <c r="J779" i="30"/>
  <c r="N779" i="30" s="1"/>
  <c r="J780" i="30"/>
  <c r="J781" i="30"/>
  <c r="J782" i="30"/>
  <c r="N782" i="30" s="1"/>
  <c r="J783" i="30"/>
  <c r="N783" i="30" s="1"/>
  <c r="J784" i="30"/>
  <c r="J785" i="30"/>
  <c r="J786" i="30"/>
  <c r="N786" i="30" s="1"/>
  <c r="J787" i="30"/>
  <c r="N787" i="30" s="1"/>
  <c r="J788" i="30"/>
  <c r="J789" i="30"/>
  <c r="J790" i="30"/>
  <c r="N790" i="30" s="1"/>
  <c r="J791" i="30"/>
  <c r="N791" i="30" s="1"/>
  <c r="J792" i="30"/>
  <c r="J793" i="30"/>
  <c r="J794" i="30"/>
  <c r="N794" i="30" s="1"/>
  <c r="J795" i="30"/>
  <c r="N795" i="30" s="1"/>
  <c r="J796" i="30"/>
  <c r="J797" i="30"/>
  <c r="J798" i="30"/>
  <c r="N798" i="30" s="1"/>
  <c r="J799" i="30"/>
  <c r="N799" i="30" s="1"/>
  <c r="J800" i="30"/>
  <c r="J801" i="30"/>
  <c r="J802" i="30"/>
  <c r="N802" i="30" s="1"/>
  <c r="J803" i="30"/>
  <c r="N803" i="30" s="1"/>
  <c r="J804" i="30"/>
  <c r="J805" i="30"/>
  <c r="J806" i="30"/>
  <c r="N806" i="30" s="1"/>
  <c r="J807" i="30"/>
  <c r="N807" i="30" s="1"/>
  <c r="J808" i="30"/>
  <c r="J809" i="30"/>
  <c r="J810" i="30"/>
  <c r="N810" i="30" s="1"/>
  <c r="J811" i="30"/>
  <c r="N811" i="30" s="1"/>
  <c r="J812" i="30"/>
  <c r="J813" i="30"/>
  <c r="J814" i="30"/>
  <c r="N814" i="30" s="1"/>
  <c r="J815" i="30"/>
  <c r="N815" i="30" s="1"/>
  <c r="J816" i="30"/>
  <c r="J817" i="30"/>
  <c r="J818" i="30"/>
  <c r="N818" i="30" s="1"/>
  <c r="J819" i="30"/>
  <c r="N819" i="30" s="1"/>
  <c r="J820" i="30"/>
  <c r="J821" i="30"/>
  <c r="J822" i="30"/>
  <c r="N822" i="30" s="1"/>
  <c r="J823" i="30"/>
  <c r="N823" i="30" s="1"/>
  <c r="J824" i="30"/>
  <c r="J825" i="30"/>
  <c r="J826" i="30"/>
  <c r="N826" i="30" s="1"/>
  <c r="J827" i="30"/>
  <c r="N827" i="30" s="1"/>
  <c r="J828" i="30"/>
  <c r="J829" i="30"/>
  <c r="J830" i="30"/>
  <c r="N830" i="30" s="1"/>
  <c r="J831" i="30"/>
  <c r="N831" i="30" s="1"/>
  <c r="J832" i="30"/>
  <c r="J833" i="30"/>
  <c r="J834" i="30"/>
  <c r="N834" i="30" s="1"/>
  <c r="J835" i="30"/>
  <c r="N835" i="30" s="1"/>
  <c r="J836" i="30"/>
  <c r="J837" i="30"/>
  <c r="J838" i="30"/>
  <c r="N838" i="30" s="1"/>
  <c r="J839" i="30"/>
  <c r="N839" i="30" s="1"/>
  <c r="J840" i="30"/>
  <c r="J841" i="30"/>
  <c r="J842" i="30"/>
  <c r="N842" i="30" s="1"/>
  <c r="J843" i="30"/>
  <c r="N843" i="30" s="1"/>
  <c r="J844" i="30"/>
  <c r="J845" i="30"/>
  <c r="J846" i="30"/>
  <c r="N846" i="30" s="1"/>
  <c r="J847" i="30"/>
  <c r="N847" i="30" s="1"/>
  <c r="J848" i="30"/>
  <c r="J849" i="30"/>
  <c r="J850" i="30"/>
  <c r="N850" i="30" s="1"/>
  <c r="J851" i="30"/>
  <c r="N851" i="30" s="1"/>
  <c r="J852" i="30"/>
  <c r="J853" i="30"/>
  <c r="J854" i="30"/>
  <c r="N854" i="30" s="1"/>
  <c r="J855" i="30"/>
  <c r="N855" i="30" s="1"/>
  <c r="J856" i="30"/>
  <c r="J857" i="30"/>
  <c r="J858" i="30"/>
  <c r="N858" i="30" s="1"/>
  <c r="J859" i="30"/>
  <c r="N859" i="30" s="1"/>
  <c r="J860" i="30"/>
  <c r="J861" i="30"/>
  <c r="J862" i="30"/>
  <c r="N862" i="30" s="1"/>
  <c r="J863" i="30"/>
  <c r="N863" i="30" s="1"/>
  <c r="J864" i="30"/>
  <c r="J865" i="30"/>
  <c r="J866" i="30"/>
  <c r="N866" i="30" s="1"/>
  <c r="J867" i="30"/>
  <c r="N867" i="30" s="1"/>
  <c r="J868" i="30"/>
  <c r="J869" i="30"/>
  <c r="J870" i="30"/>
  <c r="N870" i="30" s="1"/>
  <c r="J871" i="30"/>
  <c r="N871" i="30" s="1"/>
  <c r="J872" i="30"/>
  <c r="J873" i="30"/>
  <c r="J874" i="30"/>
  <c r="N874" i="30" s="1"/>
  <c r="J875" i="30"/>
  <c r="N875" i="30" s="1"/>
  <c r="J876" i="30"/>
  <c r="J877" i="30"/>
  <c r="J878" i="30"/>
  <c r="N878" i="30" s="1"/>
  <c r="J879" i="30"/>
  <c r="N879" i="30" s="1"/>
  <c r="J880" i="30"/>
  <c r="J881" i="30"/>
  <c r="J882" i="30"/>
  <c r="N882" i="30" s="1"/>
  <c r="J883" i="30"/>
  <c r="N883" i="30" s="1"/>
  <c r="J884" i="30"/>
  <c r="J885" i="30"/>
  <c r="J886" i="30"/>
  <c r="N886" i="30" s="1"/>
  <c r="J887" i="30"/>
  <c r="N887" i="30" s="1"/>
  <c r="J888" i="30"/>
  <c r="J889" i="30"/>
  <c r="J890" i="30"/>
  <c r="N890" i="30" s="1"/>
  <c r="J891" i="30"/>
  <c r="N891" i="30" s="1"/>
  <c r="J892" i="30"/>
  <c r="J893" i="30"/>
  <c r="J894" i="30"/>
  <c r="N894" i="30" s="1"/>
  <c r="J895" i="30"/>
  <c r="N895" i="30" s="1"/>
  <c r="J896" i="30"/>
  <c r="J897" i="30"/>
  <c r="J898" i="30"/>
  <c r="N898" i="30" s="1"/>
  <c r="J899" i="30"/>
  <c r="N899" i="30" s="1"/>
  <c r="J900" i="30"/>
  <c r="J901" i="30"/>
  <c r="J902" i="30"/>
  <c r="N902" i="30" s="1"/>
  <c r="J903" i="30"/>
  <c r="N903" i="30" s="1"/>
  <c r="J904" i="30"/>
  <c r="J905" i="30"/>
  <c r="J906" i="30"/>
  <c r="N906" i="30" s="1"/>
  <c r="J907" i="30"/>
  <c r="N907" i="30" s="1"/>
  <c r="J908" i="30"/>
  <c r="J909" i="30"/>
  <c r="J910" i="30"/>
  <c r="N910" i="30" s="1"/>
  <c r="J911" i="30"/>
  <c r="N911" i="30" s="1"/>
  <c r="J912" i="30"/>
  <c r="J913" i="30"/>
  <c r="J914" i="30"/>
  <c r="N914" i="30" s="1"/>
  <c r="J915" i="30"/>
  <c r="N915" i="30" s="1"/>
  <c r="J916" i="30"/>
  <c r="J917" i="30"/>
  <c r="J918" i="30"/>
  <c r="N918" i="30" s="1"/>
  <c r="J919" i="30"/>
  <c r="N919" i="30" s="1"/>
  <c r="J920" i="30"/>
  <c r="J921" i="30"/>
  <c r="J922" i="30"/>
  <c r="N922" i="30" s="1"/>
  <c r="J923" i="30"/>
  <c r="N923" i="30" s="1"/>
  <c r="J924" i="30"/>
  <c r="J925" i="30"/>
  <c r="J926" i="30"/>
  <c r="N926" i="30" s="1"/>
  <c r="J927" i="30"/>
  <c r="N927" i="30" s="1"/>
  <c r="J928" i="30"/>
  <c r="J929" i="30"/>
  <c r="J930" i="30"/>
  <c r="N930" i="30" s="1"/>
  <c r="J931" i="30"/>
  <c r="N931" i="30" s="1"/>
  <c r="J932" i="30"/>
  <c r="J933" i="30"/>
  <c r="J934" i="30"/>
  <c r="N934" i="30" s="1"/>
  <c r="J935" i="30"/>
  <c r="N935" i="30" s="1"/>
  <c r="J936" i="30"/>
  <c r="J937" i="30"/>
  <c r="J938" i="30"/>
  <c r="N938" i="30" s="1"/>
  <c r="J939" i="30"/>
  <c r="N939" i="30" s="1"/>
  <c r="J940" i="30"/>
  <c r="J941" i="30"/>
  <c r="J942" i="30"/>
  <c r="N942" i="30" s="1"/>
  <c r="J943" i="30"/>
  <c r="N943" i="30" s="1"/>
  <c r="J944" i="30"/>
  <c r="J945" i="30"/>
  <c r="J946" i="30"/>
  <c r="N946" i="30" s="1"/>
  <c r="J947" i="30"/>
  <c r="N947" i="30" s="1"/>
  <c r="J948" i="30"/>
  <c r="J949" i="30"/>
  <c r="J950" i="30"/>
  <c r="N950" i="30" s="1"/>
  <c r="J951" i="30"/>
  <c r="N951" i="30" s="1"/>
  <c r="J952" i="30"/>
  <c r="J953" i="30"/>
  <c r="J954" i="30"/>
  <c r="N954" i="30" s="1"/>
  <c r="J955" i="30"/>
  <c r="N955" i="30" s="1"/>
  <c r="J956" i="30"/>
  <c r="J957" i="30"/>
  <c r="J958" i="30"/>
  <c r="N958" i="30" s="1"/>
  <c r="J959" i="30"/>
  <c r="N959" i="30" s="1"/>
  <c r="J960" i="30"/>
  <c r="J961" i="30"/>
  <c r="J962" i="30"/>
  <c r="N962" i="30" s="1"/>
  <c r="J963" i="30"/>
  <c r="N963" i="30" s="1"/>
  <c r="J964" i="30"/>
  <c r="J965" i="30"/>
  <c r="J966" i="30"/>
  <c r="N966" i="30" s="1"/>
  <c r="J967" i="30"/>
  <c r="N967" i="30" s="1"/>
  <c r="J968" i="30"/>
  <c r="J969" i="30"/>
  <c r="J970" i="30"/>
  <c r="N970" i="30" s="1"/>
  <c r="J971" i="30"/>
  <c r="N971" i="30" s="1"/>
  <c r="J972" i="30"/>
  <c r="J973" i="30"/>
  <c r="J974" i="30"/>
  <c r="N974" i="30" s="1"/>
  <c r="J975" i="30"/>
  <c r="N975" i="30" s="1"/>
  <c r="J976" i="30"/>
  <c r="J977" i="30"/>
  <c r="J978" i="30"/>
  <c r="N978" i="30" s="1"/>
  <c r="J979" i="30"/>
  <c r="N979" i="30" s="1"/>
  <c r="J980" i="30"/>
  <c r="J981" i="30"/>
  <c r="J982" i="30"/>
  <c r="N982" i="30" s="1"/>
  <c r="J983" i="30"/>
  <c r="N983" i="30" s="1"/>
  <c r="J984" i="30"/>
  <c r="J985" i="30"/>
  <c r="J986" i="30"/>
  <c r="N986" i="30" s="1"/>
  <c r="J987" i="30"/>
  <c r="N987" i="30" s="1"/>
  <c r="J988" i="30"/>
  <c r="J989" i="30"/>
  <c r="J990" i="30"/>
  <c r="N990" i="30" s="1"/>
  <c r="J991" i="30"/>
  <c r="N991" i="30" s="1"/>
  <c r="J992" i="30"/>
  <c r="J993" i="30"/>
  <c r="J994" i="30"/>
  <c r="N994" i="30" s="1"/>
  <c r="J995" i="30"/>
  <c r="N995" i="30" s="1"/>
  <c r="J996" i="30"/>
  <c r="J997" i="30"/>
  <c r="J998" i="30"/>
  <c r="N998" i="30" s="1"/>
  <c r="J999" i="30"/>
  <c r="N999" i="30" s="1"/>
  <c r="J1000" i="30"/>
  <c r="J1001" i="30"/>
  <c r="J1002" i="30"/>
  <c r="N1002" i="30" s="1"/>
  <c r="J1003" i="30"/>
  <c r="N1003" i="30" s="1"/>
  <c r="J1004" i="30"/>
  <c r="J1005" i="30"/>
  <c r="J1006" i="30"/>
  <c r="N1006" i="30" s="1"/>
  <c r="J1007" i="30"/>
  <c r="N1007" i="30" s="1"/>
  <c r="J1008" i="30"/>
  <c r="J1009" i="30"/>
  <c r="J1010" i="30"/>
  <c r="N1010" i="30" s="1"/>
  <c r="J1011" i="30"/>
  <c r="N1011" i="30" s="1"/>
  <c r="J1012" i="30"/>
  <c r="J1013" i="30"/>
  <c r="J1014" i="30"/>
  <c r="N1014" i="30" s="1"/>
  <c r="J1015" i="30"/>
  <c r="N1015" i="30" s="1"/>
  <c r="J1016" i="30"/>
  <c r="J1017" i="30"/>
  <c r="J1018" i="30"/>
  <c r="N1018" i="30" s="1"/>
  <c r="J1019" i="30"/>
  <c r="N1019" i="30" s="1"/>
  <c r="J1020" i="30"/>
  <c r="J1021" i="30"/>
  <c r="J1022" i="30"/>
  <c r="N1022" i="30" s="1"/>
  <c r="J1023" i="30"/>
  <c r="N1023" i="30" s="1"/>
  <c r="J1024" i="30"/>
  <c r="J1025" i="30"/>
  <c r="J1026" i="30"/>
  <c r="N1026" i="30" s="1"/>
  <c r="J1027" i="30"/>
  <c r="N1027" i="30" s="1"/>
  <c r="J1028" i="30"/>
  <c r="J1029" i="30"/>
  <c r="J1030" i="30"/>
  <c r="N1030" i="30" s="1"/>
  <c r="J1031" i="30"/>
  <c r="N1031" i="30" s="1"/>
  <c r="J1032" i="30"/>
  <c r="J1033" i="30"/>
  <c r="J1034" i="30"/>
  <c r="N1034" i="30" s="1"/>
  <c r="J1035" i="30"/>
  <c r="N1035" i="30" s="1"/>
  <c r="J1036" i="30"/>
  <c r="J1037" i="30"/>
  <c r="J1038" i="30"/>
  <c r="N1038" i="30" s="1"/>
  <c r="J1039" i="30"/>
  <c r="N1039" i="30" s="1"/>
  <c r="J1040" i="30"/>
  <c r="J1041" i="30"/>
  <c r="J1042" i="30"/>
  <c r="N1042" i="30" s="1"/>
  <c r="J1043" i="30"/>
  <c r="N1043" i="30" s="1"/>
  <c r="J1044" i="30"/>
  <c r="J1045" i="30"/>
  <c r="J1046" i="30"/>
  <c r="N1046" i="30" s="1"/>
  <c r="J1047" i="30"/>
  <c r="N1047" i="30" s="1"/>
  <c r="J1048" i="30"/>
  <c r="J1049" i="30"/>
  <c r="J1050" i="30"/>
  <c r="N1050" i="30" s="1"/>
  <c r="J1051" i="30"/>
  <c r="N1051" i="30" s="1"/>
  <c r="J1052" i="30"/>
  <c r="J1053" i="30"/>
  <c r="J1054" i="30"/>
  <c r="N1054" i="30" s="1"/>
  <c r="J1055" i="30"/>
  <c r="N1055" i="30" s="1"/>
  <c r="J1056" i="30"/>
  <c r="J1057" i="30"/>
  <c r="J1058" i="30"/>
  <c r="N1058" i="30" s="1"/>
  <c r="J1059" i="30"/>
  <c r="N1059" i="30" s="1"/>
  <c r="J1060" i="30"/>
  <c r="J1061" i="30"/>
  <c r="J1062" i="30"/>
  <c r="N1062" i="30" s="1"/>
  <c r="J1063" i="30"/>
  <c r="N1063" i="30" s="1"/>
  <c r="J1064" i="30"/>
  <c r="J1065" i="30"/>
  <c r="J1066" i="30"/>
  <c r="N1066" i="30" s="1"/>
  <c r="J1067" i="30"/>
  <c r="N1067" i="30" s="1"/>
  <c r="J1068" i="30"/>
  <c r="J1069" i="30"/>
  <c r="J1070" i="30"/>
  <c r="N1070" i="30" s="1"/>
  <c r="J1071" i="30"/>
  <c r="N1071" i="30" s="1"/>
  <c r="J1072" i="30"/>
  <c r="J1073" i="30"/>
  <c r="J1074" i="30"/>
  <c r="N1074" i="30" s="1"/>
  <c r="J1075" i="30"/>
  <c r="N1075" i="30" s="1"/>
  <c r="J1076" i="30"/>
  <c r="J1077" i="30"/>
  <c r="J1078" i="30"/>
  <c r="N1078" i="30" s="1"/>
  <c r="J1079" i="30"/>
  <c r="N1079" i="30" s="1"/>
  <c r="J1080" i="30"/>
  <c r="J1081" i="30"/>
  <c r="J1082" i="30"/>
  <c r="N1082" i="30" s="1"/>
  <c r="J1083" i="30"/>
  <c r="N1083" i="30" s="1"/>
  <c r="J1084" i="30"/>
  <c r="J1085" i="30"/>
  <c r="J1086" i="30"/>
  <c r="N1086" i="30" s="1"/>
  <c r="J1087" i="30"/>
  <c r="N1087" i="30" s="1"/>
  <c r="J1088" i="30"/>
  <c r="J1089" i="30"/>
  <c r="J1090" i="30"/>
  <c r="N1090" i="30" s="1"/>
  <c r="J1091" i="30"/>
  <c r="N1091" i="30" s="1"/>
  <c r="J1092" i="30"/>
  <c r="J1093" i="30"/>
  <c r="J1094" i="30"/>
  <c r="N1094" i="30" s="1"/>
  <c r="J1095" i="30"/>
  <c r="N1095" i="30" s="1"/>
  <c r="J1096" i="30"/>
  <c r="J1097" i="30"/>
  <c r="J1098" i="30"/>
  <c r="N1098" i="30" s="1"/>
  <c r="J1099" i="30"/>
  <c r="N1099" i="30" s="1"/>
  <c r="J1100" i="30"/>
  <c r="J1101" i="30"/>
  <c r="J1102" i="30"/>
  <c r="N1102" i="30" s="1"/>
  <c r="J1103" i="30"/>
  <c r="N1103" i="30" s="1"/>
  <c r="J1104" i="30"/>
  <c r="J1105" i="30"/>
  <c r="J1106" i="30"/>
  <c r="N1106" i="30" s="1"/>
  <c r="J1107" i="30"/>
  <c r="N1107" i="30" s="1"/>
  <c r="J1108" i="30"/>
  <c r="J1109" i="30"/>
  <c r="J1110" i="30"/>
  <c r="N1110" i="30" s="1"/>
  <c r="J1111" i="30"/>
  <c r="N1111" i="30" s="1"/>
  <c r="J1112" i="30"/>
  <c r="J1113" i="30"/>
  <c r="J1114" i="30"/>
  <c r="N1114" i="30" s="1"/>
  <c r="J1115" i="30"/>
  <c r="N1115" i="30" s="1"/>
  <c r="J1116" i="30"/>
  <c r="J1117" i="30"/>
  <c r="J1118" i="30"/>
  <c r="N1118" i="30" s="1"/>
  <c r="J1119" i="30"/>
  <c r="N1119" i="30" s="1"/>
  <c r="J1120" i="30"/>
  <c r="J1121" i="30"/>
  <c r="J1122" i="30"/>
  <c r="N1122" i="30" s="1"/>
  <c r="J1123" i="30"/>
  <c r="N1123" i="30" s="1"/>
  <c r="J1124" i="30"/>
  <c r="J1125" i="30"/>
  <c r="J1126" i="30"/>
  <c r="N1126" i="30" s="1"/>
  <c r="J1127" i="30"/>
  <c r="N1127" i="30" s="1"/>
  <c r="J1128" i="30"/>
  <c r="J1129" i="30"/>
  <c r="J1130" i="30"/>
  <c r="N1130" i="30" s="1"/>
  <c r="J1131" i="30"/>
  <c r="N1131" i="30" s="1"/>
  <c r="J1132" i="30"/>
  <c r="J1133" i="30"/>
  <c r="J1134" i="30"/>
  <c r="N1134" i="30" s="1"/>
  <c r="J1135" i="30"/>
  <c r="N1135" i="30" s="1"/>
  <c r="J1136" i="30"/>
  <c r="J1137" i="30"/>
  <c r="J1138" i="30"/>
  <c r="N1138" i="30" s="1"/>
  <c r="J1139" i="30"/>
  <c r="N1139" i="30" s="1"/>
  <c r="J1140" i="30"/>
  <c r="J1141" i="30"/>
  <c r="J1142" i="30"/>
  <c r="N1142" i="30" s="1"/>
  <c r="J1143" i="30"/>
  <c r="N1143" i="30" s="1"/>
  <c r="J1144" i="30"/>
  <c r="J1145" i="30"/>
  <c r="J1146" i="30"/>
  <c r="N1146" i="30" s="1"/>
  <c r="J1147" i="30"/>
  <c r="N1147" i="30" s="1"/>
  <c r="J1148" i="30"/>
  <c r="J1149" i="30"/>
  <c r="J1150" i="30"/>
  <c r="N1150" i="30" s="1"/>
  <c r="J1151" i="30"/>
  <c r="N1151" i="30" s="1"/>
  <c r="J1152" i="30"/>
  <c r="J1153" i="30"/>
  <c r="J1154" i="30"/>
  <c r="N1154" i="30" s="1"/>
  <c r="J1155" i="30"/>
  <c r="N1155" i="30" s="1"/>
  <c r="J1156" i="30"/>
  <c r="J1157" i="30"/>
  <c r="J1158" i="30"/>
  <c r="N1158" i="30" s="1"/>
  <c r="J1159" i="30"/>
  <c r="N1159" i="30" s="1"/>
  <c r="J1160" i="30"/>
  <c r="J1161" i="30"/>
  <c r="J1162" i="30"/>
  <c r="N1162" i="30" s="1"/>
  <c r="J1163" i="30"/>
  <c r="N1163" i="30" s="1"/>
  <c r="J1164" i="30"/>
  <c r="J1165" i="30"/>
  <c r="J1166" i="30"/>
  <c r="N1166" i="30" s="1"/>
  <c r="J1167" i="30"/>
  <c r="N1167" i="30" s="1"/>
  <c r="J1168" i="30"/>
  <c r="J1169" i="30"/>
  <c r="J1170" i="30"/>
  <c r="N1170" i="30" s="1"/>
  <c r="J1171" i="30"/>
  <c r="N1171" i="30" s="1"/>
  <c r="J1172" i="30"/>
  <c r="J1173" i="30"/>
  <c r="J1174" i="30"/>
  <c r="N1174" i="30" s="1"/>
  <c r="J1175" i="30"/>
  <c r="N1175" i="30" s="1"/>
  <c r="J1176" i="30"/>
  <c r="J1177" i="30"/>
  <c r="J1178" i="30"/>
  <c r="N1178" i="30" s="1"/>
  <c r="J1179" i="30"/>
  <c r="N1179" i="30" s="1"/>
  <c r="J1180" i="30"/>
  <c r="J1181" i="30"/>
  <c r="J1182" i="30"/>
  <c r="N1182" i="30" s="1"/>
  <c r="J1183" i="30"/>
  <c r="N1183" i="30" s="1"/>
  <c r="J1184" i="30"/>
  <c r="J1185" i="30"/>
  <c r="J1186" i="30"/>
  <c r="N1186" i="30" s="1"/>
  <c r="J1187" i="30"/>
  <c r="N1187" i="30" s="1"/>
  <c r="J1188" i="30"/>
  <c r="J1189" i="30"/>
  <c r="J1190" i="30"/>
  <c r="N1190" i="30" s="1"/>
  <c r="J1191" i="30"/>
  <c r="N1191" i="30" s="1"/>
  <c r="J1192" i="30"/>
  <c r="J1193" i="30"/>
  <c r="J1194" i="30"/>
  <c r="N1194" i="30" s="1"/>
  <c r="J1195" i="30"/>
  <c r="N1195" i="30" s="1"/>
  <c r="J1196" i="30"/>
  <c r="J1197" i="30"/>
  <c r="J1198" i="30"/>
  <c r="N1198" i="30" s="1"/>
  <c r="J1199" i="30"/>
  <c r="N1199" i="30" s="1"/>
  <c r="J1200" i="30"/>
  <c r="J1201" i="30"/>
  <c r="J1202" i="30"/>
  <c r="N1202" i="30" s="1"/>
  <c r="J1203" i="30"/>
  <c r="N1203" i="30" s="1"/>
  <c r="J1204" i="30"/>
  <c r="J1205" i="30"/>
  <c r="J1206" i="30"/>
  <c r="N1206" i="30" s="1"/>
  <c r="J1207" i="30"/>
  <c r="N1207" i="30" s="1"/>
  <c r="J1208" i="30"/>
  <c r="J1209" i="30"/>
  <c r="J1210" i="30"/>
  <c r="N1210" i="30" s="1"/>
  <c r="J1211" i="30"/>
  <c r="N1211" i="30" s="1"/>
  <c r="J1212" i="30"/>
  <c r="J1213" i="30"/>
  <c r="J1214" i="30"/>
  <c r="N1214" i="30" s="1"/>
  <c r="J1215" i="30"/>
  <c r="N1215" i="30" s="1"/>
  <c r="J1216" i="30"/>
  <c r="J1217" i="30"/>
  <c r="J1218" i="30"/>
  <c r="N1218" i="30" s="1"/>
  <c r="J1219" i="30"/>
  <c r="N1219" i="30" s="1"/>
  <c r="J1220" i="30"/>
  <c r="J1221" i="30"/>
  <c r="J1222" i="30"/>
  <c r="N1222" i="30" s="1"/>
  <c r="J1223" i="30"/>
  <c r="N1223" i="30" s="1"/>
  <c r="J1224" i="30"/>
  <c r="J1225" i="30"/>
  <c r="J1226" i="30"/>
  <c r="N1226" i="30" s="1"/>
  <c r="J1227" i="30"/>
  <c r="N1227" i="30" s="1"/>
  <c r="J1228" i="30"/>
  <c r="J1229" i="30"/>
  <c r="J1230" i="30"/>
  <c r="N1230" i="30" s="1"/>
  <c r="J1231" i="30"/>
  <c r="N1231" i="30" s="1"/>
  <c r="J1232" i="30"/>
  <c r="J1233" i="30"/>
  <c r="J1234" i="30"/>
  <c r="N1234" i="30" s="1"/>
  <c r="J1235" i="30"/>
  <c r="N1235" i="30" s="1"/>
  <c r="J1236" i="30"/>
  <c r="J1237" i="30"/>
  <c r="J1238" i="30"/>
  <c r="N1238" i="30" s="1"/>
  <c r="J1239" i="30"/>
  <c r="N1239" i="30" s="1"/>
  <c r="J1240" i="30"/>
  <c r="J1241" i="30"/>
  <c r="J1242" i="30"/>
  <c r="N1242" i="30" s="1"/>
  <c r="J1243" i="30"/>
  <c r="N1243" i="30" s="1"/>
  <c r="J1244" i="30"/>
  <c r="J1245" i="30"/>
  <c r="J1246" i="30"/>
  <c r="N1246" i="30" s="1"/>
  <c r="J1247" i="30"/>
  <c r="N1247" i="30" s="1"/>
  <c r="J1248" i="30"/>
  <c r="J1249" i="30"/>
  <c r="J1250" i="30"/>
  <c r="N1250" i="30" s="1"/>
  <c r="J1251" i="30"/>
  <c r="N1251" i="30" s="1"/>
  <c r="J1252" i="30"/>
  <c r="J1253" i="30"/>
  <c r="J1254" i="30"/>
  <c r="N1254" i="30" s="1"/>
  <c r="J1255" i="30"/>
  <c r="N1255" i="30" s="1"/>
  <c r="J1256" i="30"/>
  <c r="J1257" i="30"/>
  <c r="J1258" i="30"/>
  <c r="N1258" i="30" s="1"/>
  <c r="J1259" i="30"/>
  <c r="N1259" i="30" s="1"/>
  <c r="J1260" i="30"/>
  <c r="J1261" i="30"/>
  <c r="J1262" i="30"/>
  <c r="N1262" i="30" s="1"/>
  <c r="J1263" i="30"/>
  <c r="N1263" i="30" s="1"/>
  <c r="J1264" i="30"/>
  <c r="J1265" i="30"/>
  <c r="J1266" i="30"/>
  <c r="N1266" i="30" s="1"/>
  <c r="J1267" i="30"/>
  <c r="N1267" i="30" s="1"/>
  <c r="J1268" i="30"/>
  <c r="J1269" i="30"/>
  <c r="J1270" i="30"/>
  <c r="N1270" i="30" s="1"/>
  <c r="J1271" i="30"/>
  <c r="N1271" i="30" s="1"/>
  <c r="J1272" i="30"/>
  <c r="J1273" i="30"/>
  <c r="J1274" i="30"/>
  <c r="N1274" i="30" s="1"/>
  <c r="J1275" i="30"/>
  <c r="N1275" i="30" s="1"/>
  <c r="J1276" i="30"/>
  <c r="J1277" i="30"/>
  <c r="J1278" i="30"/>
  <c r="N1278" i="30" s="1"/>
  <c r="J1279" i="30"/>
  <c r="N1279" i="30" s="1"/>
  <c r="J1280" i="30"/>
  <c r="J1281" i="30"/>
  <c r="J1282" i="30"/>
  <c r="N1282" i="30" s="1"/>
  <c r="J1283" i="30"/>
  <c r="N1283" i="30" s="1"/>
  <c r="J1284" i="30"/>
  <c r="J1285" i="30"/>
  <c r="J1286" i="30"/>
  <c r="N1286" i="30" s="1"/>
  <c r="J1287" i="30"/>
  <c r="N1287" i="30" s="1"/>
  <c r="J1288" i="30"/>
  <c r="J1289" i="30"/>
  <c r="J1290" i="30"/>
  <c r="N1290" i="30" s="1"/>
  <c r="J1291" i="30"/>
  <c r="N1291" i="30" s="1"/>
  <c r="J1292" i="30"/>
  <c r="J1293" i="30"/>
  <c r="J1294" i="30"/>
  <c r="N1294" i="30" s="1"/>
  <c r="J1295" i="30"/>
  <c r="N1295" i="30" s="1"/>
  <c r="J1296" i="30"/>
  <c r="J1297" i="30"/>
  <c r="J1298" i="30"/>
  <c r="N1298" i="30" s="1"/>
  <c r="J1299" i="30"/>
  <c r="N1299" i="30" s="1"/>
  <c r="J1300" i="30"/>
  <c r="J1301" i="30"/>
  <c r="J1302" i="30"/>
  <c r="N1302" i="30" s="1"/>
  <c r="J1303" i="30"/>
  <c r="N1303" i="30" s="1"/>
  <c r="J1304" i="30"/>
  <c r="J1305" i="30"/>
  <c r="J1306" i="30"/>
  <c r="N1306" i="30" s="1"/>
  <c r="M12" i="26"/>
  <c r="M10" i="26"/>
  <c r="M3" i="30"/>
  <c r="M4" i="30"/>
  <c r="M5" i="30"/>
  <c r="M6" i="30"/>
  <c r="M7" i="30"/>
  <c r="M8" i="30"/>
  <c r="M9" i="30"/>
  <c r="M2" i="30"/>
  <c r="N10" i="26"/>
  <c r="N11" i="26"/>
  <c r="N12" i="26"/>
  <c r="N13" i="26"/>
  <c r="N9" i="26"/>
  <c r="N168" i="30" l="1"/>
  <c r="M193" i="30"/>
  <c r="M181" i="30"/>
  <c r="N209" i="30"/>
  <c r="M256" i="30"/>
  <c r="N225" i="30"/>
  <c r="M320" i="30"/>
  <c r="M185" i="30"/>
  <c r="M180" i="30"/>
  <c r="M192" i="30"/>
  <c r="N232" i="30"/>
  <c r="M296" i="30"/>
  <c r="M216" i="30"/>
  <c r="M195" i="30"/>
  <c r="M235" i="30"/>
  <c r="M271" i="30"/>
  <c r="M332" i="30"/>
  <c r="M300" i="30"/>
  <c r="M221" i="30"/>
  <c r="N177" i="30"/>
  <c r="N241" i="30"/>
  <c r="M252" i="30"/>
  <c r="M328" i="30"/>
  <c r="N220" i="30"/>
  <c r="N244" i="30"/>
  <c r="N284" i="30"/>
  <c r="N308" i="30"/>
  <c r="M260" i="30"/>
  <c r="N257" i="30"/>
  <c r="N738" i="30"/>
  <c r="M738" i="30"/>
  <c r="M710" i="30"/>
  <c r="N710" i="30"/>
  <c r="N360" i="30"/>
  <c r="M1301" i="30"/>
  <c r="N1301" i="30"/>
  <c r="M1289" i="30"/>
  <c r="N1289" i="30"/>
  <c r="N1277" i="30"/>
  <c r="M1277" i="30"/>
  <c r="M1265" i="30"/>
  <c r="N1265" i="30"/>
  <c r="M1253" i="30"/>
  <c r="N1253" i="30"/>
  <c r="M1241" i="30"/>
  <c r="N1241" i="30"/>
  <c r="M1237" i="30"/>
  <c r="N1237" i="30"/>
  <c r="M1233" i="30"/>
  <c r="N1233" i="30"/>
  <c r="N1229" i="30"/>
  <c r="M1229" i="30"/>
  <c r="N1225" i="30"/>
  <c r="M1225" i="30"/>
  <c r="M1221" i="30"/>
  <c r="N1221" i="30"/>
  <c r="M1217" i="30"/>
  <c r="N1217" i="30"/>
  <c r="N1213" i="30"/>
  <c r="M1213" i="30"/>
  <c r="M1209" i="30"/>
  <c r="N1209" i="30"/>
  <c r="M1205" i="30"/>
  <c r="N1205" i="30"/>
  <c r="M1201" i="30"/>
  <c r="N1201" i="30"/>
  <c r="N1197" i="30"/>
  <c r="M1197" i="30"/>
  <c r="M1193" i="30"/>
  <c r="N1193" i="30"/>
  <c r="M1189" i="30"/>
  <c r="N1189" i="30"/>
  <c r="M1185" i="30"/>
  <c r="N1185" i="30"/>
  <c r="N1181" i="30"/>
  <c r="M1181" i="30"/>
  <c r="M1177" i="30"/>
  <c r="N1177" i="30"/>
  <c r="M1173" i="30"/>
  <c r="N1173" i="30"/>
  <c r="M1169" i="30"/>
  <c r="N1169" i="30"/>
  <c r="N1165" i="30"/>
  <c r="M1165" i="30"/>
  <c r="M1161" i="30"/>
  <c r="N1161" i="30"/>
  <c r="M1157" i="30"/>
  <c r="N1157" i="30"/>
  <c r="M1153" i="30"/>
  <c r="N1153" i="30"/>
  <c r="N1149" i="30"/>
  <c r="M1149" i="30"/>
  <c r="M1145" i="30"/>
  <c r="N1145" i="30"/>
  <c r="M1141" i="30"/>
  <c r="N1141" i="30"/>
  <c r="M1137" i="30"/>
  <c r="N1137" i="30"/>
  <c r="N1133" i="30"/>
  <c r="M1133" i="30"/>
  <c r="M1129" i="30"/>
  <c r="N1129" i="30"/>
  <c r="M1125" i="30"/>
  <c r="N1125" i="30"/>
  <c r="M1121" i="30"/>
  <c r="N1121" i="30"/>
  <c r="N1117" i="30"/>
  <c r="M1117" i="30"/>
  <c r="N1113" i="30"/>
  <c r="M1113" i="30"/>
  <c r="M1109" i="30"/>
  <c r="N1109" i="30"/>
  <c r="M1105" i="30"/>
  <c r="N1105" i="30"/>
  <c r="N1101" i="30"/>
  <c r="M1101" i="30"/>
  <c r="N1097" i="30"/>
  <c r="M1097" i="30"/>
  <c r="M1093" i="30"/>
  <c r="N1093" i="30"/>
  <c r="M1089" i="30"/>
  <c r="N1089" i="30"/>
  <c r="N1085" i="30"/>
  <c r="M1085" i="30"/>
  <c r="M1081" i="30"/>
  <c r="N1081" i="30"/>
  <c r="M1077" i="30"/>
  <c r="N1077" i="30"/>
  <c r="M1073" i="30"/>
  <c r="N1073" i="30"/>
  <c r="N1069" i="30"/>
  <c r="M1069" i="30"/>
  <c r="N1065" i="30"/>
  <c r="M1065" i="30"/>
  <c r="M1061" i="30"/>
  <c r="N1061" i="30"/>
  <c r="M1057" i="30"/>
  <c r="N1057" i="30"/>
  <c r="N1053" i="30"/>
  <c r="M1053" i="30"/>
  <c r="M1049" i="30"/>
  <c r="N1049" i="30"/>
  <c r="M1045" i="30"/>
  <c r="N1045" i="30"/>
  <c r="M1041" i="30"/>
  <c r="N1041" i="30"/>
  <c r="N1037" i="30"/>
  <c r="M1037" i="30"/>
  <c r="M1033" i="30"/>
  <c r="N1033" i="30"/>
  <c r="M1029" i="30"/>
  <c r="N1029" i="30"/>
  <c r="M1025" i="30"/>
  <c r="N1025" i="30"/>
  <c r="N1021" i="30"/>
  <c r="M1021" i="30"/>
  <c r="M1017" i="30"/>
  <c r="N1017" i="30"/>
  <c r="M1013" i="30"/>
  <c r="N1013" i="30"/>
  <c r="M1009" i="30"/>
  <c r="N1009" i="30"/>
  <c r="N1005" i="30"/>
  <c r="M1005" i="30"/>
  <c r="M1001" i="30"/>
  <c r="N1001" i="30"/>
  <c r="M997" i="30"/>
  <c r="N997" i="30"/>
  <c r="M993" i="30"/>
  <c r="N993" i="30"/>
  <c r="N989" i="30"/>
  <c r="M989" i="30"/>
  <c r="M985" i="30"/>
  <c r="N985" i="30"/>
  <c r="M981" i="30"/>
  <c r="N981" i="30"/>
  <c r="M977" i="30"/>
  <c r="N977" i="30"/>
  <c r="N973" i="30"/>
  <c r="M973" i="30"/>
  <c r="N969" i="30"/>
  <c r="M969" i="30"/>
  <c r="M965" i="30"/>
  <c r="N965" i="30"/>
  <c r="M961" i="30"/>
  <c r="N961" i="30"/>
  <c r="N957" i="30"/>
  <c r="M957" i="30"/>
  <c r="N953" i="30"/>
  <c r="M953" i="30"/>
  <c r="M949" i="30"/>
  <c r="N949" i="30"/>
  <c r="M945" i="30"/>
  <c r="N945" i="30"/>
  <c r="N941" i="30"/>
  <c r="M941" i="30"/>
  <c r="M937" i="30"/>
  <c r="N937" i="30"/>
  <c r="M933" i="30"/>
  <c r="N933" i="30"/>
  <c r="M929" i="30"/>
  <c r="N929" i="30"/>
  <c r="N925" i="30"/>
  <c r="M925" i="30"/>
  <c r="N921" i="30"/>
  <c r="M921" i="30"/>
  <c r="M917" i="30"/>
  <c r="N917" i="30"/>
  <c r="M913" i="30"/>
  <c r="N913" i="30"/>
  <c r="N909" i="30"/>
  <c r="M909" i="30"/>
  <c r="M905" i="30"/>
  <c r="N905" i="30"/>
  <c r="M901" i="30"/>
  <c r="N901" i="30"/>
  <c r="M897" i="30"/>
  <c r="N897" i="30"/>
  <c r="N893" i="30"/>
  <c r="M893" i="30"/>
  <c r="M889" i="30"/>
  <c r="N889" i="30"/>
  <c r="M885" i="30"/>
  <c r="N885" i="30"/>
  <c r="M881" i="30"/>
  <c r="N881" i="30"/>
  <c r="N877" i="30"/>
  <c r="M877" i="30"/>
  <c r="M873" i="30"/>
  <c r="N873" i="30"/>
  <c r="M869" i="30"/>
  <c r="N869" i="30"/>
  <c r="M865" i="30"/>
  <c r="N865" i="30"/>
  <c r="N861" i="30"/>
  <c r="M861" i="30"/>
  <c r="N857" i="30"/>
  <c r="M857" i="30"/>
  <c r="M853" i="30"/>
  <c r="N853" i="30"/>
  <c r="M849" i="30"/>
  <c r="N849" i="30"/>
  <c r="N845" i="30"/>
  <c r="M845" i="30"/>
  <c r="N841" i="30"/>
  <c r="M841" i="30"/>
  <c r="M837" i="30"/>
  <c r="N837" i="30"/>
  <c r="M833" i="30"/>
  <c r="N833" i="30"/>
  <c r="N829" i="30"/>
  <c r="M829" i="30"/>
  <c r="N825" i="30"/>
  <c r="M825" i="30"/>
  <c r="M821" i="30"/>
  <c r="N821" i="30"/>
  <c r="M817" i="30"/>
  <c r="N817" i="30"/>
  <c r="N813" i="30"/>
  <c r="M813" i="30"/>
  <c r="M809" i="30"/>
  <c r="N809" i="30"/>
  <c r="M805" i="30"/>
  <c r="N805" i="30"/>
  <c r="M801" i="30"/>
  <c r="N801" i="30"/>
  <c r="N797" i="30"/>
  <c r="M797" i="30"/>
  <c r="M793" i="30"/>
  <c r="N793" i="30"/>
  <c r="M789" i="30"/>
  <c r="N789" i="30"/>
  <c r="M785" i="30"/>
  <c r="N785" i="30"/>
  <c r="N781" i="30"/>
  <c r="M781" i="30"/>
  <c r="M777" i="30"/>
  <c r="N777" i="30"/>
  <c r="M773" i="30"/>
  <c r="N773" i="30"/>
  <c r="M769" i="30"/>
  <c r="N769" i="30"/>
  <c r="N765" i="30"/>
  <c r="M765" i="30"/>
  <c r="N761" i="30"/>
  <c r="M761" i="30"/>
  <c r="M757" i="30"/>
  <c r="N757" i="30"/>
  <c r="M753" i="30"/>
  <c r="N753" i="30"/>
  <c r="N749" i="30"/>
  <c r="M749" i="30"/>
  <c r="M745" i="30"/>
  <c r="N745" i="30"/>
  <c r="M741" i="30"/>
  <c r="N741" i="30"/>
  <c r="M737" i="30"/>
  <c r="N737" i="30"/>
  <c r="M733" i="30"/>
  <c r="N733" i="30"/>
  <c r="N729" i="30"/>
  <c r="M729" i="30"/>
  <c r="M725" i="30"/>
  <c r="N725" i="30"/>
  <c r="M721" i="30"/>
  <c r="N721" i="30"/>
  <c r="N717" i="30"/>
  <c r="M717" i="30"/>
  <c r="M713" i="30"/>
  <c r="N713" i="30"/>
  <c r="M709" i="30"/>
  <c r="N709" i="30"/>
  <c r="M705" i="30"/>
  <c r="N705" i="30"/>
  <c r="M701" i="30"/>
  <c r="N701" i="30"/>
  <c r="N697" i="30"/>
  <c r="M697" i="30"/>
  <c r="M693" i="30"/>
  <c r="N693" i="30"/>
  <c r="M689" i="30"/>
  <c r="N689" i="30"/>
  <c r="M685" i="30"/>
  <c r="N685" i="30"/>
  <c r="M681" i="30"/>
  <c r="N681" i="30"/>
  <c r="M677" i="30"/>
  <c r="N677" i="30"/>
  <c r="M673" i="30"/>
  <c r="N673" i="30"/>
  <c r="N669" i="30"/>
  <c r="M669" i="30"/>
  <c r="M665" i="30"/>
  <c r="N665" i="30"/>
  <c r="N661" i="30"/>
  <c r="M661" i="30"/>
  <c r="M657" i="30"/>
  <c r="N657" i="30"/>
  <c r="N653" i="30"/>
  <c r="M653" i="30"/>
  <c r="M649" i="30"/>
  <c r="N649" i="30"/>
  <c r="M645" i="30"/>
  <c r="N645" i="30"/>
  <c r="M641" i="30"/>
  <c r="N641" i="30"/>
  <c r="M637" i="30"/>
  <c r="N637" i="30"/>
  <c r="N633" i="30"/>
  <c r="M633" i="30"/>
  <c r="M629" i="30"/>
  <c r="N629" i="30"/>
  <c r="N625" i="30"/>
  <c r="M625" i="30"/>
  <c r="M621" i="30"/>
  <c r="N621" i="30"/>
  <c r="N617" i="30"/>
  <c r="M617" i="30"/>
  <c r="M613" i="30"/>
  <c r="N613" i="30"/>
  <c r="M609" i="30"/>
  <c r="N609" i="30"/>
  <c r="N605" i="30"/>
  <c r="M605" i="30"/>
  <c r="N601" i="30"/>
  <c r="M601" i="30"/>
  <c r="N597" i="30"/>
  <c r="M597" i="30"/>
  <c r="M593" i="30"/>
  <c r="N593" i="30"/>
  <c r="N589" i="30"/>
  <c r="M589" i="30"/>
  <c r="M585" i="30"/>
  <c r="N585" i="30"/>
  <c r="N581" i="30"/>
  <c r="M581" i="30"/>
  <c r="M577" i="30"/>
  <c r="N577" i="30"/>
  <c r="M573" i="30"/>
  <c r="N573" i="30"/>
  <c r="N569" i="30"/>
  <c r="M569" i="30"/>
  <c r="M565" i="30"/>
  <c r="N565" i="30"/>
  <c r="M561" i="30"/>
  <c r="N561" i="30"/>
  <c r="M557" i="30"/>
  <c r="N557" i="30"/>
  <c r="N553" i="30"/>
  <c r="M553" i="30"/>
  <c r="M549" i="30"/>
  <c r="N549" i="30"/>
  <c r="M545" i="30"/>
  <c r="N545" i="30"/>
  <c r="N541" i="30"/>
  <c r="M541" i="30"/>
  <c r="N537" i="30"/>
  <c r="M537" i="30"/>
  <c r="M533" i="30"/>
  <c r="N533" i="30"/>
  <c r="M529" i="30"/>
  <c r="N529" i="30"/>
  <c r="N525" i="30"/>
  <c r="M525" i="30"/>
  <c r="M521" i="30"/>
  <c r="N521" i="30"/>
  <c r="M517" i="30"/>
  <c r="N517" i="30"/>
  <c r="M513" i="30"/>
  <c r="N513" i="30"/>
  <c r="N509" i="30"/>
  <c r="M509" i="30"/>
  <c r="M505" i="30"/>
  <c r="N505" i="30"/>
  <c r="N501" i="30"/>
  <c r="M501" i="30"/>
  <c r="M497" i="30"/>
  <c r="N497" i="30"/>
  <c r="M493" i="30"/>
  <c r="N493" i="30"/>
  <c r="M489" i="30"/>
  <c r="N489" i="30"/>
  <c r="N485" i="30"/>
  <c r="M485" i="30"/>
  <c r="M481" i="30"/>
  <c r="N481" i="30"/>
  <c r="N477" i="30"/>
  <c r="M477" i="30"/>
  <c r="M473" i="30"/>
  <c r="N473" i="30"/>
  <c r="M469" i="30"/>
  <c r="N469" i="30"/>
  <c r="M465" i="30"/>
  <c r="N465" i="30"/>
  <c r="M461" i="30"/>
  <c r="N461" i="30"/>
  <c r="M457" i="30"/>
  <c r="N457" i="30"/>
  <c r="M453" i="30"/>
  <c r="N453" i="30"/>
  <c r="M449" i="30"/>
  <c r="N449" i="30"/>
  <c r="N445" i="30"/>
  <c r="M445" i="30"/>
  <c r="N441" i="30"/>
  <c r="M441" i="30"/>
  <c r="M437" i="30"/>
  <c r="N437" i="30"/>
  <c r="M433" i="30"/>
  <c r="N433" i="30"/>
  <c r="M429" i="30"/>
  <c r="N429" i="30"/>
  <c r="M425" i="30"/>
  <c r="N425" i="30"/>
  <c r="M421" i="30"/>
  <c r="N421" i="30"/>
  <c r="M417" i="30"/>
  <c r="N417" i="30"/>
  <c r="N413" i="30"/>
  <c r="M413" i="30"/>
  <c r="M409" i="30"/>
  <c r="N409" i="30"/>
  <c r="N405" i="30"/>
  <c r="M405" i="30"/>
  <c r="M401" i="30"/>
  <c r="N401" i="30"/>
  <c r="N397" i="30"/>
  <c r="M397" i="30"/>
  <c r="M393" i="30"/>
  <c r="N393" i="30"/>
  <c r="M389" i="30"/>
  <c r="N389" i="30"/>
  <c r="M385" i="30"/>
  <c r="N385" i="30"/>
  <c r="N381" i="30"/>
  <c r="M381" i="30"/>
  <c r="N377" i="30"/>
  <c r="M377" i="30"/>
  <c r="M373" i="30"/>
  <c r="N373" i="30"/>
  <c r="N369" i="30"/>
  <c r="M369" i="30"/>
  <c r="N365" i="30"/>
  <c r="M365" i="30"/>
  <c r="N361" i="30"/>
  <c r="M361" i="30"/>
  <c r="M357" i="30"/>
  <c r="N357" i="30"/>
  <c r="M353" i="30"/>
  <c r="N353" i="30"/>
  <c r="N349" i="30"/>
  <c r="M349" i="30"/>
  <c r="N345" i="30"/>
  <c r="M345" i="30"/>
  <c r="N341" i="30"/>
  <c r="M341" i="30"/>
  <c r="M337" i="30"/>
  <c r="N337" i="30"/>
  <c r="N333" i="30"/>
  <c r="M333" i="30"/>
  <c r="M329" i="30"/>
  <c r="N329" i="30"/>
  <c r="N325" i="30"/>
  <c r="M325" i="30"/>
  <c r="M321" i="30"/>
  <c r="N321" i="30"/>
  <c r="M317" i="30"/>
  <c r="N317" i="30"/>
  <c r="N313" i="30"/>
  <c r="M313" i="30"/>
  <c r="M309" i="30"/>
  <c r="N309" i="30"/>
  <c r="M305" i="30"/>
  <c r="N305" i="30"/>
  <c r="M301" i="30"/>
  <c r="N301" i="30"/>
  <c r="N297" i="30"/>
  <c r="M297" i="30"/>
  <c r="N293" i="30"/>
  <c r="M293" i="30"/>
  <c r="M289" i="30"/>
  <c r="N289" i="30"/>
  <c r="N285" i="30"/>
  <c r="M285" i="30"/>
  <c r="M281" i="30"/>
  <c r="N281" i="30"/>
  <c r="M277" i="30"/>
  <c r="N277" i="30"/>
  <c r="M273" i="30"/>
  <c r="N273" i="30"/>
  <c r="N269" i="30"/>
  <c r="M269" i="30"/>
  <c r="N265" i="30"/>
  <c r="M265" i="30"/>
  <c r="M1297" i="30"/>
  <c r="N1297" i="30"/>
  <c r="M1285" i="30"/>
  <c r="N1285" i="30"/>
  <c r="M1273" i="30"/>
  <c r="N1273" i="30"/>
  <c r="N1261" i="30"/>
  <c r="M1261" i="30"/>
  <c r="M1249" i="30"/>
  <c r="N1249" i="30"/>
  <c r="M1300" i="30"/>
  <c r="N1300" i="30"/>
  <c r="M1292" i="30"/>
  <c r="N1292" i="30"/>
  <c r="M1284" i="30"/>
  <c r="N1284" i="30"/>
  <c r="M1276" i="30"/>
  <c r="N1276" i="30"/>
  <c r="M1268" i="30"/>
  <c r="N1268" i="30"/>
  <c r="N1260" i="30"/>
  <c r="M1260" i="30"/>
  <c r="M1252" i="30"/>
  <c r="N1252" i="30"/>
  <c r="M1244" i="30"/>
  <c r="N1244" i="30"/>
  <c r="M1236" i="30"/>
  <c r="N1236" i="30"/>
  <c r="M1228" i="30"/>
  <c r="N1228" i="30"/>
  <c r="M1224" i="30"/>
  <c r="N1224" i="30"/>
  <c r="M1220" i="30"/>
  <c r="N1220" i="30"/>
  <c r="N1216" i="30"/>
  <c r="M1216" i="30"/>
  <c r="M1212" i="30"/>
  <c r="N1212" i="30"/>
  <c r="M1208" i="30"/>
  <c r="N1208" i="30"/>
  <c r="M1204" i="30"/>
  <c r="N1204" i="30"/>
  <c r="N1200" i="30"/>
  <c r="M1200" i="30"/>
  <c r="M1196" i="30"/>
  <c r="N1196" i="30"/>
  <c r="M1192" i="30"/>
  <c r="N1192" i="30"/>
  <c r="M1188" i="30"/>
  <c r="N1188" i="30"/>
  <c r="N1184" i="30"/>
  <c r="M1184" i="30"/>
  <c r="M1180" i="30"/>
  <c r="N1180" i="30"/>
  <c r="M1176" i="30"/>
  <c r="N1176" i="30"/>
  <c r="M1172" i="30"/>
  <c r="N1172" i="30"/>
  <c r="N1168" i="30"/>
  <c r="M1168" i="30"/>
  <c r="M1164" i="30"/>
  <c r="N1164" i="30"/>
  <c r="M1160" i="30"/>
  <c r="N1160" i="30"/>
  <c r="M1156" i="30"/>
  <c r="N1156" i="30"/>
  <c r="N1152" i="30"/>
  <c r="M1152" i="30"/>
  <c r="M1148" i="30"/>
  <c r="N1148" i="30"/>
  <c r="M1144" i="30"/>
  <c r="N1144" i="30"/>
  <c r="M1140" i="30"/>
  <c r="N1140" i="30"/>
  <c r="N1136" i="30"/>
  <c r="M1136" i="30"/>
  <c r="M1132" i="30"/>
  <c r="N1132" i="30"/>
  <c r="M1128" i="30"/>
  <c r="N1128" i="30"/>
  <c r="M1124" i="30"/>
  <c r="N1124" i="30"/>
  <c r="N1120" i="30"/>
  <c r="M1120" i="30"/>
  <c r="N1116" i="30"/>
  <c r="M1116" i="30"/>
  <c r="M1112" i="30"/>
  <c r="N1112" i="30"/>
  <c r="M1108" i="30"/>
  <c r="N1108" i="30"/>
  <c r="N1104" i="30"/>
  <c r="M1104" i="30"/>
  <c r="M1100" i="30"/>
  <c r="N1100" i="30"/>
  <c r="M1096" i="30"/>
  <c r="N1096" i="30"/>
  <c r="M1092" i="30"/>
  <c r="N1092" i="30"/>
  <c r="N1088" i="30"/>
  <c r="M1088" i="30"/>
  <c r="M1084" i="30"/>
  <c r="N1084" i="30"/>
  <c r="M1080" i="30"/>
  <c r="N1080" i="30"/>
  <c r="M1076" i="30"/>
  <c r="N1076" i="30"/>
  <c r="N1072" i="30"/>
  <c r="M1072" i="30"/>
  <c r="M1068" i="30"/>
  <c r="N1068" i="30"/>
  <c r="M1064" i="30"/>
  <c r="N1064" i="30"/>
  <c r="M1060" i="30"/>
  <c r="N1060" i="30"/>
  <c r="N1056" i="30"/>
  <c r="M1056" i="30"/>
  <c r="M1052" i="30"/>
  <c r="N1052" i="30"/>
  <c r="M1048" i="30"/>
  <c r="N1048" i="30"/>
  <c r="M1044" i="30"/>
  <c r="N1044" i="30"/>
  <c r="N1040" i="30"/>
  <c r="M1040" i="30"/>
  <c r="M1036" i="30"/>
  <c r="N1036" i="30"/>
  <c r="M1032" i="30"/>
  <c r="N1032" i="30"/>
  <c r="M1028" i="30"/>
  <c r="N1028" i="30"/>
  <c r="N1024" i="30"/>
  <c r="M1024" i="30"/>
  <c r="M1020" i="30"/>
  <c r="N1020" i="30"/>
  <c r="M1016" i="30"/>
  <c r="N1016" i="30"/>
  <c r="M1012" i="30"/>
  <c r="N1012" i="30"/>
  <c r="N1008" i="30"/>
  <c r="M1008" i="30"/>
  <c r="M1004" i="30"/>
  <c r="N1004" i="30"/>
  <c r="M1000" i="30"/>
  <c r="N1000" i="30"/>
  <c r="M996" i="30"/>
  <c r="N996" i="30"/>
  <c r="N992" i="30"/>
  <c r="M992" i="30"/>
  <c r="M988" i="30"/>
  <c r="N988" i="30"/>
  <c r="M984" i="30"/>
  <c r="N984" i="30"/>
  <c r="M980" i="30"/>
  <c r="N980" i="30"/>
  <c r="N976" i="30"/>
  <c r="M976" i="30"/>
  <c r="M972" i="30"/>
  <c r="N972" i="30"/>
  <c r="M968" i="30"/>
  <c r="N968" i="30"/>
  <c r="M964" i="30"/>
  <c r="N964" i="30"/>
  <c r="N960" i="30"/>
  <c r="M960" i="30"/>
  <c r="M956" i="30"/>
  <c r="N956" i="30"/>
  <c r="M952" i="30"/>
  <c r="N952" i="30"/>
  <c r="M948" i="30"/>
  <c r="N948" i="30"/>
  <c r="N944" i="30"/>
  <c r="M944" i="30"/>
  <c r="M940" i="30"/>
  <c r="N940" i="30"/>
  <c r="M936" i="30"/>
  <c r="N936" i="30"/>
  <c r="M932" i="30"/>
  <c r="N932" i="30"/>
  <c r="N928" i="30"/>
  <c r="M928" i="30"/>
  <c r="M924" i="30"/>
  <c r="N924" i="30"/>
  <c r="M920" i="30"/>
  <c r="N920" i="30"/>
  <c r="M916" i="30"/>
  <c r="N916" i="30"/>
  <c r="N912" i="30"/>
  <c r="M912" i="30"/>
  <c r="M908" i="30"/>
  <c r="N908" i="30"/>
  <c r="M904" i="30"/>
  <c r="N904" i="30"/>
  <c r="M900" i="30"/>
  <c r="N900" i="30"/>
  <c r="N896" i="30"/>
  <c r="M896" i="30"/>
  <c r="N892" i="30"/>
  <c r="M892" i="30"/>
  <c r="M888" i="30"/>
  <c r="N888" i="30"/>
  <c r="M884" i="30"/>
  <c r="N884" i="30"/>
  <c r="N880" i="30"/>
  <c r="M880" i="30"/>
  <c r="N876" i="30"/>
  <c r="M876" i="30"/>
  <c r="M872" i="30"/>
  <c r="N872" i="30"/>
  <c r="M868" i="30"/>
  <c r="N868" i="30"/>
  <c r="N864" i="30"/>
  <c r="M864" i="30"/>
  <c r="M860" i="30"/>
  <c r="N860" i="30"/>
  <c r="M856" i="30"/>
  <c r="N856" i="30"/>
  <c r="M852" i="30"/>
  <c r="N852" i="30"/>
  <c r="N848" i="30"/>
  <c r="M848" i="30"/>
  <c r="M844" i="30"/>
  <c r="N844" i="30"/>
  <c r="M840" i="30"/>
  <c r="N840" i="30"/>
  <c r="M836" i="30"/>
  <c r="N836" i="30"/>
  <c r="N832" i="30"/>
  <c r="M832" i="30"/>
  <c r="M828" i="30"/>
  <c r="N828" i="30"/>
  <c r="M824" i="30"/>
  <c r="N824" i="30"/>
  <c r="M820" i="30"/>
  <c r="N820" i="30"/>
  <c r="N816" i="30"/>
  <c r="M816" i="30"/>
  <c r="M812" i="30"/>
  <c r="N812" i="30"/>
  <c r="M808" i="30"/>
  <c r="N808" i="30"/>
  <c r="M804" i="30"/>
  <c r="N804" i="30"/>
  <c r="N800" i="30"/>
  <c r="M800" i="30"/>
  <c r="M796" i="30"/>
  <c r="N796" i="30"/>
  <c r="M792" i="30"/>
  <c r="N792" i="30"/>
  <c r="M788" i="30"/>
  <c r="N788" i="30"/>
  <c r="N784" i="30"/>
  <c r="M784" i="30"/>
  <c r="M780" i="30"/>
  <c r="N780" i="30"/>
  <c r="M776" i="30"/>
  <c r="N776" i="30"/>
  <c r="M772" i="30"/>
  <c r="N772" i="30"/>
  <c r="N768" i="30"/>
  <c r="M768" i="30"/>
  <c r="M764" i="30"/>
  <c r="N764" i="30"/>
  <c r="M760" i="30"/>
  <c r="N760" i="30"/>
  <c r="M756" i="30"/>
  <c r="N756" i="30"/>
  <c r="N752" i="30"/>
  <c r="M752" i="30"/>
  <c r="M748" i="30"/>
  <c r="N748" i="30"/>
  <c r="M744" i="30"/>
  <c r="N744" i="30"/>
  <c r="M740" i="30"/>
  <c r="N740" i="30"/>
  <c r="N736" i="30"/>
  <c r="M736" i="30"/>
  <c r="N732" i="30"/>
  <c r="M732" i="30"/>
  <c r="M728" i="30"/>
  <c r="N728" i="30"/>
  <c r="M724" i="30"/>
  <c r="N724" i="30"/>
  <c r="N720" i="30"/>
  <c r="M720" i="30"/>
  <c r="M716" i="30"/>
  <c r="N716" i="30"/>
  <c r="M712" i="30"/>
  <c r="N712" i="30"/>
  <c r="M708" i="30"/>
  <c r="N708" i="30"/>
  <c r="M704" i="30"/>
  <c r="N704" i="30"/>
  <c r="N700" i="30"/>
  <c r="M700" i="30"/>
  <c r="M696" i="30"/>
  <c r="N696" i="30"/>
  <c r="M692" i="30"/>
  <c r="N692" i="30"/>
  <c r="N684" i="30"/>
  <c r="M684" i="30"/>
  <c r="M680" i="30"/>
  <c r="N680" i="30"/>
  <c r="N676" i="30"/>
  <c r="M676" i="30"/>
  <c r="M668" i="30"/>
  <c r="N668" i="30"/>
  <c r="N664" i="30"/>
  <c r="M664" i="30"/>
  <c r="N660" i="30"/>
  <c r="M660" i="30"/>
  <c r="M652" i="30"/>
  <c r="N652" i="30"/>
  <c r="M648" i="30"/>
  <c r="N648" i="30"/>
  <c r="M644" i="30"/>
  <c r="N644" i="30"/>
  <c r="M636" i="30"/>
  <c r="N636" i="30"/>
  <c r="M632" i="30"/>
  <c r="N632" i="30"/>
  <c r="M628" i="30"/>
  <c r="N628" i="30"/>
  <c r="M620" i="30"/>
  <c r="N620" i="30"/>
  <c r="M616" i="30"/>
  <c r="N616" i="30"/>
  <c r="N612" i="30"/>
  <c r="M612" i="30"/>
  <c r="M604" i="30"/>
  <c r="N604" i="30"/>
  <c r="N600" i="30"/>
  <c r="M600" i="30"/>
  <c r="M596" i="30"/>
  <c r="N596" i="30"/>
  <c r="N588" i="30"/>
  <c r="M588" i="30"/>
  <c r="M584" i="30"/>
  <c r="N584" i="30"/>
  <c r="M580" i="30"/>
  <c r="N580" i="30"/>
  <c r="M572" i="30"/>
  <c r="N572" i="30"/>
  <c r="M568" i="30"/>
  <c r="N568" i="30"/>
  <c r="M564" i="30"/>
  <c r="N564" i="30"/>
  <c r="M556" i="30"/>
  <c r="N556" i="30"/>
  <c r="M552" i="30"/>
  <c r="N552" i="30"/>
  <c r="N548" i="30"/>
  <c r="M548" i="30"/>
  <c r="M540" i="30"/>
  <c r="N540" i="30"/>
  <c r="M536" i="30"/>
  <c r="N536" i="30"/>
  <c r="M532" i="30"/>
  <c r="N532" i="30"/>
  <c r="N524" i="30"/>
  <c r="M524" i="30"/>
  <c r="N520" i="30"/>
  <c r="M520" i="30"/>
  <c r="N516" i="30"/>
  <c r="M516" i="30"/>
  <c r="N508" i="30"/>
  <c r="M508" i="30"/>
  <c r="M504" i="30"/>
  <c r="N504" i="30"/>
  <c r="M500" i="30"/>
  <c r="N500" i="30"/>
  <c r="M492" i="30"/>
  <c r="N492" i="30"/>
  <c r="M488" i="30"/>
  <c r="N488" i="30"/>
  <c r="M484" i="30"/>
  <c r="N484" i="30"/>
  <c r="M476" i="30"/>
  <c r="N476" i="30"/>
  <c r="N472" i="30"/>
  <c r="M472" i="30"/>
  <c r="M468" i="30"/>
  <c r="N468" i="30"/>
  <c r="N460" i="30"/>
  <c r="M460" i="30"/>
  <c r="M456" i="30"/>
  <c r="N456" i="30"/>
  <c r="M452" i="30"/>
  <c r="N452" i="30"/>
  <c r="N444" i="30"/>
  <c r="M444" i="30"/>
  <c r="M440" i="30"/>
  <c r="N440" i="30"/>
  <c r="M436" i="30"/>
  <c r="N436" i="30"/>
  <c r="N428" i="30"/>
  <c r="M428" i="30"/>
  <c r="M424" i="30"/>
  <c r="N424" i="30"/>
  <c r="N420" i="30"/>
  <c r="M420" i="30"/>
  <c r="M412" i="30"/>
  <c r="N412" i="30"/>
  <c r="N408" i="30"/>
  <c r="M408" i="30"/>
  <c r="M404" i="30"/>
  <c r="N404" i="30"/>
  <c r="M396" i="30"/>
  <c r="N396" i="30"/>
  <c r="M392" i="30"/>
  <c r="N392" i="30"/>
  <c r="M388" i="30"/>
  <c r="N388" i="30"/>
  <c r="M380" i="30"/>
  <c r="N380" i="30"/>
  <c r="M376" i="30"/>
  <c r="N376" i="30"/>
  <c r="M372" i="30"/>
  <c r="N372" i="30"/>
  <c r="M364" i="30"/>
  <c r="N364" i="30"/>
  <c r="M356" i="30"/>
  <c r="N356" i="30"/>
  <c r="N348" i="30"/>
  <c r="M1305" i="30"/>
  <c r="N1305" i="30"/>
  <c r="N1293" i="30"/>
  <c r="M1293" i="30"/>
  <c r="M1281" i="30"/>
  <c r="N1281" i="30"/>
  <c r="M1269" i="30"/>
  <c r="N1269" i="30"/>
  <c r="N1257" i="30"/>
  <c r="M1257" i="30"/>
  <c r="N1245" i="30"/>
  <c r="M1245" i="30"/>
  <c r="M1304" i="30"/>
  <c r="N1304" i="30"/>
  <c r="N1296" i="30"/>
  <c r="M1296" i="30"/>
  <c r="M1288" i="30"/>
  <c r="N1288" i="30"/>
  <c r="N1280" i="30"/>
  <c r="M1280" i="30"/>
  <c r="M1272" i="30"/>
  <c r="N1272" i="30"/>
  <c r="N1264" i="30"/>
  <c r="M1264" i="30"/>
  <c r="M1256" i="30"/>
  <c r="N1256" i="30"/>
  <c r="N1248" i="30"/>
  <c r="M1248" i="30"/>
  <c r="M1240" i="30"/>
  <c r="N1240" i="30"/>
  <c r="N1232" i="30"/>
  <c r="M1232" i="30"/>
  <c r="M384" i="30"/>
  <c r="M448" i="30"/>
  <c r="M512" i="30"/>
  <c r="M576" i="30"/>
  <c r="M640" i="30"/>
  <c r="M174" i="30"/>
  <c r="M194" i="30"/>
  <c r="M206" i="30"/>
  <c r="M226" i="30"/>
  <c r="M238" i="30"/>
  <c r="M258" i="30"/>
  <c r="M270" i="30"/>
  <c r="M290" i="30"/>
  <c r="M302" i="30"/>
  <c r="M322" i="30"/>
  <c r="M334" i="30"/>
  <c r="M354" i="30"/>
  <c r="M366" i="30"/>
  <c r="M386" i="30"/>
  <c r="M418" i="30"/>
  <c r="M450" i="30"/>
  <c r="M482" i="30"/>
  <c r="M514" i="30"/>
  <c r="M546" i="30"/>
  <c r="M578" i="30"/>
  <c r="M610" i="30"/>
  <c r="M642" i="30"/>
  <c r="M674" i="30"/>
  <c r="M706" i="30"/>
  <c r="M722" i="30"/>
  <c r="M766" i="30"/>
  <c r="M798" i="30"/>
  <c r="M830" i="30"/>
  <c r="M862" i="30"/>
  <c r="M894" i="30"/>
  <c r="M926" i="30"/>
  <c r="M958" i="30"/>
  <c r="M990" i="30"/>
  <c r="M1022" i="30"/>
  <c r="M1054" i="30"/>
  <c r="M1086" i="30"/>
  <c r="M1118" i="30"/>
  <c r="M1150" i="30"/>
  <c r="M1182" i="30"/>
  <c r="M1214" i="30"/>
  <c r="M1246" i="30"/>
  <c r="M1282" i="30"/>
  <c r="M253" i="30"/>
  <c r="M311" i="30"/>
  <c r="M343" i="30"/>
  <c r="M375" i="30"/>
  <c r="M407" i="30"/>
  <c r="M443" i="30"/>
  <c r="M479" i="30"/>
  <c r="M519" i="30"/>
  <c r="M547" i="30"/>
  <c r="M583" i="30"/>
  <c r="M635" i="30"/>
  <c r="M675" i="30"/>
  <c r="M715" i="30"/>
  <c r="M755" i="30"/>
  <c r="M799" i="30"/>
  <c r="M839" i="30"/>
  <c r="M875" i="30"/>
  <c r="M903" i="30"/>
  <c r="M943" i="30"/>
  <c r="M979" i="30"/>
  <c r="M1011" i="30"/>
  <c r="M1047" i="30"/>
  <c r="M1079" i="30"/>
  <c r="M1111" i="30"/>
  <c r="M1147" i="30"/>
  <c r="M1179" i="30"/>
  <c r="M1211" i="30"/>
  <c r="M1247" i="30"/>
  <c r="M1283" i="30"/>
  <c r="N172" i="30"/>
  <c r="N184" i="30"/>
  <c r="N196" i="30"/>
  <c r="M208" i="30"/>
  <c r="N236" i="30"/>
  <c r="N248" i="30"/>
  <c r="M272" i="30"/>
  <c r="N312" i="30"/>
  <c r="N324" i="30"/>
  <c r="M336" i="30"/>
  <c r="M400" i="30"/>
  <c r="M464" i="30"/>
  <c r="M528" i="30"/>
  <c r="M592" i="30"/>
  <c r="M656" i="30"/>
  <c r="M268" i="30"/>
  <c r="N197" i="30"/>
  <c r="N213" i="30"/>
  <c r="N229" i="30"/>
  <c r="N245" i="30"/>
  <c r="N261" i="30"/>
  <c r="M188" i="30"/>
  <c r="M186" i="30"/>
  <c r="M198" i="30"/>
  <c r="M218" i="30"/>
  <c r="M230" i="30"/>
  <c r="M250" i="30"/>
  <c r="M262" i="30"/>
  <c r="M282" i="30"/>
  <c r="M294" i="30"/>
  <c r="M314" i="30"/>
  <c r="M326" i="30"/>
  <c r="M346" i="30"/>
  <c r="M358" i="30"/>
  <c r="M378" i="30"/>
  <c r="M410" i="30"/>
  <c r="M442" i="30"/>
  <c r="M474" i="30"/>
  <c r="M506" i="30"/>
  <c r="M538" i="30"/>
  <c r="M570" i="30"/>
  <c r="M602" i="30"/>
  <c r="M634" i="30"/>
  <c r="M666" i="30"/>
  <c r="M698" i="30"/>
  <c r="M714" i="30"/>
  <c r="M758" i="30"/>
  <c r="M790" i="30"/>
  <c r="M822" i="30"/>
  <c r="M854" i="30"/>
  <c r="M886" i="30"/>
  <c r="M918" i="30"/>
  <c r="M950" i="30"/>
  <c r="M982" i="30"/>
  <c r="M1014" i="30"/>
  <c r="M1046" i="30"/>
  <c r="M1078" i="30"/>
  <c r="M1110" i="30"/>
  <c r="M1142" i="30"/>
  <c r="M1174" i="30"/>
  <c r="M1206" i="30"/>
  <c r="M1238" i="30"/>
  <c r="M1274" i="30"/>
  <c r="M1306" i="30"/>
  <c r="N200" i="30"/>
  <c r="N212" i="30"/>
  <c r="M224" i="30"/>
  <c r="N264" i="30"/>
  <c r="N276" i="30"/>
  <c r="M288" i="30"/>
  <c r="N316" i="30"/>
  <c r="N340" i="30"/>
  <c r="M352" i="30"/>
  <c r="M416" i="30"/>
  <c r="M480" i="30"/>
  <c r="M544" i="30"/>
  <c r="M608" i="30"/>
  <c r="M672" i="30"/>
  <c r="M204" i="30"/>
  <c r="N169" i="30"/>
  <c r="N201" i="30"/>
  <c r="N217" i="30"/>
  <c r="N233" i="30"/>
  <c r="N249" i="30"/>
  <c r="M344" i="30"/>
  <c r="M178" i="30"/>
  <c r="M190" i="30"/>
  <c r="M210" i="30"/>
  <c r="M222" i="30"/>
  <c r="M242" i="30"/>
  <c r="M254" i="30"/>
  <c r="M274" i="30"/>
  <c r="M286" i="30"/>
  <c r="M306" i="30"/>
  <c r="M318" i="30"/>
  <c r="M338" i="30"/>
  <c r="M350" i="30"/>
  <c r="M370" i="30"/>
  <c r="M402" i="30"/>
  <c r="M434" i="30"/>
  <c r="M466" i="30"/>
  <c r="M498" i="30"/>
  <c r="M530" i="30"/>
  <c r="M562" i="30"/>
  <c r="M594" i="30"/>
  <c r="M626" i="30"/>
  <c r="M658" i="30"/>
  <c r="M690" i="30"/>
  <c r="M750" i="30"/>
  <c r="M782" i="30"/>
  <c r="M814" i="30"/>
  <c r="M846" i="30"/>
  <c r="M878" i="30"/>
  <c r="M910" i="30"/>
  <c r="M942" i="30"/>
  <c r="M974" i="30"/>
  <c r="M1006" i="30"/>
  <c r="M1038" i="30"/>
  <c r="M1070" i="30"/>
  <c r="M1102" i="30"/>
  <c r="M1134" i="30"/>
  <c r="M1166" i="30"/>
  <c r="M1198" i="30"/>
  <c r="M1230" i="30"/>
  <c r="M1262" i="30"/>
  <c r="M1298" i="30"/>
  <c r="M215" i="30"/>
  <c r="M255" i="30"/>
  <c r="M291" i="30"/>
  <c r="M327" i="30"/>
  <c r="M359" i="30"/>
  <c r="M391" i="30"/>
  <c r="M427" i="30"/>
  <c r="M463" i="30"/>
  <c r="M503" i="30"/>
  <c r="M535" i="30"/>
  <c r="M567" i="30"/>
  <c r="M607" i="30"/>
  <c r="M655" i="30"/>
  <c r="M699" i="30"/>
  <c r="M735" i="30"/>
  <c r="M775" i="30"/>
  <c r="M819" i="30"/>
  <c r="M855" i="30"/>
  <c r="M887" i="30"/>
  <c r="M923" i="30"/>
  <c r="M963" i="30"/>
  <c r="M999" i="30"/>
  <c r="M1031" i="30"/>
  <c r="M1063" i="30"/>
  <c r="M1095" i="30"/>
  <c r="M1131" i="30"/>
  <c r="M1163" i="30"/>
  <c r="M1195" i="30"/>
  <c r="M1231" i="30"/>
  <c r="M1267" i="30"/>
  <c r="M1295" i="30"/>
  <c r="M176" i="30"/>
  <c r="N228" i="30"/>
  <c r="M240" i="30"/>
  <c r="N280" i="30"/>
  <c r="N292" i="30"/>
  <c r="M304" i="30"/>
  <c r="M368" i="30"/>
  <c r="M432" i="30"/>
  <c r="M496" i="30"/>
  <c r="M560" i="30"/>
  <c r="M624" i="30"/>
  <c r="M688" i="30"/>
  <c r="N173" i="30"/>
  <c r="N189" i="30"/>
  <c r="N205" i="30"/>
  <c r="N237" i="30"/>
  <c r="M1266" i="30"/>
  <c r="M170" i="30"/>
  <c r="M182" i="30"/>
  <c r="M202" i="30"/>
  <c r="M214" i="30"/>
  <c r="M234" i="30"/>
  <c r="M246" i="30"/>
  <c r="M266" i="30"/>
  <c r="M278" i="30"/>
  <c r="M298" i="30"/>
  <c r="M310" i="30"/>
  <c r="M330" i="30"/>
  <c r="M342" i="30"/>
  <c r="M362" i="30"/>
  <c r="M394" i="30"/>
  <c r="M426" i="30"/>
  <c r="M458" i="30"/>
  <c r="M490" i="30"/>
  <c r="M522" i="30"/>
  <c r="M554" i="30"/>
  <c r="M586" i="30"/>
  <c r="M618" i="30"/>
  <c r="M650" i="30"/>
  <c r="M682" i="30"/>
  <c r="M730" i="30"/>
  <c r="M742" i="30"/>
  <c r="M774" i="30"/>
  <c r="M806" i="30"/>
  <c r="M838" i="30"/>
  <c r="M870" i="30"/>
  <c r="M902" i="30"/>
  <c r="M934" i="30"/>
  <c r="M966" i="30"/>
  <c r="M998" i="30"/>
  <c r="M1030" i="30"/>
  <c r="M1062" i="30"/>
  <c r="M1094" i="30"/>
  <c r="M1126" i="30"/>
  <c r="M1158" i="30"/>
  <c r="M1190" i="30"/>
  <c r="M1222" i="30"/>
  <c r="M1254" i="30"/>
  <c r="M1290" i="30"/>
  <c r="M718" i="30"/>
  <c r="M726" i="30"/>
  <c r="M734" i="30"/>
  <c r="M171" i="30"/>
  <c r="M183" i="30"/>
  <c r="M191" i="30"/>
  <c r="M203" i="30"/>
  <c r="M219" i="30"/>
  <c r="M231" i="30"/>
  <c r="M243" i="30"/>
  <c r="M259" i="30"/>
  <c r="M275" i="30"/>
  <c r="M287" i="30"/>
  <c r="M303" i="30"/>
  <c r="M315" i="30"/>
  <c r="M331" i="30"/>
  <c r="M347" i="30"/>
  <c r="M363" i="30"/>
  <c r="M379" i="30"/>
  <c r="M395" i="30"/>
  <c r="M411" i="30"/>
  <c r="M423" i="30"/>
  <c r="M439" i="30"/>
  <c r="M455" i="30"/>
  <c r="M471" i="30"/>
  <c r="M483" i="30"/>
  <c r="M495" i="30"/>
  <c r="M507" i="30"/>
  <c r="M523" i="30"/>
  <c r="M539" i="30"/>
  <c r="M559" i="30"/>
  <c r="M571" i="30"/>
  <c r="M587" i="30"/>
  <c r="M599" i="30"/>
  <c r="M611" i="30"/>
  <c r="M619" i="30"/>
  <c r="M631" i="30"/>
  <c r="M647" i="30"/>
  <c r="M659" i="30"/>
  <c r="M671" i="30"/>
  <c r="M683" i="30"/>
  <c r="M695" i="30"/>
  <c r="M711" i="30"/>
  <c r="M723" i="30"/>
  <c r="M739" i="30"/>
  <c r="M751" i="30"/>
  <c r="M763" i="30"/>
  <c r="M779" i="30"/>
  <c r="M791" i="30"/>
  <c r="M803" i="30"/>
  <c r="M815" i="30"/>
  <c r="M827" i="30"/>
  <c r="M843" i="30"/>
  <c r="M859" i="30"/>
  <c r="M871" i="30"/>
  <c r="M891" i="30"/>
  <c r="M907" i="30"/>
  <c r="M919" i="30"/>
  <c r="M935" i="30"/>
  <c r="M947" i="30"/>
  <c r="M959" i="30"/>
  <c r="M975" i="30"/>
  <c r="M987" i="30"/>
  <c r="M1003" i="30"/>
  <c r="M1023" i="30"/>
  <c r="M1035" i="30"/>
  <c r="M1051" i="30"/>
  <c r="M1067" i="30"/>
  <c r="M1083" i="30"/>
  <c r="M1099" i="30"/>
  <c r="M1115" i="30"/>
  <c r="M1127" i="30"/>
  <c r="M1143" i="30"/>
  <c r="M1159" i="30"/>
  <c r="M1175" i="30"/>
  <c r="M1191" i="30"/>
  <c r="M1207" i="30"/>
  <c r="M1223" i="30"/>
  <c r="M1239" i="30"/>
  <c r="M1251" i="30"/>
  <c r="M1263" i="30"/>
  <c r="M1279" i="30"/>
  <c r="M1299" i="30"/>
  <c r="M374" i="30"/>
  <c r="M382" i="30"/>
  <c r="M390" i="30"/>
  <c r="M398" i="30"/>
  <c r="M406" i="30"/>
  <c r="M414" i="30"/>
  <c r="M422" i="30"/>
  <c r="M430" i="30"/>
  <c r="M438" i="30"/>
  <c r="M446" i="30"/>
  <c r="M454" i="30"/>
  <c r="M462" i="30"/>
  <c r="M470" i="30"/>
  <c r="M478" i="30"/>
  <c r="M486" i="30"/>
  <c r="M494" i="30"/>
  <c r="M502" i="30"/>
  <c r="M510" i="30"/>
  <c r="M518" i="30"/>
  <c r="M526" i="30"/>
  <c r="M534" i="30"/>
  <c r="M542" i="30"/>
  <c r="M550" i="30"/>
  <c r="M558" i="30"/>
  <c r="M566" i="30"/>
  <c r="M574" i="30"/>
  <c r="M582" i="30"/>
  <c r="M590" i="30"/>
  <c r="M598" i="30"/>
  <c r="M606" i="30"/>
  <c r="M614" i="30"/>
  <c r="M622" i="30"/>
  <c r="M630" i="30"/>
  <c r="M638" i="30"/>
  <c r="M646" i="30"/>
  <c r="M654" i="30"/>
  <c r="M662" i="30"/>
  <c r="M670" i="30"/>
  <c r="M678" i="30"/>
  <c r="M686" i="30"/>
  <c r="M694" i="30"/>
  <c r="M702" i="30"/>
  <c r="M746" i="30"/>
  <c r="M754" i="30"/>
  <c r="M762" i="30"/>
  <c r="M770" i="30"/>
  <c r="M778" i="30"/>
  <c r="M786" i="30"/>
  <c r="M794" i="30"/>
  <c r="M802" i="30"/>
  <c r="M810" i="30"/>
  <c r="M818" i="30"/>
  <c r="M826" i="30"/>
  <c r="M834" i="30"/>
  <c r="M842" i="30"/>
  <c r="M850" i="30"/>
  <c r="M858" i="30"/>
  <c r="M866" i="30"/>
  <c r="M874" i="30"/>
  <c r="M882" i="30"/>
  <c r="M890" i="30"/>
  <c r="M898" i="30"/>
  <c r="M906" i="30"/>
  <c r="M914" i="30"/>
  <c r="M922" i="30"/>
  <c r="M930" i="30"/>
  <c r="M938" i="30"/>
  <c r="M946" i="30"/>
  <c r="M954" i="30"/>
  <c r="M962" i="30"/>
  <c r="M970" i="30"/>
  <c r="M978" i="30"/>
  <c r="M986" i="30"/>
  <c r="M994" i="30"/>
  <c r="M1002" i="30"/>
  <c r="M1010" i="30"/>
  <c r="M1018" i="30"/>
  <c r="M1026" i="30"/>
  <c r="M1034" i="30"/>
  <c r="M1042" i="30"/>
  <c r="M1050" i="30"/>
  <c r="M1058" i="30"/>
  <c r="M1066" i="30"/>
  <c r="M1074" i="30"/>
  <c r="M1082" i="30"/>
  <c r="M1090" i="30"/>
  <c r="M1098" i="30"/>
  <c r="M1106" i="30"/>
  <c r="M1114" i="30"/>
  <c r="M1122" i="30"/>
  <c r="M1130" i="30"/>
  <c r="M1138" i="30"/>
  <c r="M1146" i="30"/>
  <c r="M1154" i="30"/>
  <c r="M1162" i="30"/>
  <c r="M1170" i="30"/>
  <c r="M1178" i="30"/>
  <c r="M1186" i="30"/>
  <c r="M1194" i="30"/>
  <c r="M1202" i="30"/>
  <c r="M1210" i="30"/>
  <c r="M1218" i="30"/>
  <c r="M1226" i="30"/>
  <c r="M1234" i="30"/>
  <c r="M1242" i="30"/>
  <c r="M1250" i="30"/>
  <c r="M1258" i="30"/>
  <c r="M1270" i="30"/>
  <c r="M1278" i="30"/>
  <c r="M1286" i="30"/>
  <c r="M1294" i="30"/>
  <c r="M1302" i="30"/>
  <c r="M179" i="30"/>
  <c r="M207" i="30"/>
  <c r="M223" i="30"/>
  <c r="M247" i="30"/>
  <c r="M263" i="30"/>
  <c r="M279" i="30"/>
  <c r="M299" i="30"/>
  <c r="M319" i="30"/>
  <c r="M335" i="30"/>
  <c r="M351" i="30"/>
  <c r="M367" i="30"/>
  <c r="M383" i="30"/>
  <c r="M399" i="30"/>
  <c r="M419" i="30"/>
  <c r="M435" i="30"/>
  <c r="M451" i="30"/>
  <c r="M467" i="30"/>
  <c r="M491" i="30"/>
  <c r="M511" i="30"/>
  <c r="M527" i="30"/>
  <c r="M543" i="30"/>
  <c r="M555" i="30"/>
  <c r="M575" i="30"/>
  <c r="M595" i="30"/>
  <c r="M623" i="30"/>
  <c r="M643" i="30"/>
  <c r="M667" i="30"/>
  <c r="M687" i="30"/>
  <c r="M707" i="30"/>
  <c r="M727" i="30"/>
  <c r="M747" i="30"/>
  <c r="M767" i="30"/>
  <c r="M787" i="30"/>
  <c r="M807" i="30"/>
  <c r="M831" i="30"/>
  <c r="M847" i="30"/>
  <c r="M863" i="30"/>
  <c r="M883" i="30"/>
  <c r="M895" i="30"/>
  <c r="M911" i="30"/>
  <c r="M931" i="30"/>
  <c r="M955" i="30"/>
  <c r="M971" i="30"/>
  <c r="M991" i="30"/>
  <c r="M1007" i="30"/>
  <c r="M1019" i="30"/>
  <c r="M1039" i="30"/>
  <c r="M1055" i="30"/>
  <c r="M1071" i="30"/>
  <c r="M1087" i="30"/>
  <c r="M1103" i="30"/>
  <c r="M1119" i="30"/>
  <c r="M1139" i="30"/>
  <c r="M1155" i="30"/>
  <c r="M1171" i="30"/>
  <c r="M1187" i="30"/>
  <c r="M1203" i="30"/>
  <c r="M1219" i="30"/>
  <c r="M1235" i="30"/>
  <c r="M1259" i="30"/>
  <c r="M1275" i="30"/>
  <c r="M1287" i="30"/>
  <c r="M1303" i="30"/>
  <c r="M175" i="30"/>
  <c r="M187" i="30"/>
  <c r="M199" i="30"/>
  <c r="M211" i="30"/>
  <c r="M227" i="30"/>
  <c r="M239" i="30"/>
  <c r="M251" i="30"/>
  <c r="M267" i="30"/>
  <c r="M283" i="30"/>
  <c r="M295" i="30"/>
  <c r="M307" i="30"/>
  <c r="M323" i="30"/>
  <c r="M339" i="30"/>
  <c r="M355" i="30"/>
  <c r="M371" i="30"/>
  <c r="M387" i="30"/>
  <c r="M403" i="30"/>
  <c r="M415" i="30"/>
  <c r="M431" i="30"/>
  <c r="M447" i="30"/>
  <c r="M459" i="30"/>
  <c r="M475" i="30"/>
  <c r="M487" i="30"/>
  <c r="M499" i="30"/>
  <c r="M515" i="30"/>
  <c r="M531" i="30"/>
  <c r="M551" i="30"/>
  <c r="M563" i="30"/>
  <c r="M579" i="30"/>
  <c r="M591" i="30"/>
  <c r="M603" i="30"/>
  <c r="M615" i="30"/>
  <c r="M627" i="30"/>
  <c r="M639" i="30"/>
  <c r="M651" i="30"/>
  <c r="M663" i="30"/>
  <c r="M679" i="30"/>
  <c r="M691" i="30"/>
  <c r="M703" i="30"/>
  <c r="M719" i="30"/>
  <c r="M731" i="30"/>
  <c r="M743" i="30"/>
  <c r="M759" i="30"/>
  <c r="M771" i="30"/>
  <c r="M783" i="30"/>
  <c r="M795" i="30"/>
  <c r="M811" i="30"/>
  <c r="M823" i="30"/>
  <c r="M835" i="30"/>
  <c r="M851" i="30"/>
  <c r="M867" i="30"/>
  <c r="M879" i="30"/>
  <c r="M899" i="30"/>
  <c r="M915" i="30"/>
  <c r="M927" i="30"/>
  <c r="M939" i="30"/>
  <c r="M951" i="30"/>
  <c r="M967" i="30"/>
  <c r="M983" i="30"/>
  <c r="M995" i="30"/>
  <c r="M1015" i="30"/>
  <c r="M1027" i="30"/>
  <c r="M1043" i="30"/>
  <c r="M1059" i="30"/>
  <c r="M1075" i="30"/>
  <c r="M1091" i="30"/>
  <c r="M1107" i="30"/>
  <c r="M1123" i="30"/>
  <c r="M1135" i="30"/>
  <c r="M1151" i="30"/>
  <c r="M1167" i="30"/>
  <c r="M1183" i="30"/>
  <c r="M1199" i="30"/>
  <c r="M1215" i="30"/>
  <c r="M1227" i="30"/>
  <c r="M1243" i="30"/>
  <c r="M1255" i="30"/>
  <c r="M1271" i="30"/>
  <c r="M1291" i="30"/>
  <c r="M9" i="26"/>
  <c r="M13" i="26"/>
  <c r="M11" i="26"/>
  <c r="L13" i="26"/>
  <c r="L10" i="26"/>
  <c r="O10" i="26" s="1"/>
  <c r="L12" i="26"/>
  <c r="O12" i="26" s="1"/>
  <c r="O13" i="26" l="1"/>
  <c r="O11" i="26"/>
  <c r="O9" i="26"/>
  <c r="O36" i="1"/>
  <c r="Q61" i="21" l="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174" i="21"/>
  <c r="Q177" i="21"/>
  <c r="Q178" i="21"/>
  <c r="Q179" i="21"/>
  <c r="Q180" i="21"/>
  <c r="Q181" i="21"/>
  <c r="Q182" i="21"/>
  <c r="Q183" i="21"/>
  <c r="Q184" i="21"/>
  <c r="Q185" i="21"/>
  <c r="Q186" i="21"/>
  <c r="Q187" i="21"/>
  <c r="Q189" i="21"/>
  <c r="Q190" i="21"/>
  <c r="Q191" i="21"/>
  <c r="Q192" i="21"/>
  <c r="Q193" i="21"/>
  <c r="Q194" i="21"/>
  <c r="Q195" i="21"/>
  <c r="Q196" i="21"/>
  <c r="Q197" i="21"/>
  <c r="Q198" i="21"/>
  <c r="Q199" i="21"/>
  <c r="Q200" i="21"/>
  <c r="Q201" i="21"/>
  <c r="Q202" i="21"/>
  <c r="Q203" i="21"/>
  <c r="Q204" i="21"/>
  <c r="Q205" i="21"/>
  <c r="Q206" i="21"/>
  <c r="Q207" i="21"/>
  <c r="Q208" i="21"/>
  <c r="Q209" i="21"/>
  <c r="Q210" i="21"/>
  <c r="Q211" i="21"/>
  <c r="Q212" i="21"/>
  <c r="Q213" i="21"/>
  <c r="Q214" i="21"/>
  <c r="Q240" i="21"/>
  <c r="Q266" i="21"/>
  <c r="Q292" i="21"/>
  <c r="H10" i="26" s="1"/>
  <c r="H11" i="26" s="1"/>
  <c r="Q293" i="21"/>
  <c r="Q294" i="21"/>
  <c r="Q322" i="21"/>
  <c r="Q323" i="21"/>
  <c r="Q380" i="21"/>
  <c r="Q409" i="21"/>
  <c r="Q438" i="21"/>
  <c r="P6" i="34"/>
  <c r="Q15" i="21"/>
  <c r="P30" i="34" l="1"/>
  <c r="P29" i="34"/>
  <c r="P28" i="34"/>
  <c r="P27" i="34"/>
  <c r="P26" i="34"/>
  <c r="P25" i="34"/>
  <c r="P24" i="34"/>
  <c r="P23" i="34"/>
  <c r="P22" i="34"/>
  <c r="P21" i="34"/>
  <c r="P20" i="34"/>
  <c r="P19" i="34"/>
  <c r="P18" i="34"/>
  <c r="P17" i="34"/>
  <c r="P16" i="34"/>
  <c r="P15" i="34"/>
  <c r="P4" i="34"/>
  <c r="P5" i="34"/>
  <c r="P7" i="34"/>
  <c r="P11" i="34"/>
  <c r="P9" i="34"/>
  <c r="P3" i="34"/>
  <c r="P13" i="34"/>
  <c r="P10" i="34"/>
  <c r="P14" i="34"/>
  <c r="P2" i="34"/>
  <c r="P12" i="34"/>
  <c r="P8" i="34"/>
  <c r="F7" i="26" l="1"/>
  <c r="K2" i="26" l="1"/>
  <c r="L2" i="26" l="1"/>
  <c r="Q7" i="21"/>
  <c r="Q8" i="21"/>
  <c r="Q9" i="21"/>
  <c r="Q10" i="21"/>
  <c r="Q11" i="21"/>
  <c r="Q12" i="21"/>
  <c r="Q13" i="21"/>
  <c r="Q14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2" i="21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501" i="27"/>
  <c r="E502" i="27"/>
  <c r="E503" i="27"/>
  <c r="E504" i="27"/>
  <c r="E505" i="27"/>
  <c r="E506" i="27"/>
  <c r="E507" i="27"/>
  <c r="E508" i="27"/>
  <c r="E509" i="27"/>
  <c r="E510" i="27"/>
  <c r="E511" i="27"/>
  <c r="E512" i="27"/>
  <c r="E513" i="27"/>
  <c r="E514" i="27"/>
  <c r="E515" i="27"/>
  <c r="E516" i="27"/>
  <c r="E517" i="27"/>
  <c r="E518" i="27"/>
  <c r="E519" i="27"/>
  <c r="E520" i="27"/>
  <c r="E521" i="27"/>
  <c r="E522" i="27"/>
  <c r="E523" i="27"/>
  <c r="E524" i="27"/>
  <c r="E525" i="27"/>
  <c r="E526" i="27"/>
  <c r="E527" i="27"/>
  <c r="E528" i="27"/>
  <c r="E529" i="27"/>
  <c r="E530" i="27"/>
  <c r="E531" i="27"/>
  <c r="E532" i="27"/>
  <c r="E533" i="27"/>
  <c r="E534" i="27"/>
  <c r="E535" i="27"/>
  <c r="E536" i="27"/>
  <c r="E537" i="27"/>
  <c r="E538" i="27"/>
  <c r="E539" i="27"/>
  <c r="E540" i="27"/>
  <c r="E541" i="27"/>
  <c r="E542" i="27"/>
  <c r="E543" i="27"/>
  <c r="E544" i="27"/>
  <c r="E545" i="27"/>
  <c r="E546" i="27"/>
  <c r="E547" i="27"/>
  <c r="E548" i="27"/>
  <c r="E549" i="27"/>
  <c r="E550" i="27"/>
  <c r="E551" i="27"/>
  <c r="E552" i="27"/>
  <c r="E553" i="27"/>
  <c r="E554" i="27"/>
  <c r="E555" i="27"/>
  <c r="E556" i="27"/>
  <c r="E557" i="27"/>
  <c r="E558" i="27"/>
  <c r="E559" i="27"/>
  <c r="E560" i="27"/>
  <c r="E561" i="27"/>
  <c r="E562" i="27"/>
  <c r="E563" i="27"/>
  <c r="E564" i="27"/>
  <c r="E565" i="27"/>
  <c r="E566" i="27"/>
  <c r="E567" i="27"/>
  <c r="E568" i="27"/>
  <c r="E569" i="27"/>
  <c r="E570" i="27"/>
  <c r="E571" i="27"/>
  <c r="E572" i="27"/>
  <c r="E573" i="27"/>
  <c r="E574" i="27"/>
  <c r="E575" i="27"/>
  <c r="E576" i="27"/>
  <c r="E577" i="27"/>
  <c r="E578" i="27"/>
  <c r="E579" i="27"/>
  <c r="E580" i="27"/>
  <c r="E581" i="27"/>
  <c r="E582" i="27"/>
  <c r="E583" i="27"/>
  <c r="E584" i="27"/>
  <c r="E585" i="27"/>
  <c r="E586" i="27"/>
  <c r="E587" i="27"/>
  <c r="E588" i="27"/>
  <c r="E589" i="27"/>
  <c r="E590" i="27"/>
  <c r="E591" i="27"/>
  <c r="E592" i="27"/>
  <c r="E593" i="27"/>
  <c r="E594" i="27"/>
  <c r="E595" i="27"/>
  <c r="E596" i="27"/>
  <c r="E597" i="27"/>
  <c r="E598" i="27"/>
  <c r="E599" i="27"/>
  <c r="E600" i="27"/>
  <c r="E601" i="27"/>
  <c r="E602" i="27"/>
  <c r="E603" i="27"/>
  <c r="E604" i="27"/>
  <c r="E605" i="27"/>
  <c r="E606" i="27"/>
  <c r="E607" i="27"/>
  <c r="E608" i="27"/>
  <c r="E609" i="27"/>
  <c r="E610" i="27"/>
  <c r="E611" i="27"/>
  <c r="E612" i="27"/>
  <c r="E613" i="27"/>
  <c r="E614" i="27"/>
  <c r="E615" i="27"/>
  <c r="E616" i="27"/>
  <c r="E617" i="27"/>
  <c r="E618" i="27"/>
  <c r="E619" i="27"/>
  <c r="E620" i="27"/>
  <c r="E621" i="27"/>
  <c r="E622" i="27"/>
  <c r="E623" i="27"/>
  <c r="E624" i="27"/>
  <c r="E625" i="27"/>
  <c r="E626" i="27"/>
  <c r="E627" i="27"/>
  <c r="E628" i="27"/>
  <c r="E629" i="27"/>
  <c r="E630" i="27"/>
  <c r="E631" i="27"/>
  <c r="E632" i="27"/>
  <c r="E633" i="27"/>
  <c r="E634" i="27"/>
  <c r="E635" i="27"/>
  <c r="E636" i="27"/>
  <c r="E637" i="27"/>
  <c r="E638" i="27"/>
  <c r="E639" i="27"/>
  <c r="E640" i="27"/>
  <c r="E641" i="27"/>
  <c r="E642" i="27"/>
  <c r="E643" i="27"/>
  <c r="E644" i="27"/>
  <c r="E645" i="27"/>
  <c r="E646" i="27"/>
  <c r="E647" i="27"/>
  <c r="E648" i="27"/>
  <c r="E649" i="27"/>
  <c r="E650" i="27"/>
  <c r="E651" i="27"/>
  <c r="E652" i="27"/>
  <c r="E653" i="27"/>
  <c r="E654" i="27"/>
  <c r="E655" i="27"/>
  <c r="E656" i="27"/>
  <c r="E657" i="27"/>
  <c r="E658" i="27"/>
  <c r="E659" i="27"/>
  <c r="E660" i="27"/>
  <c r="E661" i="27"/>
  <c r="E662" i="27"/>
  <c r="E663" i="27"/>
  <c r="E664" i="27"/>
  <c r="E665" i="27"/>
  <c r="H3" i="29"/>
  <c r="H4" i="29"/>
  <c r="H5" i="29"/>
  <c r="H6" i="29"/>
  <c r="H7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5" i="29"/>
  <c r="H36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H149" i="29"/>
  <c r="H150" i="29"/>
  <c r="H151" i="29"/>
  <c r="H152" i="29"/>
  <c r="H153" i="29"/>
  <c r="H154" i="29"/>
  <c r="H155" i="29"/>
  <c r="H156" i="29"/>
  <c r="H157" i="29"/>
  <c r="H158" i="29"/>
  <c r="H159" i="29"/>
  <c r="H160" i="29"/>
  <c r="H161" i="29"/>
  <c r="H162" i="29"/>
  <c r="H163" i="29"/>
  <c r="H164" i="29"/>
  <c r="H165" i="29"/>
  <c r="H166" i="29"/>
  <c r="H167" i="29"/>
  <c r="H168" i="29"/>
  <c r="H169" i="29"/>
  <c r="H170" i="29"/>
  <c r="H171" i="29"/>
  <c r="H172" i="29"/>
  <c r="H173" i="29"/>
  <c r="H174" i="29"/>
  <c r="H175" i="29"/>
  <c r="H176" i="29"/>
  <c r="H177" i="29"/>
  <c r="H178" i="29"/>
  <c r="H179" i="29"/>
  <c r="H180" i="29"/>
  <c r="H181" i="29"/>
  <c r="H182" i="29"/>
  <c r="H183" i="29"/>
  <c r="H184" i="29"/>
  <c r="H185" i="29"/>
  <c r="H186" i="29"/>
  <c r="H187" i="29"/>
  <c r="H188" i="29"/>
  <c r="H189" i="29"/>
  <c r="H190" i="29"/>
  <c r="H191" i="29"/>
  <c r="H192" i="29"/>
  <c r="H193" i="29"/>
  <c r="H194" i="29"/>
  <c r="H195" i="29"/>
  <c r="H196" i="29"/>
  <c r="H197" i="29"/>
  <c r="H198" i="29"/>
  <c r="H199" i="29"/>
  <c r="H200" i="29"/>
  <c r="H201" i="29"/>
  <c r="H202" i="29"/>
  <c r="H203" i="29"/>
  <c r="H204" i="29"/>
  <c r="H205" i="29"/>
  <c r="H206" i="29"/>
  <c r="H207" i="29"/>
  <c r="H208" i="29"/>
  <c r="H209" i="29"/>
  <c r="H210" i="29"/>
  <c r="H211" i="29"/>
  <c r="H212" i="29"/>
  <c r="H213" i="29"/>
  <c r="H214" i="29"/>
  <c r="H215" i="29"/>
  <c r="H216" i="29"/>
  <c r="H217" i="29"/>
  <c r="H218" i="29"/>
  <c r="H219" i="29"/>
  <c r="H220" i="29"/>
  <c r="H221" i="29"/>
  <c r="H222" i="29"/>
  <c r="H223" i="29"/>
  <c r="H224" i="29"/>
  <c r="H225" i="29"/>
  <c r="H226" i="29"/>
  <c r="H227" i="29"/>
  <c r="H228" i="29"/>
  <c r="H229" i="29"/>
  <c r="H230" i="29"/>
  <c r="H231" i="29"/>
  <c r="H232" i="29"/>
  <c r="H233" i="29"/>
  <c r="H234" i="29"/>
  <c r="H235" i="29"/>
  <c r="H236" i="29"/>
  <c r="H237" i="29"/>
  <c r="H238" i="29"/>
  <c r="H239" i="29"/>
  <c r="H240" i="29"/>
  <c r="H241" i="29"/>
  <c r="H242" i="29"/>
  <c r="H243" i="29"/>
  <c r="H244" i="29"/>
  <c r="H245" i="29"/>
  <c r="H246" i="29"/>
  <c r="H247" i="29"/>
  <c r="H248" i="29"/>
  <c r="H249" i="29"/>
  <c r="H250" i="29"/>
  <c r="H251" i="29"/>
  <c r="H252" i="29"/>
  <c r="H253" i="29"/>
  <c r="H254" i="29"/>
  <c r="H255" i="29"/>
  <c r="H256" i="29"/>
  <c r="H257" i="29"/>
  <c r="H258" i="29"/>
  <c r="H259" i="29"/>
  <c r="H260" i="29"/>
  <c r="H261" i="29"/>
  <c r="H262" i="29"/>
  <c r="H263" i="29"/>
  <c r="H264" i="29"/>
  <c r="H265" i="29"/>
  <c r="H266" i="29"/>
  <c r="H267" i="29"/>
  <c r="H268" i="29"/>
  <c r="H269" i="29"/>
  <c r="H270" i="29"/>
  <c r="H271" i="29"/>
  <c r="H272" i="29"/>
  <c r="H273" i="29"/>
  <c r="H274" i="29"/>
  <c r="H275" i="29"/>
  <c r="H276" i="29"/>
  <c r="H277" i="29"/>
  <c r="H278" i="29"/>
  <c r="H279" i="29"/>
  <c r="H280" i="29"/>
  <c r="H281" i="29"/>
  <c r="H282" i="29"/>
  <c r="H283" i="29"/>
  <c r="H284" i="29"/>
  <c r="H285" i="29"/>
  <c r="H286" i="29"/>
  <c r="H287" i="29"/>
  <c r="H288" i="29"/>
  <c r="H289" i="29"/>
  <c r="H290" i="29"/>
  <c r="H291" i="29"/>
  <c r="H292" i="29"/>
  <c r="H293" i="29"/>
  <c r="H294" i="29"/>
  <c r="H295" i="29"/>
  <c r="H296" i="29"/>
  <c r="H297" i="29"/>
  <c r="H298" i="29"/>
  <c r="H299" i="29"/>
  <c r="H300" i="29"/>
  <c r="H301" i="29"/>
  <c r="H302" i="29"/>
  <c r="H303" i="29"/>
  <c r="H304" i="29"/>
  <c r="H305" i="29"/>
  <c r="H306" i="29"/>
  <c r="H307" i="29"/>
  <c r="H308" i="29"/>
  <c r="H309" i="29"/>
  <c r="H310" i="29"/>
  <c r="H311" i="29"/>
  <c r="H312" i="29"/>
  <c r="H313" i="29"/>
  <c r="H314" i="29"/>
  <c r="H315" i="29"/>
  <c r="H316" i="29"/>
  <c r="H317" i="29"/>
  <c r="H318" i="29"/>
  <c r="H319" i="29"/>
  <c r="H320" i="29"/>
  <c r="H321" i="29"/>
  <c r="H322" i="29"/>
  <c r="H323" i="29"/>
  <c r="H324" i="29"/>
  <c r="H325" i="29"/>
  <c r="H326" i="29"/>
  <c r="H327" i="29"/>
  <c r="H328" i="29"/>
  <c r="H329" i="29"/>
  <c r="H330" i="29"/>
  <c r="H331" i="29"/>
  <c r="H332" i="29"/>
  <c r="H333" i="29"/>
  <c r="H334" i="29"/>
  <c r="H335" i="29"/>
  <c r="H336" i="29"/>
  <c r="H337" i="29"/>
  <c r="H338" i="29"/>
  <c r="H339" i="29"/>
  <c r="H340" i="29"/>
  <c r="H341" i="29"/>
  <c r="H342" i="29"/>
  <c r="H343" i="29"/>
  <c r="H344" i="29"/>
  <c r="H345" i="29"/>
  <c r="H346" i="29"/>
  <c r="H347" i="29"/>
  <c r="H348" i="29"/>
  <c r="H349" i="29"/>
  <c r="H350" i="29"/>
  <c r="H351" i="29"/>
  <c r="H352" i="29"/>
  <c r="H353" i="29"/>
  <c r="H354" i="29"/>
  <c r="H355" i="29"/>
  <c r="H356" i="29"/>
  <c r="H357" i="29"/>
  <c r="H358" i="29"/>
  <c r="H359" i="29"/>
  <c r="H360" i="29"/>
  <c r="H361" i="29"/>
  <c r="H362" i="29"/>
  <c r="H363" i="29"/>
  <c r="H364" i="29"/>
  <c r="H365" i="29"/>
  <c r="H366" i="29"/>
  <c r="H367" i="29"/>
  <c r="H368" i="29"/>
  <c r="H369" i="29"/>
  <c r="H370" i="29"/>
  <c r="H371" i="29"/>
  <c r="H372" i="29"/>
  <c r="H373" i="29"/>
  <c r="H374" i="29"/>
  <c r="H375" i="29"/>
  <c r="H376" i="29"/>
  <c r="H377" i="29"/>
  <c r="H378" i="29"/>
  <c r="H379" i="29"/>
  <c r="H380" i="29"/>
  <c r="H381" i="29"/>
  <c r="H382" i="29"/>
  <c r="H383" i="29"/>
  <c r="H384" i="29"/>
  <c r="H385" i="29"/>
  <c r="H386" i="29"/>
  <c r="H387" i="29"/>
  <c r="H388" i="29"/>
  <c r="H389" i="29"/>
  <c r="H390" i="29"/>
  <c r="H391" i="29"/>
  <c r="H392" i="29"/>
  <c r="H393" i="29"/>
  <c r="H394" i="29"/>
  <c r="H395" i="29"/>
  <c r="H396" i="29"/>
  <c r="H397" i="29"/>
  <c r="H398" i="29"/>
  <c r="H399" i="29"/>
  <c r="H400" i="29"/>
  <c r="H401" i="29"/>
  <c r="H402" i="29"/>
  <c r="H403" i="29"/>
  <c r="H404" i="29"/>
  <c r="H405" i="29"/>
  <c r="H406" i="29"/>
  <c r="H407" i="29"/>
  <c r="H408" i="29"/>
  <c r="H409" i="29"/>
  <c r="H410" i="29"/>
  <c r="H411" i="29"/>
  <c r="H412" i="29"/>
  <c r="H413" i="29"/>
  <c r="H414" i="29"/>
  <c r="H415" i="29"/>
  <c r="H416" i="29"/>
  <c r="H417" i="29"/>
  <c r="H418" i="29"/>
  <c r="H419" i="29"/>
  <c r="H420" i="29"/>
  <c r="H421" i="29"/>
  <c r="H422" i="29"/>
  <c r="H423" i="29"/>
  <c r="H424" i="29"/>
  <c r="H425" i="29"/>
  <c r="H426" i="29"/>
  <c r="H427" i="29"/>
  <c r="H428" i="29"/>
  <c r="H429" i="29"/>
  <c r="H430" i="29"/>
  <c r="H431" i="29"/>
  <c r="H432" i="29"/>
  <c r="H433" i="29"/>
  <c r="H434" i="29"/>
  <c r="H435" i="29"/>
  <c r="H436" i="29"/>
  <c r="H437" i="29"/>
  <c r="H438" i="29"/>
  <c r="H439" i="29"/>
  <c r="H440" i="29"/>
  <c r="H441" i="29"/>
  <c r="H442" i="29"/>
  <c r="H443" i="29"/>
  <c r="H444" i="29"/>
  <c r="H445" i="29"/>
  <c r="H446" i="29"/>
  <c r="H447" i="29"/>
  <c r="H448" i="29"/>
  <c r="H449" i="29"/>
  <c r="H450" i="29"/>
  <c r="H451" i="29"/>
  <c r="H452" i="29"/>
  <c r="H453" i="29"/>
  <c r="H454" i="29"/>
  <c r="H455" i="29"/>
  <c r="H456" i="29"/>
  <c r="H457" i="29"/>
  <c r="H458" i="29"/>
  <c r="H459" i="29"/>
  <c r="H460" i="29"/>
  <c r="H461" i="29"/>
  <c r="H462" i="29"/>
  <c r="H463" i="29"/>
  <c r="H464" i="29"/>
  <c r="H465" i="29"/>
  <c r="H466" i="29"/>
  <c r="H467" i="29"/>
  <c r="H468" i="29"/>
  <c r="H469" i="29"/>
  <c r="H470" i="29"/>
  <c r="H471" i="29"/>
  <c r="H472" i="29"/>
  <c r="H473" i="29"/>
  <c r="H474" i="29"/>
  <c r="H475" i="29"/>
  <c r="H476" i="29"/>
  <c r="H477" i="29"/>
  <c r="H478" i="29"/>
  <c r="H479" i="29"/>
  <c r="H480" i="29"/>
  <c r="H481" i="29"/>
  <c r="H482" i="29"/>
  <c r="H483" i="29"/>
  <c r="H484" i="29"/>
  <c r="H485" i="29"/>
  <c r="H486" i="29"/>
  <c r="H487" i="29"/>
  <c r="H488" i="29"/>
  <c r="H489" i="29"/>
  <c r="H490" i="29"/>
  <c r="H491" i="29"/>
  <c r="H492" i="29"/>
  <c r="H493" i="29"/>
  <c r="H494" i="29"/>
  <c r="H495" i="29"/>
  <c r="H496" i="29"/>
  <c r="H497" i="29"/>
  <c r="H498" i="29"/>
  <c r="H499" i="29"/>
  <c r="H500" i="29"/>
  <c r="H501" i="29"/>
  <c r="H502" i="29"/>
  <c r="H503" i="29"/>
  <c r="H504" i="29"/>
  <c r="H505" i="29"/>
  <c r="H506" i="29"/>
  <c r="H507" i="29"/>
  <c r="H508" i="29"/>
  <c r="H509" i="29"/>
  <c r="H510" i="29"/>
  <c r="H511" i="29"/>
  <c r="H512" i="29"/>
  <c r="H513" i="29"/>
  <c r="H514" i="29"/>
  <c r="H515" i="29"/>
  <c r="H516" i="29"/>
  <c r="H517" i="29"/>
  <c r="H518" i="29"/>
  <c r="H519" i="29"/>
  <c r="H520" i="29"/>
  <c r="H521" i="29"/>
  <c r="H522" i="29"/>
  <c r="H523" i="29"/>
  <c r="H524" i="29"/>
  <c r="H525" i="29"/>
  <c r="H526" i="29"/>
  <c r="H527" i="29"/>
  <c r="H528" i="29"/>
  <c r="H529" i="29"/>
  <c r="H530" i="29"/>
  <c r="H531" i="29"/>
  <c r="H532" i="29"/>
  <c r="H533" i="29"/>
  <c r="H534" i="29"/>
  <c r="H535" i="29"/>
  <c r="H536" i="29"/>
  <c r="H537" i="29"/>
  <c r="H538" i="29"/>
  <c r="H539" i="29"/>
  <c r="H540" i="29"/>
  <c r="H541" i="29"/>
  <c r="H542" i="29"/>
  <c r="H543" i="29"/>
  <c r="H544" i="29"/>
  <c r="H545" i="29"/>
  <c r="H546" i="29"/>
  <c r="H547" i="29"/>
  <c r="H548" i="29"/>
  <c r="H549" i="29"/>
  <c r="H550" i="29"/>
  <c r="H551" i="29"/>
  <c r="H552" i="29"/>
  <c r="H553" i="29"/>
  <c r="H554" i="29"/>
  <c r="H555" i="29"/>
  <c r="H556" i="29"/>
  <c r="H557" i="29"/>
  <c r="H558" i="29"/>
  <c r="H559" i="29"/>
  <c r="H560" i="29"/>
  <c r="H561" i="29"/>
  <c r="H562" i="29"/>
  <c r="H563" i="29"/>
  <c r="H564" i="29"/>
  <c r="H565" i="29"/>
  <c r="H566" i="29"/>
  <c r="H567" i="29"/>
  <c r="H568" i="29"/>
  <c r="H569" i="29"/>
  <c r="H570" i="29"/>
  <c r="H571" i="29"/>
  <c r="H572" i="29"/>
  <c r="H573" i="29"/>
  <c r="H574" i="29"/>
  <c r="H575" i="29"/>
  <c r="I6" i="27" l="1"/>
  <c r="Q6" i="21" l="1"/>
  <c r="I13" i="26"/>
  <c r="H2" i="29" l="1"/>
  <c r="I12" i="26" l="1"/>
  <c r="E7" i="26"/>
  <c r="I5" i="27"/>
  <c r="I4" i="27"/>
  <c r="K4" i="26" l="1"/>
  <c r="M4" i="26" s="1"/>
  <c r="E3" i="27"/>
  <c r="I3" i="27" s="1"/>
  <c r="E4" i="27"/>
  <c r="Q3" i="21"/>
  <c r="Q4" i="21"/>
  <c r="Q5" i="21"/>
  <c r="E2" i="27"/>
  <c r="L4" i="26" l="1"/>
  <c r="I2" i="27"/>
  <c r="D7" i="26"/>
  <c r="C7" i="26"/>
  <c r="K3" i="26" l="1"/>
  <c r="M2" i="26"/>
  <c r="L3" i="26" l="1"/>
  <c r="M3" i="26"/>
  <c r="L5" i="26" l="1"/>
  <c r="N5" i="26" s="1"/>
  <c r="M5" i="26"/>
  <c r="O5" i="26" s="1"/>
</calcChain>
</file>

<file path=xl/sharedStrings.xml><?xml version="1.0" encoding="utf-8"?>
<sst xmlns="http://schemas.openxmlformats.org/spreadsheetml/2006/main" count="10241" uniqueCount="1341">
  <si>
    <t>UP</t>
  </si>
  <si>
    <t>DESTINO</t>
  </si>
  <si>
    <t>CANTIDAD</t>
  </si>
  <si>
    <t>FILA</t>
  </si>
  <si>
    <t>FECHA DE COSECHA</t>
  </si>
  <si>
    <t>CAMARA</t>
  </si>
  <si>
    <t>FECHA DE PARTE</t>
  </si>
  <si>
    <t>CODIGO</t>
  </si>
  <si>
    <t>USA</t>
  </si>
  <si>
    <t xml:space="preserve">COLOR </t>
  </si>
  <si>
    <t>V</t>
  </si>
  <si>
    <t>VO</t>
  </si>
  <si>
    <t>A</t>
  </si>
  <si>
    <t>PC</t>
  </si>
  <si>
    <t>Produtor</t>
  </si>
  <si>
    <t>UE</t>
  </si>
  <si>
    <t>NO UE</t>
  </si>
  <si>
    <t>VC</t>
  </si>
  <si>
    <t xml:space="preserve">FECHA </t>
  </si>
  <si>
    <t>TURNO</t>
  </si>
  <si>
    <t>Fruit Crop</t>
  </si>
  <si>
    <t>Greyco</t>
  </si>
  <si>
    <t>Greenpack</t>
  </si>
  <si>
    <t>Fecha</t>
  </si>
  <si>
    <t xml:space="preserve">Nombre </t>
  </si>
  <si>
    <t>Apellido</t>
  </si>
  <si>
    <t>Total</t>
  </si>
  <si>
    <t>FECHA</t>
  </si>
  <si>
    <t>PISO INICIAL</t>
  </si>
  <si>
    <t>PALLET EMBALADORA</t>
  </si>
  <si>
    <t>PALLET CAJONERA</t>
  </si>
  <si>
    <t>PISO FINAL</t>
  </si>
  <si>
    <t>TOTALES</t>
  </si>
  <si>
    <t>EMBALADORA</t>
  </si>
  <si>
    <t>FICHAS CONTADAS</t>
  </si>
  <si>
    <t>DIFERENCIA</t>
  </si>
  <si>
    <t>BINS VOLCADOS</t>
  </si>
  <si>
    <t>DESCARTE</t>
  </si>
  <si>
    <t>Pallet * 63</t>
  </si>
  <si>
    <t>Pallet *72</t>
  </si>
  <si>
    <t>Pallet *70</t>
  </si>
  <si>
    <t>Pallet * 80</t>
  </si>
  <si>
    <t>KG</t>
  </si>
  <si>
    <t>Productor</t>
  </si>
  <si>
    <t>Cajas</t>
  </si>
  <si>
    <t>A Mares</t>
  </si>
  <si>
    <t>Turno</t>
  </si>
  <si>
    <t>Bins</t>
  </si>
  <si>
    <t>Antamapu</t>
  </si>
  <si>
    <t>Kg</t>
  </si>
  <si>
    <t>Platto</t>
  </si>
  <si>
    <t>6 kg</t>
  </si>
  <si>
    <t>18 kg</t>
  </si>
  <si>
    <t>15 kg</t>
  </si>
  <si>
    <t>Confeccion</t>
  </si>
  <si>
    <t xml:space="preserve"> Kg Comercial</t>
  </si>
  <si>
    <t>Rendimiento Comercial %</t>
  </si>
  <si>
    <t>Platto 6 Kg</t>
  </si>
  <si>
    <t>Cajas 18 KG Cajonera</t>
  </si>
  <si>
    <t>Cajas 18 KG Embaladora</t>
  </si>
  <si>
    <t>Cajas 15 KG Cajonera</t>
  </si>
  <si>
    <t>Cajas 15 KG Embaladora</t>
  </si>
  <si>
    <t>total</t>
  </si>
  <si>
    <t>Horas Trabajadas</t>
  </si>
  <si>
    <t xml:space="preserve">Fecha </t>
  </si>
  <si>
    <t>Cajas 15 KG</t>
  </si>
  <si>
    <t>Up</t>
  </si>
  <si>
    <t>Agricola Mares</t>
  </si>
  <si>
    <t>Yaquilo</t>
  </si>
  <si>
    <t>Finca</t>
  </si>
  <si>
    <t>El Molino</t>
  </si>
  <si>
    <t>La Luz</t>
  </si>
  <si>
    <t>Tajamar</t>
  </si>
  <si>
    <t>Claudia</t>
  </si>
  <si>
    <t>Avellaneda</t>
  </si>
  <si>
    <t>Maria del Rosario</t>
  </si>
  <si>
    <t>El Trece</t>
  </si>
  <si>
    <t>El 20</t>
  </si>
  <si>
    <t>El Tata</t>
  </si>
  <si>
    <t>Limonares</t>
  </si>
  <si>
    <t>Los Chicos</t>
  </si>
  <si>
    <t>Monte Grande</t>
  </si>
  <si>
    <t>Total Cajas</t>
  </si>
  <si>
    <t>Volcado</t>
  </si>
  <si>
    <t>Rendimiento Comercial</t>
  </si>
  <si>
    <t>Rendimiento Empaque</t>
  </si>
  <si>
    <t>KG Empaque</t>
  </si>
  <si>
    <t>visual</t>
  </si>
  <si>
    <t>1-5V</t>
  </si>
  <si>
    <t>0290-003</t>
  </si>
  <si>
    <t>1-2V</t>
  </si>
  <si>
    <t>1-7V</t>
  </si>
  <si>
    <t>1-1V</t>
  </si>
  <si>
    <t>3-2V</t>
  </si>
  <si>
    <t>1-3P</t>
  </si>
  <si>
    <t>1-9P</t>
  </si>
  <si>
    <t>COMPLETADO</t>
  </si>
  <si>
    <t>CAJONERA</t>
  </si>
  <si>
    <t>290-003</t>
  </si>
  <si>
    <t>PISO Embaladora</t>
  </si>
  <si>
    <t>Javier</t>
  </si>
  <si>
    <t>Nadia</t>
  </si>
  <si>
    <t>Alexis</t>
  </si>
  <si>
    <t>Silvia</t>
  </si>
  <si>
    <t>Marcela</t>
  </si>
  <si>
    <t xml:space="preserve">Gabriela </t>
  </si>
  <si>
    <t>Nahuel</t>
  </si>
  <si>
    <t>Braian</t>
  </si>
  <si>
    <t>Juan</t>
  </si>
  <si>
    <t>Mauricio</t>
  </si>
  <si>
    <t>Gonzalo</t>
  </si>
  <si>
    <t>Felix</t>
  </si>
  <si>
    <t>Federico</t>
  </si>
  <si>
    <t>Lucena</t>
  </si>
  <si>
    <t>Alderetes</t>
  </si>
  <si>
    <t>Caceres</t>
  </si>
  <si>
    <t>Ceron</t>
  </si>
  <si>
    <t>Cortes</t>
  </si>
  <si>
    <t>Espeche</t>
  </si>
  <si>
    <t>Gonzalez</t>
  </si>
  <si>
    <t>Jaimes</t>
  </si>
  <si>
    <t>Salazar</t>
  </si>
  <si>
    <t>Vera</t>
  </si>
  <si>
    <t>Sosa</t>
  </si>
  <si>
    <t>Atienzo</t>
  </si>
  <si>
    <t>Mamana</t>
  </si>
  <si>
    <t>Dominguez</t>
  </si>
  <si>
    <t>Ortiz</t>
  </si>
  <si>
    <t>Murru</t>
  </si>
  <si>
    <t>Cancino</t>
  </si>
  <si>
    <t>Mendoza</t>
  </si>
  <si>
    <t>Portales</t>
  </si>
  <si>
    <t>Nancy</t>
  </si>
  <si>
    <t>Gladis</t>
  </si>
  <si>
    <t>Franco</t>
  </si>
  <si>
    <t>Rafael</t>
  </si>
  <si>
    <t>Claudio</t>
  </si>
  <si>
    <t>Rosalia</t>
  </si>
  <si>
    <t>Willian</t>
  </si>
  <si>
    <t>Personal</t>
  </si>
  <si>
    <t>Contratista</t>
  </si>
  <si>
    <t>Jorgelina</t>
  </si>
  <si>
    <t>Bazan</t>
  </si>
  <si>
    <t>Exequiel</t>
  </si>
  <si>
    <t>Duran</t>
  </si>
  <si>
    <t>1-4V</t>
  </si>
  <si>
    <t>3-3V</t>
  </si>
  <si>
    <t>3-1P</t>
  </si>
  <si>
    <t>3-12V</t>
  </si>
  <si>
    <t>3-6VC</t>
  </si>
  <si>
    <t>1-6VO</t>
  </si>
  <si>
    <t>3-10V</t>
  </si>
  <si>
    <t>3-9P</t>
  </si>
  <si>
    <t>3-13VO</t>
  </si>
  <si>
    <t>3-7V</t>
  </si>
  <si>
    <t>3-11V</t>
  </si>
  <si>
    <t>3-5V</t>
  </si>
  <si>
    <t xml:space="preserve">Alvaro </t>
  </si>
  <si>
    <t>3-4V</t>
  </si>
  <si>
    <t>3-8VO</t>
  </si>
  <si>
    <t>4-7VO</t>
  </si>
  <si>
    <t>0419-006</t>
  </si>
  <si>
    <t>4-5VC</t>
  </si>
  <si>
    <t>4-1P</t>
  </si>
  <si>
    <t>4-2VC</t>
  </si>
  <si>
    <t>4-6V</t>
  </si>
  <si>
    <t>4-3V</t>
  </si>
  <si>
    <t>4-4VO</t>
  </si>
  <si>
    <t>5-1P</t>
  </si>
  <si>
    <t>0136-001</t>
  </si>
  <si>
    <t>2-2V</t>
  </si>
  <si>
    <t>2-3V</t>
  </si>
  <si>
    <t>2-1P</t>
  </si>
  <si>
    <t>5-4VO</t>
  </si>
  <si>
    <t>5-2VC</t>
  </si>
  <si>
    <t>5-3V</t>
  </si>
  <si>
    <t>8-4P</t>
  </si>
  <si>
    <t>2-5V</t>
  </si>
  <si>
    <t>8-1VC</t>
  </si>
  <si>
    <t>8-2V</t>
  </si>
  <si>
    <t>6-10V</t>
  </si>
  <si>
    <t>6-12VC</t>
  </si>
  <si>
    <t>7-1VC</t>
  </si>
  <si>
    <t>6-5V</t>
  </si>
  <si>
    <t>Ibañez</t>
  </si>
  <si>
    <t>Vision Empresarial del noroeste S.R.L</t>
  </si>
  <si>
    <t xml:space="preserve">Agricola Mares SA </t>
  </si>
  <si>
    <t>Greyco SRL</t>
  </si>
  <si>
    <t>kg</t>
  </si>
  <si>
    <t>Pallet total</t>
  </si>
  <si>
    <t>6-13V</t>
  </si>
  <si>
    <t>6-11VO</t>
  </si>
  <si>
    <t>10-1VC</t>
  </si>
  <si>
    <t>6-8V</t>
  </si>
  <si>
    <t>12-2V</t>
  </si>
  <si>
    <t>6-9VC</t>
  </si>
  <si>
    <t>6-6VC</t>
  </si>
  <si>
    <t>Alvaro</t>
  </si>
  <si>
    <t>7-2V</t>
  </si>
  <si>
    <t>2-4VO</t>
  </si>
  <si>
    <t>8-5VC</t>
  </si>
  <si>
    <t>9-2VC</t>
  </si>
  <si>
    <t>KG PISO</t>
  </si>
  <si>
    <t>10-4V</t>
  </si>
  <si>
    <t>6-4VO</t>
  </si>
  <si>
    <t>Kg Volcado</t>
  </si>
  <si>
    <t>Kg Producido</t>
  </si>
  <si>
    <t>Pisos</t>
  </si>
  <si>
    <t>Piso inicial</t>
  </si>
  <si>
    <t>Piso Final</t>
  </si>
  <si>
    <t>Rendimiento comercial</t>
  </si>
  <si>
    <t>Rendientos por productor</t>
  </si>
  <si>
    <t>Iibañez</t>
  </si>
  <si>
    <t>268-001</t>
  </si>
  <si>
    <t>136-001</t>
  </si>
  <si>
    <t>Araya</t>
  </si>
  <si>
    <t>Tereza</t>
  </si>
  <si>
    <t>6-3V</t>
  </si>
  <si>
    <t>17-1V</t>
  </si>
  <si>
    <t>13-9V</t>
  </si>
  <si>
    <t>11-3VO</t>
  </si>
  <si>
    <t>13-6V</t>
  </si>
  <si>
    <t>11-1VC</t>
  </si>
  <si>
    <t>0268-001</t>
  </si>
  <si>
    <t>13-8VC</t>
  </si>
  <si>
    <t>17-6V</t>
  </si>
  <si>
    <t>16-1VC</t>
  </si>
  <si>
    <t>14-1VC</t>
  </si>
  <si>
    <t>10-2V</t>
  </si>
  <si>
    <t>6-7VO</t>
  </si>
  <si>
    <t>12-1V</t>
  </si>
  <si>
    <t>12-3VO</t>
  </si>
  <si>
    <t>9-6V</t>
  </si>
  <si>
    <t>9-4VO</t>
  </si>
  <si>
    <t>9-3V</t>
  </si>
  <si>
    <t>0268-/419</t>
  </si>
  <si>
    <t>13-2V</t>
  </si>
  <si>
    <t>14-2V</t>
  </si>
  <si>
    <t>13-7VO</t>
  </si>
  <si>
    <t>13-5VO</t>
  </si>
  <si>
    <t>14-4VO</t>
  </si>
  <si>
    <t>13-3V0</t>
  </si>
  <si>
    <t>13-4V</t>
  </si>
  <si>
    <t>1-8VO</t>
  </si>
  <si>
    <t>6-2VC</t>
  </si>
  <si>
    <t>7-3VO</t>
  </si>
  <si>
    <t>CAJAS 18 KG</t>
  </si>
  <si>
    <t>CAJAS 15 KG</t>
  </si>
  <si>
    <t>Piso Cajonera</t>
  </si>
  <si>
    <t>Piso inicial 18 kg</t>
  </si>
  <si>
    <t>Piso inicial 15 kg</t>
  </si>
  <si>
    <t>17-1VC</t>
  </si>
  <si>
    <t>12-1VC</t>
  </si>
  <si>
    <t>13-3VO</t>
  </si>
  <si>
    <t>Remontado Embaladora</t>
  </si>
  <si>
    <t>Rendimiento  Empaque</t>
  </si>
  <si>
    <t>11-2V</t>
  </si>
  <si>
    <t>9-5VO</t>
  </si>
  <si>
    <t>10-3VO</t>
  </si>
  <si>
    <t>17-5VO</t>
  </si>
  <si>
    <t>17-3VO</t>
  </si>
  <si>
    <t>13-10VO</t>
  </si>
  <si>
    <t>17-4V</t>
  </si>
  <si>
    <t>13-4V1</t>
  </si>
  <si>
    <t>13-1VC</t>
  </si>
  <si>
    <t>16-2V</t>
  </si>
  <si>
    <t>14-3vo</t>
  </si>
  <si>
    <t>14-6vo</t>
  </si>
  <si>
    <t>17-2V</t>
  </si>
  <si>
    <t>14-5V</t>
  </si>
  <si>
    <t>15-5VC</t>
  </si>
  <si>
    <t>Dorado</t>
  </si>
  <si>
    <t>alvarez</t>
  </si>
  <si>
    <t>emilse</t>
  </si>
  <si>
    <t>8-3VO</t>
  </si>
  <si>
    <t>15-2VC</t>
  </si>
  <si>
    <t>18-4V</t>
  </si>
  <si>
    <t>15-4VO</t>
  </si>
  <si>
    <t>15-3V</t>
  </si>
  <si>
    <t>15-8V</t>
  </si>
  <si>
    <t>15-1P</t>
  </si>
  <si>
    <t>15-7VC</t>
  </si>
  <si>
    <t>18-1VC</t>
  </si>
  <si>
    <t>11-4VO</t>
  </si>
  <si>
    <t>15-6VC</t>
  </si>
  <si>
    <t>18-2V</t>
  </si>
  <si>
    <t>15-9VO</t>
  </si>
  <si>
    <t>18-5VC</t>
  </si>
  <si>
    <t>19-1VC</t>
  </si>
  <si>
    <t>19-2V</t>
  </si>
  <si>
    <t>18-3VO</t>
  </si>
  <si>
    <t>19-3V</t>
  </si>
  <si>
    <t>21-8VC</t>
  </si>
  <si>
    <t>22-5V</t>
  </si>
  <si>
    <t>22-2VC</t>
  </si>
  <si>
    <t>21-10VC</t>
  </si>
  <si>
    <t>21-9V</t>
  </si>
  <si>
    <t>22-1P</t>
  </si>
  <si>
    <t>20-7V</t>
  </si>
  <si>
    <t>0793-001</t>
  </si>
  <si>
    <t>20-9VO</t>
  </si>
  <si>
    <t>20-2V</t>
  </si>
  <si>
    <t>20-1VC</t>
  </si>
  <si>
    <t>20-6VC</t>
  </si>
  <si>
    <t>20-5VO</t>
  </si>
  <si>
    <t>fruit crop sa</t>
  </si>
  <si>
    <t>793-001</t>
  </si>
  <si>
    <t>20-8V</t>
  </si>
  <si>
    <t>20-10V</t>
  </si>
  <si>
    <t>20-3V</t>
  </si>
  <si>
    <t>23-1P</t>
  </si>
  <si>
    <t>26-1P</t>
  </si>
  <si>
    <t>16-3V</t>
  </si>
  <si>
    <t>22-4VC</t>
  </si>
  <si>
    <t>21-5V</t>
  </si>
  <si>
    <t>21-2V</t>
  </si>
  <si>
    <t>21-4V</t>
  </si>
  <si>
    <t>21-6V</t>
  </si>
  <si>
    <t>25-2VC</t>
  </si>
  <si>
    <t>Produccion sistema</t>
  </si>
  <si>
    <t>25-1P</t>
  </si>
  <si>
    <t>21-1VC</t>
  </si>
  <si>
    <t>22-3V</t>
  </si>
  <si>
    <t>23-3V</t>
  </si>
  <si>
    <t>alejoemiliano1</t>
  </si>
  <si>
    <t>19-3VO</t>
  </si>
  <si>
    <t>20-3VO</t>
  </si>
  <si>
    <t>20-8VO</t>
  </si>
  <si>
    <t>20-10VO</t>
  </si>
  <si>
    <t>16-3VO</t>
  </si>
  <si>
    <t>21-4VC</t>
  </si>
  <si>
    <t>21-6VC</t>
  </si>
  <si>
    <t>30-2V</t>
  </si>
  <si>
    <t>31-2V</t>
  </si>
  <si>
    <t>31-4P</t>
  </si>
  <si>
    <t>31-1VC</t>
  </si>
  <si>
    <t>23-2VC</t>
  </si>
  <si>
    <t>28-2V</t>
  </si>
  <si>
    <t>39-1P</t>
  </si>
  <si>
    <t>27-1P</t>
  </si>
  <si>
    <t>28-4P</t>
  </si>
  <si>
    <t>33-1P</t>
  </si>
  <si>
    <t>0669-001</t>
  </si>
  <si>
    <t>29-3v</t>
  </si>
  <si>
    <t>29-1P</t>
  </si>
  <si>
    <t>32-1P</t>
  </si>
  <si>
    <t>43-1P</t>
  </si>
  <si>
    <t>0669-003</t>
  </si>
  <si>
    <t>40-1P</t>
  </si>
  <si>
    <t>42-1P</t>
  </si>
  <si>
    <t>31-3VO</t>
  </si>
  <si>
    <t>25-4VC</t>
  </si>
  <si>
    <t>28-3VO</t>
  </si>
  <si>
    <t>29-2VC</t>
  </si>
  <si>
    <t>29-4VO</t>
  </si>
  <si>
    <t>32-2VC</t>
  </si>
  <si>
    <t>33-2VC</t>
  </si>
  <si>
    <t>44-4VO</t>
  </si>
  <si>
    <t>30-4V</t>
  </si>
  <si>
    <t>0793-003</t>
  </si>
  <si>
    <t>0793-001/002/003/004</t>
  </si>
  <si>
    <t>More</t>
  </si>
  <si>
    <t>Paola</t>
  </si>
  <si>
    <t>Yeber</t>
  </si>
  <si>
    <t>Jose</t>
  </si>
  <si>
    <t>41-4V</t>
  </si>
  <si>
    <t>41-6V</t>
  </si>
  <si>
    <t>0793-002</t>
  </si>
  <si>
    <t>47-6V</t>
  </si>
  <si>
    <t>0793-004</t>
  </si>
  <si>
    <t>48-6P</t>
  </si>
  <si>
    <t>41-5VO</t>
  </si>
  <si>
    <t>46-4VO</t>
  </si>
  <si>
    <t>48-6PC</t>
  </si>
  <si>
    <t>21-3VO</t>
  </si>
  <si>
    <t>21-7VO</t>
  </si>
  <si>
    <t>24-2VC</t>
  </si>
  <si>
    <t>26-2VC</t>
  </si>
  <si>
    <t>27-2VC</t>
  </si>
  <si>
    <t>28-1VC</t>
  </si>
  <si>
    <t>30-1VC</t>
  </si>
  <si>
    <t>30-3VO</t>
  </si>
  <si>
    <t>31-5VC</t>
  </si>
  <si>
    <t>34-1VC</t>
  </si>
  <si>
    <t>34-3VO</t>
  </si>
  <si>
    <t>34-5VO</t>
  </si>
  <si>
    <t>38-1PC</t>
  </si>
  <si>
    <t>38-2VC</t>
  </si>
  <si>
    <t>47-2V</t>
  </si>
  <si>
    <t>47-3VO</t>
  </si>
  <si>
    <t>47-5VO</t>
  </si>
  <si>
    <t>48-7PO</t>
  </si>
  <si>
    <t>47-1VC</t>
  </si>
  <si>
    <t>48-3VO</t>
  </si>
  <si>
    <t>47-4V</t>
  </si>
  <si>
    <t>Luna</t>
  </si>
  <si>
    <t>Miguel</t>
  </si>
  <si>
    <t>0793-004/002/003/001</t>
  </si>
  <si>
    <t>34-4V</t>
  </si>
  <si>
    <t>34-2V</t>
  </si>
  <si>
    <t>41-3VO</t>
  </si>
  <si>
    <t>41-1VC</t>
  </si>
  <si>
    <t>30-5VO</t>
  </si>
  <si>
    <t>33-3V</t>
  </si>
  <si>
    <t>33-4VO</t>
  </si>
  <si>
    <t>41-2V</t>
  </si>
  <si>
    <t>46-3V</t>
  </si>
  <si>
    <t>0290-008</t>
  </si>
  <si>
    <t>46-1P</t>
  </si>
  <si>
    <t>46-2VC</t>
  </si>
  <si>
    <t>0739-001/002/003</t>
  </si>
  <si>
    <t>37-2VC</t>
  </si>
  <si>
    <t>36-2VC</t>
  </si>
  <si>
    <t>37-4VO</t>
  </si>
  <si>
    <t>36-4VO</t>
  </si>
  <si>
    <t>0290-008/003</t>
  </si>
  <si>
    <t>24-3V</t>
  </si>
  <si>
    <t>32-4VO</t>
  </si>
  <si>
    <t>24-4VO</t>
  </si>
  <si>
    <t>43-4VO</t>
  </si>
  <si>
    <t>44-3V</t>
  </si>
  <si>
    <t>43-2VC</t>
  </si>
  <si>
    <t>44-2VC</t>
  </si>
  <si>
    <t>0669-001/003</t>
  </si>
  <si>
    <t>27-4VO</t>
  </si>
  <si>
    <t>35-1P</t>
  </si>
  <si>
    <t>33-3VC</t>
  </si>
  <si>
    <t>35-3V</t>
  </si>
  <si>
    <t>35-4VO</t>
  </si>
  <si>
    <t>35-2VC</t>
  </si>
  <si>
    <t>42-3V</t>
  </si>
  <si>
    <t>GREYCO</t>
  </si>
  <si>
    <t>51-1PC</t>
  </si>
  <si>
    <t>0793-007</t>
  </si>
  <si>
    <t>50-1PC</t>
  </si>
  <si>
    <t>49-1PC</t>
  </si>
  <si>
    <t>0793-008</t>
  </si>
  <si>
    <t>52-1PC</t>
  </si>
  <si>
    <t>0793-005</t>
  </si>
  <si>
    <t>54-1PC</t>
  </si>
  <si>
    <t>0793-006</t>
  </si>
  <si>
    <t>0793-002/005/004/006/003/007/008</t>
  </si>
  <si>
    <t>54-8VC</t>
  </si>
  <si>
    <t>54-12VC</t>
  </si>
  <si>
    <t>48-4V</t>
  </si>
  <si>
    <t>Emilce</t>
  </si>
  <si>
    <t>Alvarez</t>
  </si>
  <si>
    <t xml:space="preserve">Miguel </t>
  </si>
  <si>
    <t>more</t>
  </si>
  <si>
    <t>juan</t>
  </si>
  <si>
    <t>48-2V</t>
  </si>
  <si>
    <t>26-3V</t>
  </si>
  <si>
    <t>25-3V</t>
  </si>
  <si>
    <t>45-3V</t>
  </si>
  <si>
    <t>45-2VC</t>
  </si>
  <si>
    <t>42-2VC</t>
  </si>
  <si>
    <t>45-1P</t>
  </si>
  <si>
    <t>40-2VC</t>
  </si>
  <si>
    <t>38-3V</t>
  </si>
  <si>
    <t>39-2VC</t>
  </si>
  <si>
    <t>39-4VO</t>
  </si>
  <si>
    <t>34-6V</t>
  </si>
  <si>
    <t>51-6V</t>
  </si>
  <si>
    <t>0793-002/004/007</t>
  </si>
  <si>
    <t>51-3VC</t>
  </si>
  <si>
    <t>32-3V</t>
  </si>
  <si>
    <t>34-7VO</t>
  </si>
  <si>
    <t>37-1PC</t>
  </si>
  <si>
    <t>37-3V</t>
  </si>
  <si>
    <t>37-5VC</t>
  </si>
  <si>
    <t>38-4VC</t>
  </si>
  <si>
    <t>43-3V</t>
  </si>
  <si>
    <t>48-1VC</t>
  </si>
  <si>
    <t>48-8VO</t>
  </si>
  <si>
    <t>50-3VC</t>
  </si>
  <si>
    <t>50-2P</t>
  </si>
  <si>
    <t>52-4V</t>
  </si>
  <si>
    <t>52-2P</t>
  </si>
  <si>
    <t>49-3VC</t>
  </si>
  <si>
    <t>56-6V</t>
  </si>
  <si>
    <t>56-2V</t>
  </si>
  <si>
    <t>56-1VC</t>
  </si>
  <si>
    <t>56-9V</t>
  </si>
  <si>
    <t>56-8V</t>
  </si>
  <si>
    <t xml:space="preserve">Ledesma </t>
  </si>
  <si>
    <t>Hugo</t>
  </si>
  <si>
    <t>56-3V</t>
  </si>
  <si>
    <t>56-5V</t>
  </si>
  <si>
    <t>38-4VO</t>
  </si>
  <si>
    <t>39-3V</t>
  </si>
  <si>
    <t>53-4VO</t>
  </si>
  <si>
    <t>51-5P</t>
  </si>
  <si>
    <t>38-2VC 1</t>
  </si>
  <si>
    <t>48-5VO</t>
  </si>
  <si>
    <t>49-2P</t>
  </si>
  <si>
    <t>49-4VO</t>
  </si>
  <si>
    <t>50-4V</t>
  </si>
  <si>
    <t>51-4V</t>
  </si>
  <si>
    <t>52-3VC</t>
  </si>
  <si>
    <t>53-1VC</t>
  </si>
  <si>
    <t>53-2V</t>
  </si>
  <si>
    <t>53-3V</t>
  </si>
  <si>
    <t>53-5VO</t>
  </si>
  <si>
    <t>54-2P</t>
  </si>
  <si>
    <t>54-3VC</t>
  </si>
  <si>
    <t>54-4V</t>
  </si>
  <si>
    <t>54-5V</t>
  </si>
  <si>
    <t>54-6VC</t>
  </si>
  <si>
    <t>54-7V</t>
  </si>
  <si>
    <t>54-9V</t>
  </si>
  <si>
    <t>54-10V</t>
  </si>
  <si>
    <t>54-11P</t>
  </si>
  <si>
    <t>55-1VC</t>
  </si>
  <si>
    <t>55-2V</t>
  </si>
  <si>
    <t>55-3VO</t>
  </si>
  <si>
    <t>56-4V</t>
  </si>
  <si>
    <t>56-7VO</t>
  </si>
  <si>
    <t>58-1VC</t>
  </si>
  <si>
    <t>58-2V</t>
  </si>
  <si>
    <t>58-3VO</t>
  </si>
  <si>
    <t>58-4V</t>
  </si>
  <si>
    <t>58-5VO</t>
  </si>
  <si>
    <t>58-6V</t>
  </si>
  <si>
    <t>58-7VC</t>
  </si>
  <si>
    <t>59-1VC</t>
  </si>
  <si>
    <t>59-2V</t>
  </si>
  <si>
    <t>59-3VO</t>
  </si>
  <si>
    <t>60-1VC</t>
  </si>
  <si>
    <t>60-2V</t>
  </si>
  <si>
    <t>60-3V</t>
  </si>
  <si>
    <t>60-4VO</t>
  </si>
  <si>
    <t>60-5V</t>
  </si>
  <si>
    <t>60-6VO</t>
  </si>
  <si>
    <t>60-7VC</t>
  </si>
  <si>
    <t>60-8V</t>
  </si>
  <si>
    <t>61-1VC</t>
  </si>
  <si>
    <t>61-2V</t>
  </si>
  <si>
    <t>61-3V</t>
  </si>
  <si>
    <t>61-4VO</t>
  </si>
  <si>
    <t>61-5V</t>
  </si>
  <si>
    <t>61-6VO</t>
  </si>
  <si>
    <t>62-1PC</t>
  </si>
  <si>
    <t>62-2V</t>
  </si>
  <si>
    <t>62-3V</t>
  </si>
  <si>
    <t>62-4A</t>
  </si>
  <si>
    <t>62-5VC</t>
  </si>
  <si>
    <t>62-6V</t>
  </si>
  <si>
    <t>62-7VO</t>
  </si>
  <si>
    <t>62-8V</t>
  </si>
  <si>
    <t>62-9VC</t>
  </si>
  <si>
    <t>62-10V</t>
  </si>
  <si>
    <t>62-11VO</t>
  </si>
  <si>
    <t>62-12VC</t>
  </si>
  <si>
    <t>63-1P</t>
  </si>
  <si>
    <t>63-2VC</t>
  </si>
  <si>
    <t>63-3V</t>
  </si>
  <si>
    <t>63-4VO</t>
  </si>
  <si>
    <t>64-1PC</t>
  </si>
  <si>
    <t>64-2P</t>
  </si>
  <si>
    <t>64-3V</t>
  </si>
  <si>
    <t>64-4VO</t>
  </si>
  <si>
    <t>64-5V</t>
  </si>
  <si>
    <t>64-6V</t>
  </si>
  <si>
    <t>64-7V</t>
  </si>
  <si>
    <t>64-8VO</t>
  </si>
  <si>
    <t>64-9V</t>
  </si>
  <si>
    <t>65-1VC</t>
  </si>
  <si>
    <t>65-2V</t>
  </si>
  <si>
    <t>65-3V</t>
  </si>
  <si>
    <t>65-4VO</t>
  </si>
  <si>
    <t>66-1A</t>
  </si>
  <si>
    <t>66-2P</t>
  </si>
  <si>
    <t>66-3VC</t>
  </si>
  <si>
    <t>66-4V</t>
  </si>
  <si>
    <t>66-5V</t>
  </si>
  <si>
    <t>66-6V</t>
  </si>
  <si>
    <t>66-7A</t>
  </si>
  <si>
    <t>66-8VC</t>
  </si>
  <si>
    <t>66-9V</t>
  </si>
  <si>
    <t>67-1P</t>
  </si>
  <si>
    <t>67-2VC</t>
  </si>
  <si>
    <t>67-3V</t>
  </si>
  <si>
    <t>67-4V</t>
  </si>
  <si>
    <t>67-5VO</t>
  </si>
  <si>
    <t>68-1P</t>
  </si>
  <si>
    <t>68-2VC</t>
  </si>
  <si>
    <t>68-3V</t>
  </si>
  <si>
    <t>68-4V</t>
  </si>
  <si>
    <t>68-5VO</t>
  </si>
  <si>
    <t>69-1P</t>
  </si>
  <si>
    <t>69-2VC</t>
  </si>
  <si>
    <t>69-3V</t>
  </si>
  <si>
    <t>69-4V</t>
  </si>
  <si>
    <t>69-5VO</t>
  </si>
  <si>
    <t>70-1VC</t>
  </si>
  <si>
    <t>70-2V</t>
  </si>
  <si>
    <t>70-3V</t>
  </si>
  <si>
    <t>70-4VO</t>
  </si>
  <si>
    <t>71-1P</t>
  </si>
  <si>
    <t>71-2VC</t>
  </si>
  <si>
    <t>71-3V</t>
  </si>
  <si>
    <t>71-4V</t>
  </si>
  <si>
    <t>71-5VO</t>
  </si>
  <si>
    <t>72-1PC</t>
  </si>
  <si>
    <t>72-2VC</t>
  </si>
  <si>
    <t>72-3V</t>
  </si>
  <si>
    <t>72-4VO</t>
  </si>
  <si>
    <t>72-5V</t>
  </si>
  <si>
    <t>Cajas en piso del dia anterior</t>
  </si>
  <si>
    <t xml:space="preserve">  CAJAS 18 KG</t>
  </si>
  <si>
    <t>0793-007/008/006</t>
  </si>
  <si>
    <t>73-1A</t>
  </si>
  <si>
    <t>73-2P</t>
  </si>
  <si>
    <t>73-3VC</t>
  </si>
  <si>
    <t>73-4V</t>
  </si>
  <si>
    <t>73-5V</t>
  </si>
  <si>
    <t>73-6V</t>
  </si>
  <si>
    <t>73-7VC</t>
  </si>
  <si>
    <t>73-8V</t>
  </si>
  <si>
    <t>73-9V</t>
  </si>
  <si>
    <t>74-2V</t>
  </si>
  <si>
    <t>74-3VO</t>
  </si>
  <si>
    <t>75-1VC</t>
  </si>
  <si>
    <t>75-2V</t>
  </si>
  <si>
    <t>75-3VO</t>
  </si>
  <si>
    <t>75-4V</t>
  </si>
  <si>
    <t>76-1VC</t>
  </si>
  <si>
    <t>76-2V</t>
  </si>
  <si>
    <t>76-3VO</t>
  </si>
  <si>
    <t>77-1VC</t>
  </si>
  <si>
    <t>77-2V</t>
  </si>
  <si>
    <t>77-3VO</t>
  </si>
  <si>
    <t>77-4P</t>
  </si>
  <si>
    <t>77-5V</t>
  </si>
  <si>
    <t>77-6V</t>
  </si>
  <si>
    <t>78-1V</t>
  </si>
  <si>
    <t>78-2V</t>
  </si>
  <si>
    <t>78-3VO</t>
  </si>
  <si>
    <t>78-4V</t>
  </si>
  <si>
    <t>78-5V</t>
  </si>
  <si>
    <t>Viera</t>
  </si>
  <si>
    <t>Gomez</t>
  </si>
  <si>
    <t>Luis</t>
  </si>
  <si>
    <t>0541-001</t>
  </si>
  <si>
    <t>079-001</t>
  </si>
  <si>
    <t>0136-014</t>
  </si>
  <si>
    <t>0136-016</t>
  </si>
  <si>
    <t>0669-006</t>
  </si>
  <si>
    <t>0669-008</t>
  </si>
  <si>
    <t>0136-014/016</t>
  </si>
  <si>
    <t>0669-001/006/008</t>
  </si>
  <si>
    <t>0669-001/008</t>
  </si>
  <si>
    <t>79-1VC</t>
  </si>
  <si>
    <t>79-2V</t>
  </si>
  <si>
    <t>79-3VO</t>
  </si>
  <si>
    <t>79-4A</t>
  </si>
  <si>
    <t>80-1A</t>
  </si>
  <si>
    <t>80-2VC</t>
  </si>
  <si>
    <t>80-3V</t>
  </si>
  <si>
    <t>80-4VO</t>
  </si>
  <si>
    <t>80-5P</t>
  </si>
  <si>
    <t>80-6V</t>
  </si>
  <si>
    <t>80-7VO</t>
  </si>
  <si>
    <t>80-8VO</t>
  </si>
  <si>
    <t>80-9V</t>
  </si>
  <si>
    <t>80-10VO</t>
  </si>
  <si>
    <t>80-11VC</t>
  </si>
  <si>
    <t>80-12P</t>
  </si>
  <si>
    <t>81-1A</t>
  </si>
  <si>
    <t>81-2VC</t>
  </si>
  <si>
    <t>81-3V</t>
  </si>
  <si>
    <t>81-4VO</t>
  </si>
  <si>
    <t>82-3VC</t>
  </si>
  <si>
    <t>82-4V</t>
  </si>
  <si>
    <t>82-5V</t>
  </si>
  <si>
    <t>82-6VO</t>
  </si>
  <si>
    <t>82-7VO</t>
  </si>
  <si>
    <t>83-1A</t>
  </si>
  <si>
    <t>83-2P</t>
  </si>
  <si>
    <t>83-3VC</t>
  </si>
  <si>
    <t>83-4V</t>
  </si>
  <si>
    <t>83-5V</t>
  </si>
  <si>
    <t>83-6VO</t>
  </si>
  <si>
    <t>83-7VO</t>
  </si>
  <si>
    <t>83-8V</t>
  </si>
  <si>
    <t>83-9VC</t>
  </si>
  <si>
    <t>83-10VO</t>
  </si>
  <si>
    <t>84-1V</t>
  </si>
  <si>
    <t>84-2VO</t>
  </si>
  <si>
    <t>84-3VC</t>
  </si>
  <si>
    <t>84-4V</t>
  </si>
  <si>
    <t>84-5PC</t>
  </si>
  <si>
    <t>85-1A</t>
  </si>
  <si>
    <t>85-2P</t>
  </si>
  <si>
    <t>85-3VC</t>
  </si>
  <si>
    <t>85-4V</t>
  </si>
  <si>
    <t>85-5VO</t>
  </si>
  <si>
    <t>85-6VO</t>
  </si>
  <si>
    <t>85-7V</t>
  </si>
  <si>
    <t>85-8VC</t>
  </si>
  <si>
    <t>85-9VC</t>
  </si>
  <si>
    <t>85-10V</t>
  </si>
  <si>
    <t>85-11VO</t>
  </si>
  <si>
    <t>85-12A</t>
  </si>
  <si>
    <t>86-1A</t>
  </si>
  <si>
    <t>86-2P</t>
  </si>
  <si>
    <t>86-3V</t>
  </si>
  <si>
    <t>86-6V</t>
  </si>
  <si>
    <t>86-7VO</t>
  </si>
  <si>
    <t>86-8VC</t>
  </si>
  <si>
    <t>87-1A</t>
  </si>
  <si>
    <t>87-2P</t>
  </si>
  <si>
    <t>87-4V</t>
  </si>
  <si>
    <t>87-5VO</t>
  </si>
  <si>
    <t>87-6V</t>
  </si>
  <si>
    <t>87-7VO</t>
  </si>
  <si>
    <t>88-1A</t>
  </si>
  <si>
    <t>88-2P</t>
  </si>
  <si>
    <t>88-3VC</t>
  </si>
  <si>
    <t>88-4VO</t>
  </si>
  <si>
    <t>88-5V</t>
  </si>
  <si>
    <t>88-6V</t>
  </si>
  <si>
    <t>88-7V</t>
  </si>
  <si>
    <t>88-8VC</t>
  </si>
  <si>
    <t>89-1A</t>
  </si>
  <si>
    <t>89-2V</t>
  </si>
  <si>
    <t>89-3VO</t>
  </si>
  <si>
    <t>89-4V</t>
  </si>
  <si>
    <t>89-5VC</t>
  </si>
  <si>
    <t>89-6VO</t>
  </si>
  <si>
    <t>89-7V</t>
  </si>
  <si>
    <t>89-8VO</t>
  </si>
  <si>
    <t>89-9V</t>
  </si>
  <si>
    <t>90-6A</t>
  </si>
  <si>
    <t>90-7P</t>
  </si>
  <si>
    <t>90-2P</t>
  </si>
  <si>
    <t>90-1A</t>
  </si>
  <si>
    <t>0134-014</t>
  </si>
  <si>
    <t>Ledesma</t>
  </si>
  <si>
    <t>Teresa</t>
  </si>
  <si>
    <t>62-13A</t>
  </si>
  <si>
    <t>90-9A</t>
  </si>
  <si>
    <t>0669-005</t>
  </si>
  <si>
    <t>0669-001/006/005</t>
  </si>
  <si>
    <t>98-3P</t>
  </si>
  <si>
    <t>95-1A</t>
  </si>
  <si>
    <t>96-1A</t>
  </si>
  <si>
    <t>94-1A</t>
  </si>
  <si>
    <t>0669-001/005/008/006</t>
  </si>
  <si>
    <t xml:space="preserve">Juan </t>
  </si>
  <si>
    <t>Williams</t>
  </si>
  <si>
    <t>93-1A</t>
  </si>
  <si>
    <t>0793-001/0541-001</t>
  </si>
  <si>
    <t>105-1A</t>
  </si>
  <si>
    <t>0669-006/005/008</t>
  </si>
  <si>
    <t>105-2P</t>
  </si>
  <si>
    <t>100-1A</t>
  </si>
  <si>
    <t xml:space="preserve">Luis </t>
  </si>
  <si>
    <t>54-4P</t>
  </si>
  <si>
    <t>99-4V</t>
  </si>
  <si>
    <t>104-2P</t>
  </si>
  <si>
    <t>97-1A</t>
  </si>
  <si>
    <t>90-10P</t>
  </si>
  <si>
    <t>104-1A</t>
  </si>
  <si>
    <t>79-3V</t>
  </si>
  <si>
    <t>0136-014-016</t>
  </si>
  <si>
    <t>104-6P</t>
  </si>
  <si>
    <t>104-5P</t>
  </si>
  <si>
    <t>85-9V</t>
  </si>
  <si>
    <t>97-2P</t>
  </si>
  <si>
    <t>104-3VC</t>
  </si>
  <si>
    <t>90-3V</t>
  </si>
  <si>
    <t>104-4V</t>
  </si>
  <si>
    <t>90-4V</t>
  </si>
  <si>
    <t>97-3VC</t>
  </si>
  <si>
    <t>90-5VO</t>
  </si>
  <si>
    <t>90-8VC</t>
  </si>
  <si>
    <t>97-4V</t>
  </si>
  <si>
    <t>95-3V</t>
  </si>
  <si>
    <t>96-4V</t>
  </si>
  <si>
    <t>87-5V</t>
  </si>
  <si>
    <t>96-2P</t>
  </si>
  <si>
    <t>106-1A</t>
  </si>
  <si>
    <t>87-7V</t>
  </si>
  <si>
    <t>92-3VC</t>
  </si>
  <si>
    <t>91-6V</t>
  </si>
  <si>
    <t>92-5V</t>
  </si>
  <si>
    <t>0669-005/006/008</t>
  </si>
  <si>
    <t>65-3VC</t>
  </si>
  <si>
    <t>0541-002</t>
  </si>
  <si>
    <t>77-3V</t>
  </si>
  <si>
    <t>64-8V</t>
  </si>
  <si>
    <t>0669-006/008</t>
  </si>
  <si>
    <t>0793-002/0541-001</t>
  </si>
  <si>
    <t>90-3VC</t>
  </si>
  <si>
    <t>95-2P</t>
  </si>
  <si>
    <t>106-9A</t>
  </si>
  <si>
    <t>106-6A</t>
  </si>
  <si>
    <t>106-2P</t>
  </si>
  <si>
    <t>106-7A</t>
  </si>
  <si>
    <t>106-8A</t>
  </si>
  <si>
    <t>95-7V</t>
  </si>
  <si>
    <t>88-6VO</t>
  </si>
  <si>
    <t>98-7VO</t>
  </si>
  <si>
    <t>99-7VO</t>
  </si>
  <si>
    <t>105-5VO</t>
  </si>
  <si>
    <t>92-6VO</t>
  </si>
  <si>
    <t>Altamiranda</t>
  </si>
  <si>
    <t>Santiago</t>
  </si>
  <si>
    <t>Delgado</t>
  </si>
  <si>
    <t>92-8V</t>
  </si>
  <si>
    <t>100-3V</t>
  </si>
  <si>
    <t>105-4V</t>
  </si>
  <si>
    <t>100-7V</t>
  </si>
  <si>
    <t>91-7V</t>
  </si>
  <si>
    <t>96-5V</t>
  </si>
  <si>
    <t>99-5V</t>
  </si>
  <si>
    <t>98-5V</t>
  </si>
  <si>
    <t>100-8V</t>
  </si>
  <si>
    <t>99-3V</t>
  </si>
  <si>
    <t>91-5V</t>
  </si>
  <si>
    <t>78-3V</t>
  </si>
  <si>
    <t>81-4V</t>
  </si>
  <si>
    <t>0669-008/006</t>
  </si>
  <si>
    <t>106-4V</t>
  </si>
  <si>
    <t>83-7V</t>
  </si>
  <si>
    <t>99-8V</t>
  </si>
  <si>
    <t>91-5VC</t>
  </si>
  <si>
    <t>108-1A</t>
  </si>
  <si>
    <t>108-8A</t>
  </si>
  <si>
    <t>108-5A</t>
  </si>
  <si>
    <t>112-1A</t>
  </si>
  <si>
    <t>108-10A</t>
  </si>
  <si>
    <t>101-2V</t>
  </si>
  <si>
    <t>William</t>
  </si>
  <si>
    <t>103-2VC</t>
  </si>
  <si>
    <t>107-1A</t>
  </si>
  <si>
    <t>0290-004</t>
  </si>
  <si>
    <t>101-1A</t>
  </si>
  <si>
    <t>101-5V</t>
  </si>
  <si>
    <t>103-4VO</t>
  </si>
  <si>
    <t>94-2VC</t>
  </si>
  <si>
    <t>93-4VC</t>
  </si>
  <si>
    <t>55+30+23+6+59+20</t>
  </si>
  <si>
    <t>115-1A</t>
  </si>
  <si>
    <t>115-5A</t>
  </si>
  <si>
    <t>115-8A</t>
  </si>
  <si>
    <t>115-7PC</t>
  </si>
  <si>
    <t>93-3VO</t>
  </si>
  <si>
    <t>84-2V</t>
  </si>
  <si>
    <t xml:space="preserve">93-6V </t>
  </si>
  <si>
    <t>93-2V</t>
  </si>
  <si>
    <t>101-4VC</t>
  </si>
  <si>
    <t>94-4VO</t>
  </si>
  <si>
    <t>103-1PC</t>
  </si>
  <si>
    <t>93-5V</t>
  </si>
  <si>
    <t>94-3V</t>
  </si>
  <si>
    <t>103-3V</t>
  </si>
  <si>
    <t>101-3VO</t>
  </si>
  <si>
    <t>109-1A</t>
  </si>
  <si>
    <t>114-9A</t>
  </si>
  <si>
    <t>114-1A</t>
  </si>
  <si>
    <t>113-1A</t>
  </si>
  <si>
    <t>117-1PC</t>
  </si>
  <si>
    <t>102-4V</t>
  </si>
  <si>
    <t>0291-014</t>
  </si>
  <si>
    <t>102-2PC</t>
  </si>
  <si>
    <t>102-1A</t>
  </si>
  <si>
    <t>102-5VO</t>
  </si>
  <si>
    <t>102-6V</t>
  </si>
  <si>
    <t>91-1A</t>
  </si>
  <si>
    <t>92-1A</t>
  </si>
  <si>
    <t>92-2P</t>
  </si>
  <si>
    <t>92-4V</t>
  </si>
  <si>
    <t>100-6VO</t>
  </si>
  <si>
    <t>108-7VC</t>
  </si>
  <si>
    <t>108-3VC</t>
  </si>
  <si>
    <t>108-6VC</t>
  </si>
  <si>
    <t>108-2VC</t>
  </si>
  <si>
    <t>106-10VC</t>
  </si>
  <si>
    <t>106-5VC</t>
  </si>
  <si>
    <t>106-3VC</t>
  </si>
  <si>
    <t>112-2VC</t>
  </si>
  <si>
    <t>112-5VC</t>
  </si>
  <si>
    <t>112-6VC</t>
  </si>
  <si>
    <t>108-9VC</t>
  </si>
  <si>
    <t>115-4VC</t>
  </si>
  <si>
    <t>96-3VC</t>
  </si>
  <si>
    <t>118-1PC</t>
  </si>
  <si>
    <t>0669-002</t>
  </si>
  <si>
    <t>119-14A</t>
  </si>
  <si>
    <t>123-1A</t>
  </si>
  <si>
    <t>117-7PC</t>
  </si>
  <si>
    <t>117-8PC</t>
  </si>
  <si>
    <t>116-1A</t>
  </si>
  <si>
    <t>0669-006/</t>
  </si>
  <si>
    <t>122-1A</t>
  </si>
  <si>
    <t>111-7VO</t>
  </si>
  <si>
    <t>111-8V</t>
  </si>
  <si>
    <t>99-1A</t>
  </si>
  <si>
    <t>91-7VO</t>
  </si>
  <si>
    <t>93-6V</t>
  </si>
  <si>
    <t>99-3VC</t>
  </si>
  <si>
    <t>114-8A</t>
  </si>
  <si>
    <t>117-1P</t>
  </si>
  <si>
    <t>95-7VO</t>
  </si>
  <si>
    <t>100-3VC</t>
  </si>
  <si>
    <t>100-8VO</t>
  </si>
  <si>
    <t>102-2P</t>
  </si>
  <si>
    <t>102-3VC</t>
  </si>
  <si>
    <t>102-6VC</t>
  </si>
  <si>
    <t>103-1P</t>
  </si>
  <si>
    <t>105-3VC</t>
  </si>
  <si>
    <t>106-10VO</t>
  </si>
  <si>
    <t>113-7A</t>
  </si>
  <si>
    <t>121-1A</t>
  </si>
  <si>
    <t>109-10A</t>
  </si>
  <si>
    <t>110-9A</t>
  </si>
  <si>
    <t>110-1A</t>
  </si>
  <si>
    <t>108-4V</t>
  </si>
  <si>
    <t>124-1A</t>
  </si>
  <si>
    <t>124-2PC</t>
  </si>
  <si>
    <t>124-6A</t>
  </si>
  <si>
    <t>115-2VC</t>
  </si>
  <si>
    <t>92-2PC</t>
  </si>
  <si>
    <t>98-1A</t>
  </si>
  <si>
    <t>91-3V</t>
  </si>
  <si>
    <t>99-2PC</t>
  </si>
  <si>
    <t>99-6VO</t>
  </si>
  <si>
    <t>100-2PC</t>
  </si>
  <si>
    <t>92-7VO</t>
  </si>
  <si>
    <t>91-4VO</t>
  </si>
  <si>
    <t>0668-008</t>
  </si>
  <si>
    <t>98-4V</t>
  </si>
  <si>
    <t>100-4V</t>
  </si>
  <si>
    <t>120-1A</t>
  </si>
  <si>
    <t>0419-001</t>
  </si>
  <si>
    <t>111-2VC</t>
  </si>
  <si>
    <t>111-1A</t>
  </si>
  <si>
    <t>100-6V</t>
  </si>
  <si>
    <t>115-6VC</t>
  </si>
  <si>
    <t>107-2VC</t>
  </si>
  <si>
    <t>110-4VO</t>
  </si>
  <si>
    <t>110-3V</t>
  </si>
  <si>
    <t>109-9V</t>
  </si>
  <si>
    <t>109-7V</t>
  </si>
  <si>
    <t>109-8VO</t>
  </si>
  <si>
    <t>113-6V</t>
  </si>
  <si>
    <t>109-12V</t>
  </si>
  <si>
    <t>Rendiento bins</t>
  </si>
  <si>
    <t>111-5V</t>
  </si>
  <si>
    <t>111-3VC</t>
  </si>
  <si>
    <t>125-1A</t>
  </si>
  <si>
    <t>134-1A</t>
  </si>
  <si>
    <t>126-1A</t>
  </si>
  <si>
    <t>128-1A</t>
  </si>
  <si>
    <t>118-6V</t>
  </si>
  <si>
    <t>135-1A</t>
  </si>
  <si>
    <t>132-2A</t>
  </si>
  <si>
    <t>136-1A</t>
  </si>
  <si>
    <t>0419-002</t>
  </si>
  <si>
    <t>113-5VC</t>
  </si>
  <si>
    <t>109-11PC</t>
  </si>
  <si>
    <t>110-6VO</t>
  </si>
  <si>
    <t>110-5V</t>
  </si>
  <si>
    <t>113-8P</t>
  </si>
  <si>
    <t>109-14VO</t>
  </si>
  <si>
    <t>116-7VO</t>
  </si>
  <si>
    <t>117-6VO</t>
  </si>
  <si>
    <t>117-10VC</t>
  </si>
  <si>
    <t>114-2VC</t>
  </si>
  <si>
    <t>114-10VC</t>
  </si>
  <si>
    <t>114-4V</t>
  </si>
  <si>
    <t>117-3V</t>
  </si>
  <si>
    <t>127-11A</t>
  </si>
  <si>
    <t>113-11PC</t>
  </si>
  <si>
    <t>117-9VO</t>
  </si>
  <si>
    <t>117-5VC</t>
  </si>
  <si>
    <t>116-5V</t>
  </si>
  <si>
    <t>114-12V</t>
  </si>
  <si>
    <t>116-3VC</t>
  </si>
  <si>
    <t>117-2VC</t>
  </si>
  <si>
    <t>127-1A</t>
  </si>
  <si>
    <t>112-3V</t>
  </si>
  <si>
    <t>115-9VC</t>
  </si>
  <si>
    <t>Gustavo</t>
  </si>
  <si>
    <t>Doraos</t>
  </si>
  <si>
    <t>115-3V</t>
  </si>
  <si>
    <t>129-6A</t>
  </si>
  <si>
    <t>129-2PC</t>
  </si>
  <si>
    <t>124-9A</t>
  </si>
  <si>
    <t>129-1A</t>
  </si>
  <si>
    <t>0419-001/002</t>
  </si>
  <si>
    <t>130-3VC</t>
  </si>
  <si>
    <t>131-3VC</t>
  </si>
  <si>
    <t>137-1A</t>
  </si>
  <si>
    <t>129-3VC</t>
  </si>
  <si>
    <t>130-5VC</t>
  </si>
  <si>
    <t>131-5VC</t>
  </si>
  <si>
    <t>129-5V</t>
  </si>
  <si>
    <t>130-1A</t>
  </si>
  <si>
    <t>felix</t>
  </si>
  <si>
    <t>alexis</t>
  </si>
  <si>
    <t>ceron</t>
  </si>
  <si>
    <t>cortes</t>
  </si>
  <si>
    <t>Estopiñan</t>
  </si>
  <si>
    <t>marcela</t>
  </si>
  <si>
    <t>daniel</t>
  </si>
  <si>
    <t>nahuel</t>
  </si>
  <si>
    <t>Gonzales</t>
  </si>
  <si>
    <t>braian</t>
  </si>
  <si>
    <t>yessica</t>
  </si>
  <si>
    <t>Abregu</t>
  </si>
  <si>
    <t>David</t>
  </si>
  <si>
    <t>Amaya</t>
  </si>
  <si>
    <t>Luciano</t>
  </si>
  <si>
    <t>Brandon</t>
  </si>
  <si>
    <t>Lazarte</t>
  </si>
  <si>
    <t>Facundo</t>
  </si>
  <si>
    <t>Quinteros</t>
  </si>
  <si>
    <t>Damian</t>
  </si>
  <si>
    <t>Ruiseñol</t>
  </si>
  <si>
    <t>Jesus</t>
  </si>
  <si>
    <t>Rodriguez</t>
  </si>
  <si>
    <t>Serrano</t>
  </si>
  <si>
    <t>Gabriel</t>
  </si>
  <si>
    <t>Domingo</t>
  </si>
  <si>
    <t>Jonathan</t>
  </si>
  <si>
    <t>Visuara</t>
  </si>
  <si>
    <t>131-8A</t>
  </si>
  <si>
    <t>131-1A</t>
  </si>
  <si>
    <t>140-1A</t>
  </si>
  <si>
    <t>131-2P</t>
  </si>
  <si>
    <t>130-2P</t>
  </si>
  <si>
    <t>137-2P</t>
  </si>
  <si>
    <t>131-9P</t>
  </si>
  <si>
    <t>129-7P</t>
  </si>
  <si>
    <t>0793-003/002</t>
  </si>
  <si>
    <t>Alderete</t>
  </si>
  <si>
    <t>Alavarez</t>
  </si>
  <si>
    <t xml:space="preserve">Gabriela  </t>
  </si>
  <si>
    <t xml:space="preserve">Rafael </t>
  </si>
  <si>
    <t>Raul</t>
  </si>
  <si>
    <t>Martinez</t>
  </si>
  <si>
    <t xml:space="preserve">Jose </t>
  </si>
  <si>
    <t>Fernanda</t>
  </si>
  <si>
    <t>Avila</t>
  </si>
  <si>
    <t>Julio</t>
  </si>
  <si>
    <t xml:space="preserve">Matias </t>
  </si>
  <si>
    <t>Hernan</t>
  </si>
  <si>
    <t>Orozco</t>
  </si>
  <si>
    <t>Yessica</t>
  </si>
  <si>
    <t>Quiroga</t>
  </si>
  <si>
    <t>Magadalena</t>
  </si>
  <si>
    <t>Pablo</t>
  </si>
  <si>
    <t>Velardez</t>
  </si>
  <si>
    <t>124-3VC</t>
  </si>
  <si>
    <t>139-5A</t>
  </si>
  <si>
    <t>138-1A</t>
  </si>
  <si>
    <t>141-2PC</t>
  </si>
  <si>
    <t>141-1A</t>
  </si>
  <si>
    <t>139-1A</t>
  </si>
  <si>
    <t>127-9PC</t>
  </si>
  <si>
    <t>113-9V</t>
  </si>
  <si>
    <t>113-10VO</t>
  </si>
  <si>
    <t>114-6VO</t>
  </si>
  <si>
    <t>114-14VO</t>
  </si>
  <si>
    <t>118-3VO</t>
  </si>
  <si>
    <t>118-7VO</t>
  </si>
  <si>
    <t>133-1A</t>
  </si>
  <si>
    <t>Joel</t>
  </si>
  <si>
    <t>Perdiguero</t>
  </si>
  <si>
    <t>139-2P</t>
  </si>
  <si>
    <t>138-2P</t>
  </si>
  <si>
    <t>141-6A</t>
  </si>
  <si>
    <t>109-2P</t>
  </si>
  <si>
    <t>114-3V</t>
  </si>
  <si>
    <t>113-4VO</t>
  </si>
  <si>
    <t>113-2P</t>
  </si>
  <si>
    <t>110-2VC</t>
  </si>
  <si>
    <t>114-7V</t>
  </si>
  <si>
    <t>114-11V</t>
  </si>
  <si>
    <t>114-13</t>
  </si>
  <si>
    <t>114-5VO</t>
  </si>
  <si>
    <t>116-6VO</t>
  </si>
  <si>
    <t>117-4VO</t>
  </si>
  <si>
    <t>142-1A</t>
  </si>
  <si>
    <t>107-7VO</t>
  </si>
  <si>
    <t>91-2P</t>
  </si>
  <si>
    <t>98-2P</t>
  </si>
  <si>
    <t>110-7V</t>
  </si>
  <si>
    <t>110-8VO</t>
  </si>
  <si>
    <t>113-3V</t>
  </si>
  <si>
    <t>116-2VC</t>
  </si>
  <si>
    <t>109-4VO</t>
  </si>
  <si>
    <t>143-1A</t>
  </si>
  <si>
    <t>118-8VO</t>
  </si>
  <si>
    <t>118-4VO</t>
  </si>
  <si>
    <t>118-11VC</t>
  </si>
  <si>
    <t>119-2VC</t>
  </si>
  <si>
    <t>118-5V</t>
  </si>
  <si>
    <t>119-4VO</t>
  </si>
  <si>
    <t>118-2VC</t>
  </si>
  <si>
    <t>123-2VC</t>
  </si>
  <si>
    <t>120-4VO</t>
  </si>
  <si>
    <t>100-2P</t>
  </si>
  <si>
    <t>109-11P</t>
  </si>
  <si>
    <t>110-4V</t>
  </si>
  <si>
    <t>113-6VO</t>
  </si>
  <si>
    <t>113-11P</t>
  </si>
  <si>
    <t>114-13VO</t>
  </si>
  <si>
    <t>116-2PC</t>
  </si>
  <si>
    <t>118-6PC</t>
  </si>
  <si>
    <t>124-2P</t>
  </si>
  <si>
    <t>129-2P</t>
  </si>
  <si>
    <t>129-1A1</t>
  </si>
  <si>
    <t>99-2P</t>
  </si>
  <si>
    <t>111-9V</t>
  </si>
  <si>
    <t>111-4V</t>
  </si>
  <si>
    <t>107-6VO</t>
  </si>
  <si>
    <t>107-5VO</t>
  </si>
  <si>
    <t>118-10VO</t>
  </si>
  <si>
    <t>123-3VC</t>
  </si>
  <si>
    <t>122-6VC</t>
  </si>
  <si>
    <t>121-5VC</t>
  </si>
  <si>
    <t>119-11VC</t>
  </si>
  <si>
    <t>119-5VC</t>
  </si>
  <si>
    <t>119-9VC</t>
  </si>
  <si>
    <t>118-9VC</t>
  </si>
  <si>
    <t>109-5VC</t>
  </si>
  <si>
    <t>Daniel</t>
  </si>
  <si>
    <t>Yohana</t>
  </si>
  <si>
    <t>Matias</t>
  </si>
  <si>
    <t>Perez</t>
  </si>
  <si>
    <t>152-1A</t>
  </si>
  <si>
    <t>141-5VC</t>
  </si>
  <si>
    <t>139-3VC</t>
  </si>
  <si>
    <t>141-3VC</t>
  </si>
  <si>
    <t>155-1A</t>
  </si>
  <si>
    <t>152-2P</t>
  </si>
  <si>
    <t>121-3V</t>
  </si>
  <si>
    <t>121-4VO</t>
  </si>
  <si>
    <t>133-3VC</t>
  </si>
  <si>
    <t>133-2P</t>
  </si>
  <si>
    <t>143-5VC</t>
  </si>
  <si>
    <t>122-2P</t>
  </si>
  <si>
    <t>127-3VC</t>
  </si>
  <si>
    <t>127-2P</t>
  </si>
  <si>
    <t>127-7VC</t>
  </si>
  <si>
    <t>127-8V</t>
  </si>
  <si>
    <t>Jeremias</t>
  </si>
  <si>
    <t>127-4V</t>
  </si>
  <si>
    <t>142-6A</t>
  </si>
  <si>
    <t>121-2VC</t>
  </si>
  <si>
    <t>122-5VC</t>
  </si>
  <si>
    <t>151-3A</t>
  </si>
  <si>
    <t>150-3A</t>
  </si>
  <si>
    <t>148-2A</t>
  </si>
  <si>
    <t>Cazares</t>
  </si>
  <si>
    <t>122-3V</t>
  </si>
  <si>
    <t>124-4V</t>
  </si>
  <si>
    <t>124-7VC</t>
  </si>
  <si>
    <t>124-8VC</t>
  </si>
  <si>
    <t>137-3VC</t>
  </si>
  <si>
    <t>137-5VC</t>
  </si>
  <si>
    <t>140-3VC</t>
  </si>
  <si>
    <t>131-6VC</t>
  </si>
  <si>
    <t>138-3VC</t>
  </si>
  <si>
    <t>155-4A</t>
  </si>
  <si>
    <t>164-1A</t>
  </si>
  <si>
    <t>152-6P</t>
  </si>
  <si>
    <t>152-5A</t>
  </si>
  <si>
    <t>162-1A</t>
  </si>
  <si>
    <t>162-5A</t>
  </si>
  <si>
    <t>162-7A</t>
  </si>
  <si>
    <t>132-6V</t>
  </si>
  <si>
    <t>146-1A</t>
  </si>
  <si>
    <t>132-1A</t>
  </si>
  <si>
    <t>159-1A</t>
  </si>
  <si>
    <t>132-3V</t>
  </si>
  <si>
    <t>0136-021</t>
  </si>
  <si>
    <t>158-1A</t>
  </si>
  <si>
    <t>160-1A</t>
  </si>
  <si>
    <t>0136-018</t>
  </si>
  <si>
    <t>166-1A</t>
  </si>
  <si>
    <t>793-006/05/02/03</t>
  </si>
  <si>
    <t>Cortez</t>
  </si>
  <si>
    <t>0136/14/18/21</t>
  </si>
  <si>
    <t>145-1A</t>
  </si>
  <si>
    <t>0136-023</t>
  </si>
  <si>
    <t>144-1A</t>
  </si>
  <si>
    <t>149-1A</t>
  </si>
  <si>
    <t>154-1A</t>
  </si>
  <si>
    <t>0136-022</t>
  </si>
  <si>
    <t>167-1A</t>
  </si>
  <si>
    <t>0136-017</t>
  </si>
  <si>
    <t>147-3V</t>
  </si>
  <si>
    <t>133-7P</t>
  </si>
  <si>
    <t>133-6VC</t>
  </si>
  <si>
    <t>156-3A</t>
  </si>
  <si>
    <t>143-4A</t>
  </si>
  <si>
    <t>133-4V</t>
  </si>
  <si>
    <t>136-7VO</t>
  </si>
  <si>
    <t>136-6V</t>
  </si>
  <si>
    <t>0136-023/022/017</t>
  </si>
  <si>
    <t>136-10V</t>
  </si>
  <si>
    <t>136-5V</t>
  </si>
  <si>
    <t>120-5VC</t>
  </si>
  <si>
    <t>126-6V</t>
  </si>
  <si>
    <t>134-4V</t>
  </si>
  <si>
    <t>134-2P</t>
  </si>
  <si>
    <t>123-7VO</t>
  </si>
  <si>
    <t>145-5A</t>
  </si>
  <si>
    <t>123-3V</t>
  </si>
  <si>
    <t>171-1A</t>
  </si>
  <si>
    <t>178-1A</t>
  </si>
  <si>
    <t>138-5VC</t>
  </si>
  <si>
    <t>171-2P</t>
  </si>
  <si>
    <t>170-1A</t>
  </si>
  <si>
    <t>163-1A</t>
  </si>
  <si>
    <t>165-1A</t>
  </si>
  <si>
    <t>170-4A</t>
  </si>
  <si>
    <t>124-5VC</t>
  </si>
  <si>
    <t>112-4VO</t>
  </si>
  <si>
    <t>129-4V</t>
  </si>
  <si>
    <t>131-4V</t>
  </si>
  <si>
    <t>130-4V</t>
  </si>
  <si>
    <t>137-4V</t>
  </si>
  <si>
    <t>162-4P</t>
  </si>
  <si>
    <t>145-3V</t>
  </si>
  <si>
    <t>176-1A</t>
  </si>
  <si>
    <t>127-5V</t>
  </si>
  <si>
    <t>127-6V</t>
  </si>
  <si>
    <t>145-6A</t>
  </si>
  <si>
    <t>Axel</t>
  </si>
  <si>
    <t>Vallejo</t>
  </si>
  <si>
    <t>Caldez</t>
  </si>
  <si>
    <t>138-4V</t>
  </si>
  <si>
    <t>0793-</t>
  </si>
  <si>
    <t>0136-</t>
  </si>
  <si>
    <t>128-3VC</t>
  </si>
  <si>
    <t>159-2A</t>
  </si>
  <si>
    <t>158-5A</t>
  </si>
  <si>
    <t>158-2A</t>
  </si>
  <si>
    <t>167-4V</t>
  </si>
  <si>
    <t>167-2A</t>
  </si>
  <si>
    <t>177-2A</t>
  </si>
  <si>
    <t>0136-019</t>
  </si>
  <si>
    <t>149-2A</t>
  </si>
  <si>
    <t>132-7V</t>
  </si>
  <si>
    <t>146-2A</t>
  </si>
  <si>
    <t>135-2P</t>
  </si>
  <si>
    <t>145-2A</t>
  </si>
  <si>
    <t>144-2A</t>
  </si>
  <si>
    <t>0136-021/017/019/023/014</t>
  </si>
  <si>
    <t>154-2A</t>
  </si>
  <si>
    <t>166-2A</t>
  </si>
  <si>
    <t>160-2A</t>
  </si>
  <si>
    <t>135-4V</t>
  </si>
  <si>
    <t>135-5V</t>
  </si>
  <si>
    <t>135-3V</t>
  </si>
  <si>
    <t>145-4V</t>
  </si>
  <si>
    <t>146-4V</t>
  </si>
  <si>
    <t>147-5V</t>
  </si>
  <si>
    <t>134-3VC</t>
  </si>
  <si>
    <t>0136-017/023</t>
  </si>
  <si>
    <t xml:space="preserve">Adrian </t>
  </si>
  <si>
    <t>Sepulveda</t>
  </si>
  <si>
    <t>132-5V</t>
  </si>
  <si>
    <t>146-3V</t>
  </si>
  <si>
    <t>158-6V</t>
  </si>
  <si>
    <t>159-3V</t>
  </si>
  <si>
    <t>158-3V</t>
  </si>
  <si>
    <t>184-1A</t>
  </si>
  <si>
    <t>149-3V</t>
  </si>
  <si>
    <t>0136-020</t>
  </si>
  <si>
    <t>177-1A</t>
  </si>
  <si>
    <t>183-1A</t>
  </si>
  <si>
    <t>164-2P</t>
  </si>
  <si>
    <t>165-2P</t>
  </si>
  <si>
    <t>170-2P</t>
  </si>
  <si>
    <t>123-5V</t>
  </si>
  <si>
    <t>123-8V</t>
  </si>
  <si>
    <t>121-6V</t>
  </si>
  <si>
    <t>122-7V</t>
  </si>
  <si>
    <t>128-7V</t>
  </si>
  <si>
    <t>180-1A</t>
  </si>
  <si>
    <t>153-2A</t>
  </si>
  <si>
    <t>157-2A</t>
  </si>
  <si>
    <t>179-2A</t>
  </si>
  <si>
    <t>186-2A</t>
  </si>
  <si>
    <t>125-6V</t>
  </si>
  <si>
    <t>125-7VO</t>
  </si>
  <si>
    <t>120-6V</t>
  </si>
  <si>
    <t>120-7VO</t>
  </si>
  <si>
    <t>125-3VC</t>
  </si>
  <si>
    <t>121-7VO</t>
  </si>
  <si>
    <t>122-4VO</t>
  </si>
  <si>
    <t>119-12V</t>
  </si>
  <si>
    <t>119-3V</t>
  </si>
  <si>
    <t>134-5VO</t>
  </si>
  <si>
    <t>134-6V</t>
  </si>
  <si>
    <t>126-3VO</t>
  </si>
  <si>
    <t>126-7VO</t>
  </si>
  <si>
    <t>Villa</t>
  </si>
  <si>
    <t>0419-</t>
  </si>
  <si>
    <t>0669-</t>
  </si>
  <si>
    <t>0290-</t>
  </si>
  <si>
    <t>173-2A</t>
  </si>
  <si>
    <t>0647-001</t>
  </si>
  <si>
    <t>161-1A</t>
  </si>
  <si>
    <t>156-8V</t>
  </si>
  <si>
    <t>127-10VC</t>
  </si>
  <si>
    <t>133-5V</t>
  </si>
  <si>
    <t>135-7VO</t>
  </si>
  <si>
    <t>161-5V</t>
  </si>
  <si>
    <t>132-4V</t>
  </si>
  <si>
    <t>154-4V</t>
  </si>
  <si>
    <t>143-6V</t>
  </si>
  <si>
    <t>144-4V</t>
  </si>
  <si>
    <t>188-2A</t>
  </si>
  <si>
    <t>0647-002</t>
  </si>
  <si>
    <t>151-9V</t>
  </si>
  <si>
    <t>148-7V</t>
  </si>
  <si>
    <t>158-4V</t>
  </si>
  <si>
    <t>136-3V</t>
  </si>
  <si>
    <t>161-3v</t>
  </si>
  <si>
    <t>v</t>
  </si>
  <si>
    <t>153-4V</t>
  </si>
  <si>
    <t>160-4V</t>
  </si>
  <si>
    <t>159-4V</t>
  </si>
  <si>
    <t>148-3V</t>
  </si>
  <si>
    <t>157-4V</t>
  </si>
  <si>
    <t>0136-014/023/021/018</t>
  </si>
  <si>
    <t>Bruno</t>
  </si>
  <si>
    <t>Aguirre</t>
  </si>
  <si>
    <t>Maximiliano</t>
  </si>
  <si>
    <t>Aguilera</t>
  </si>
  <si>
    <t>Racedo</t>
  </si>
  <si>
    <t>Sebastian</t>
  </si>
  <si>
    <t>175-2A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</si>
</sst>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gray0625">
        <fgColor auto="1"/>
        <bgColor theme="6" tint="0.5999633777886288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gray0625">
        <bgColor theme="9" tint="0.39997558519241921"/>
      </patternFill>
    </fill>
    <fill>
      <patternFill patternType="gray0625">
        <bgColor theme="6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6" borderId="3">
      <alignment horizontal="left" vertical="center"/>
    </xf>
  </cellStyleXfs>
  <cellXfs count="138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0" fillId="0" borderId="2" xfId="0" applyBorder="1"/>
    <xf numFmtId="0" fontId="3" fillId="0" borderId="2" xfId="0" applyFont="1" applyBorder="1" applyAlignment="1" applyProtection="1">
      <alignment horizontal="center"/>
      <protection locked="0"/>
    </xf>
    <xf numFmtId="16" fontId="3" fillId="0" borderId="2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 vertical="center"/>
    </xf>
    <xf numFmtId="0" fontId="0" fillId="4" borderId="0" xfId="0" applyFill="1" applyProtection="1">
      <protection locked="0"/>
    </xf>
    <xf numFmtId="0" fontId="0" fillId="0" borderId="2" xfId="0" applyBorder="1" applyProtection="1">
      <protection locked="0"/>
    </xf>
    <xf numFmtId="16" fontId="3" fillId="0" borderId="2" xfId="0" applyNumberFormat="1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16" fontId="3" fillId="4" borderId="2" xfId="0" applyNumberFormat="1" applyFont="1" applyFill="1" applyBorder="1" applyAlignment="1" applyProtection="1">
      <alignment horizontal="center" vertical="center"/>
      <protection locked="0"/>
    </xf>
    <xf numFmtId="16" fontId="3" fillId="4" borderId="2" xfId="0" applyNumberFormat="1" applyFont="1" applyFill="1" applyBorder="1" applyAlignment="1" applyProtection="1">
      <alignment horizontal="center"/>
      <protection locked="0"/>
    </xf>
    <xf numFmtId="0" fontId="3" fillId="0" borderId="2" xfId="0" applyFont="1" applyBorder="1" applyProtection="1">
      <protection locked="0"/>
    </xf>
    <xf numFmtId="0" fontId="5" fillId="0" borderId="2" xfId="0" applyFont="1" applyBorder="1" applyAlignment="1" applyProtection="1">
      <alignment horizontal="center"/>
      <protection locked="0"/>
    </xf>
    <xf numFmtId="1" fontId="3" fillId="0" borderId="2" xfId="0" applyNumberFormat="1" applyFont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0" fillId="7" borderId="2" xfId="0" applyFill="1" applyBorder="1"/>
    <xf numFmtId="0" fontId="0" fillId="8" borderId="2" xfId="0" applyFill="1" applyBorder="1"/>
    <xf numFmtId="0" fontId="6" fillId="6" borderId="3" xfId="1">
      <alignment horizontal="left" vertical="center"/>
    </xf>
    <xf numFmtId="14" fontId="0" fillId="0" borderId="0" xfId="0" applyNumberFormat="1"/>
    <xf numFmtId="0" fontId="0" fillId="7" borderId="2" xfId="0" applyFill="1" applyBorder="1" applyProtection="1">
      <protection locked="0"/>
    </xf>
    <xf numFmtId="14" fontId="0" fillId="7" borderId="2" xfId="0" applyNumberFormat="1" applyFill="1" applyBorder="1" applyProtection="1">
      <protection locked="0"/>
    </xf>
    <xf numFmtId="0" fontId="0" fillId="5" borderId="2" xfId="0" applyFill="1" applyBorder="1" applyProtection="1">
      <protection locked="0"/>
    </xf>
    <xf numFmtId="0" fontId="6" fillId="6" borderId="3" xfId="1" applyProtection="1">
      <alignment horizontal="left"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164" fontId="0" fillId="0" borderId="2" xfId="0" applyNumberFormat="1" applyBorder="1"/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Protection="1">
      <protection locked="0"/>
    </xf>
    <xf numFmtId="0" fontId="0" fillId="5" borderId="2" xfId="0" applyFill="1" applyBorder="1"/>
    <xf numFmtId="0" fontId="0" fillId="5" borderId="2" xfId="0" applyFill="1" applyBorder="1" applyAlignment="1">
      <alignment wrapText="1"/>
    </xf>
    <xf numFmtId="1" fontId="0" fillId="0" borderId="0" xfId="0" applyNumberFormat="1"/>
    <xf numFmtId="0" fontId="0" fillId="5" borderId="0" xfId="0" applyFill="1" applyProtection="1">
      <protection locked="0"/>
    </xf>
    <xf numFmtId="14" fontId="0" fillId="0" borderId="0" xfId="0" applyNumberFormat="1" applyProtection="1">
      <protection locked="0"/>
    </xf>
    <xf numFmtId="14" fontId="0" fillId="5" borderId="2" xfId="0" applyNumberFormat="1" applyFill="1" applyBorder="1" applyProtection="1">
      <protection locked="0"/>
    </xf>
    <xf numFmtId="16" fontId="0" fillId="0" borderId="2" xfId="0" applyNumberFormat="1" applyBorder="1" applyProtection="1">
      <protection locked="0"/>
    </xf>
    <xf numFmtId="1" fontId="0" fillId="0" borderId="2" xfId="0" applyNumberFormat="1" applyBorder="1" applyProtection="1">
      <protection locked="0"/>
    </xf>
    <xf numFmtId="14" fontId="0" fillId="0" borderId="2" xfId="0" applyNumberFormat="1" applyBorder="1" applyProtection="1">
      <protection locked="0"/>
    </xf>
    <xf numFmtId="14" fontId="0" fillId="8" borderId="2" xfId="0" applyNumberFormat="1" applyFill="1" applyBorder="1" applyAlignment="1" applyProtection="1">
      <alignment horizontal="center"/>
      <protection locked="0"/>
    </xf>
    <xf numFmtId="0" fontId="0" fillId="8" borderId="2" xfId="0" applyFill="1" applyBorder="1" applyProtection="1">
      <protection locked="0"/>
    </xf>
    <xf numFmtId="0" fontId="7" fillId="8" borderId="2" xfId="0" applyFont="1" applyFill="1" applyBorder="1" applyProtection="1">
      <protection locked="0"/>
    </xf>
    <xf numFmtId="1" fontId="7" fillId="8" borderId="2" xfId="0" applyNumberFormat="1" applyFont="1" applyFill="1" applyBorder="1" applyProtection="1">
      <protection locked="0"/>
    </xf>
    <xf numFmtId="0" fontId="7" fillId="8" borderId="2" xfId="0" applyFont="1" applyFill="1" applyBorder="1" applyAlignment="1" applyProtection="1">
      <alignment wrapText="1"/>
      <protection locked="0"/>
    </xf>
    <xf numFmtId="0" fontId="7" fillId="9" borderId="2" xfId="0" applyFont="1" applyFill="1" applyBorder="1"/>
    <xf numFmtId="0" fontId="7" fillId="9" borderId="2" xfId="0" applyFont="1" applyFill="1" applyBorder="1" applyAlignment="1">
      <alignment wrapText="1"/>
    </xf>
    <xf numFmtId="1" fontId="0" fillId="8" borderId="0" xfId="0" applyNumberFormat="1" applyFill="1"/>
    <xf numFmtId="0" fontId="3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7" borderId="5" xfId="0" applyFill="1" applyBorder="1"/>
    <xf numFmtId="0" fontId="0" fillId="7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8" borderId="7" xfId="0" applyFill="1" applyBorder="1"/>
    <xf numFmtId="0" fontId="0" fillId="8" borderId="8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1" borderId="9" xfId="0" applyFill="1" applyBorder="1"/>
    <xf numFmtId="0" fontId="0" fillId="11" borderId="10" xfId="0" applyFill="1" applyBorder="1"/>
    <xf numFmtId="0" fontId="0" fillId="4" borderId="11" xfId="0" applyFill="1" applyBorder="1" applyProtection="1">
      <protection locked="0"/>
    </xf>
    <xf numFmtId="0" fontId="0" fillId="5" borderId="11" xfId="0" applyFill="1" applyBorder="1"/>
    <xf numFmtId="0" fontId="3" fillId="0" borderId="2" xfId="0" applyFont="1" applyBorder="1" applyAlignment="1">
      <alignment horizontal="center"/>
    </xf>
    <xf numFmtId="0" fontId="0" fillId="5" borderId="4" xfId="0" applyFill="1" applyBorder="1" applyAlignment="1" applyProtection="1">
      <alignment horizontal="center"/>
      <protection locked="0"/>
    </xf>
    <xf numFmtId="0" fontId="6" fillId="6" borderId="12" xfId="1" applyBorder="1">
      <alignment horizontal="left" vertical="center"/>
    </xf>
    <xf numFmtId="2" fontId="6" fillId="6" borderId="12" xfId="1" applyNumberFormat="1" applyBorder="1">
      <alignment horizontal="left" vertical="center"/>
    </xf>
    <xf numFmtId="0" fontId="0" fillId="5" borderId="13" xfId="0" applyFill="1" applyBorder="1" applyAlignment="1">
      <alignment horizontal="center" wrapText="1"/>
    </xf>
    <xf numFmtId="0" fontId="6" fillId="6" borderId="14" xfId="1" applyBorder="1">
      <alignment horizontal="left" vertical="center"/>
    </xf>
    <xf numFmtId="2" fontId="6" fillId="6" borderId="15" xfId="1" applyNumberFormat="1" applyBorder="1">
      <alignment horizontal="left" vertical="center"/>
    </xf>
    <xf numFmtId="0" fontId="0" fillId="8" borderId="16" xfId="0" applyFill="1" applyBorder="1" applyProtection="1">
      <protection locked="0"/>
    </xf>
    <xf numFmtId="0" fontId="7" fillId="12" borderId="2" xfId="0" applyFont="1" applyFill="1" applyBorder="1"/>
    <xf numFmtId="0" fontId="7" fillId="13" borderId="2" xfId="0" applyFont="1" applyFill="1" applyBorder="1"/>
    <xf numFmtId="0" fontId="7" fillId="12" borderId="11" xfId="0" applyFont="1" applyFill="1" applyBorder="1"/>
    <xf numFmtId="0" fontId="7" fillId="12" borderId="20" xfId="0" applyFont="1" applyFill="1" applyBorder="1"/>
    <xf numFmtId="0" fontId="7" fillId="12" borderId="21" xfId="0" applyFont="1" applyFill="1" applyBorder="1" applyAlignment="1">
      <alignment wrapText="1"/>
    </xf>
    <xf numFmtId="0" fontId="7" fillId="13" borderId="7" xfId="0" applyFont="1" applyFill="1" applyBorder="1"/>
    <xf numFmtId="2" fontId="7" fillId="13" borderId="8" xfId="0" applyNumberFormat="1" applyFont="1" applyFill="1" applyBorder="1" applyAlignment="1">
      <alignment wrapText="1"/>
    </xf>
    <xf numFmtId="0" fontId="7" fillId="12" borderId="7" xfId="0" applyFont="1" applyFill="1" applyBorder="1"/>
    <xf numFmtId="0" fontId="7" fillId="12" borderId="8" xfId="0" applyFont="1" applyFill="1" applyBorder="1"/>
    <xf numFmtId="0" fontId="7" fillId="13" borderId="9" xfId="0" applyFont="1" applyFill="1" applyBorder="1"/>
    <xf numFmtId="0" fontId="7" fillId="13" borderId="22" xfId="0" applyFont="1" applyFill="1" applyBorder="1"/>
    <xf numFmtId="2" fontId="7" fillId="13" borderId="10" xfId="0" applyNumberFormat="1" applyFont="1" applyFill="1" applyBorder="1" applyAlignment="1">
      <alignment wrapText="1"/>
    </xf>
    <xf numFmtId="0" fontId="0" fillId="14" borderId="0" xfId="0" applyFill="1" applyAlignment="1">
      <alignment horizontal="center" wrapText="1"/>
    </xf>
    <xf numFmtId="2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2" fontId="0" fillId="15" borderId="0" xfId="0" applyNumberFormat="1" applyFill="1" applyAlignment="1">
      <alignment horizontal="center" wrapText="1"/>
    </xf>
    <xf numFmtId="2" fontId="0" fillId="15" borderId="0" xfId="0" applyNumberFormat="1" applyFill="1" applyAlignment="1">
      <alignment horizontal="center"/>
    </xf>
    <xf numFmtId="0" fontId="6" fillId="6" borderId="24" xfId="1" applyBorder="1">
      <alignment horizontal="left" vertical="center"/>
    </xf>
    <xf numFmtId="0" fontId="6" fillId="6" borderId="25" xfId="1" applyBorder="1" applyAlignment="1">
      <alignment horizontal="left" vertical="center" wrapText="1"/>
    </xf>
    <xf numFmtId="0" fontId="6" fillId="6" borderId="26" xfId="1" applyBorder="1" applyProtection="1">
      <alignment horizontal="left" vertical="center"/>
      <protection locked="0"/>
    </xf>
    <xf numFmtId="0" fontId="6" fillId="6" borderId="14" xfId="1" applyBorder="1" applyProtection="1">
      <alignment horizontal="left" vertical="center"/>
      <protection locked="0"/>
    </xf>
    <xf numFmtId="0" fontId="6" fillId="6" borderId="12" xfId="1" applyBorder="1" applyProtection="1">
      <alignment horizontal="left" vertical="center"/>
      <protection locked="0"/>
    </xf>
    <xf numFmtId="0" fontId="6" fillId="6" borderId="27" xfId="1" applyBorder="1" applyProtection="1">
      <alignment horizontal="left" vertical="center"/>
      <protection locked="0"/>
    </xf>
    <xf numFmtId="0" fontId="6" fillId="6" borderId="17" xfId="1" applyBorder="1" applyProtection="1">
      <alignment horizontal="left" vertical="center"/>
      <protection locked="0"/>
    </xf>
    <xf numFmtId="0" fontId="6" fillId="6" borderId="18" xfId="1" applyBorder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0" fillId="5" borderId="13" xfId="0" applyFill="1" applyBorder="1" applyProtection="1">
      <protection locked="0"/>
    </xf>
    <xf numFmtId="0" fontId="6" fillId="6" borderId="15" xfId="1" applyBorder="1" applyProtection="1">
      <alignment horizontal="left" vertical="center"/>
      <protection locked="0"/>
    </xf>
    <xf numFmtId="0" fontId="6" fillId="6" borderId="28" xfId="1" applyBorder="1" applyProtection="1">
      <alignment horizontal="left" vertical="center"/>
      <protection locked="0"/>
    </xf>
    <xf numFmtId="0" fontId="0" fillId="5" borderId="29" xfId="0" applyFill="1" applyBorder="1" applyProtection="1">
      <protection locked="0"/>
    </xf>
    <xf numFmtId="0" fontId="0" fillId="7" borderId="30" xfId="0" applyFill="1" applyBorder="1"/>
    <xf numFmtId="0" fontId="0" fillId="5" borderId="31" xfId="0" applyFill="1" applyBorder="1"/>
    <xf numFmtId="0" fontId="6" fillId="6" borderId="32" xfId="1" applyBorder="1">
      <alignment horizontal="left" vertical="center"/>
    </xf>
    <xf numFmtId="0" fontId="6" fillId="6" borderId="33" xfId="1" applyBorder="1">
      <alignment horizontal="left" vertical="center"/>
    </xf>
    <xf numFmtId="0" fontId="0" fillId="0" borderId="34" xfId="0" applyBorder="1" applyAlignment="1">
      <alignment horizontal="center"/>
    </xf>
    <xf numFmtId="0" fontId="6" fillId="6" borderId="34" xfId="1" applyBorder="1">
      <alignment horizontal="left" vertical="center"/>
    </xf>
    <xf numFmtId="0" fontId="6" fillId="6" borderId="26" xfId="1" applyBorder="1">
      <alignment horizontal="left" vertical="center"/>
    </xf>
    <xf numFmtId="0" fontId="6" fillId="6" borderId="35" xfId="1" applyBorder="1">
      <alignment horizontal="left" vertical="center"/>
    </xf>
    <xf numFmtId="0" fontId="0" fillId="2" borderId="0" xfId="0" applyFill="1"/>
    <xf numFmtId="1" fontId="0" fillId="0" borderId="0" xfId="0" applyNumberFormat="1" applyProtection="1">
      <protection locked="0"/>
    </xf>
    <xf numFmtId="1" fontId="0" fillId="8" borderId="0" xfId="0" applyNumberFormat="1" applyFill="1" applyProtection="1">
      <protection locked="0"/>
    </xf>
    <xf numFmtId="0" fontId="8" fillId="0" borderId="2" xfId="0" applyFont="1" applyBorder="1" applyProtection="1">
      <protection locked="0"/>
    </xf>
    <xf numFmtId="0" fontId="6" fillId="6" borderId="23" xfId="1" applyBorder="1" applyProtection="1">
      <alignment horizontal="left" vertical="center"/>
      <protection locked="0"/>
    </xf>
    <xf numFmtId="0" fontId="0" fillId="8" borderId="0" xfId="0" applyFill="1"/>
    <xf numFmtId="21" fontId="0" fillId="0" borderId="2" xfId="0" applyNumberFormat="1" applyBorder="1"/>
    <xf numFmtId="20" fontId="0" fillId="0" borderId="2" xfId="0" applyNumberFormat="1" applyBorder="1"/>
    <xf numFmtId="0" fontId="0" fillId="0" borderId="23" xfId="0" applyBorder="1" applyProtection="1">
      <protection locked="0"/>
    </xf>
    <xf numFmtId="1" fontId="0" fillId="8" borderId="0" xfId="0" applyNumberFormat="1" applyFill="1" applyAlignment="1" applyProtection="1">
      <alignment horizontal="center"/>
      <protection locked="0"/>
    </xf>
    <xf numFmtId="14" fontId="0" fillId="5" borderId="2" xfId="0" applyNumberFormat="1" applyFill="1" applyBorder="1" applyAlignment="1" applyProtection="1">
      <alignment horizontal="center"/>
      <protection locked="0"/>
    </xf>
    <xf numFmtId="0" fontId="0" fillId="5" borderId="0" xfId="0" applyFill="1"/>
    <xf numFmtId="0" fontId="0" fillId="3" borderId="17" xfId="0" applyFill="1" applyBorder="1"/>
    <xf numFmtId="2" fontId="0" fillId="3" borderId="19" xfId="0" applyNumberFormat="1" applyFill="1" applyBorder="1"/>
    <xf numFmtId="14" fontId="3" fillId="0" borderId="2" xfId="0" applyNumberFormat="1" applyFont="1" applyBorder="1" applyAlignment="1" applyProtection="1">
      <alignment horizontal="center"/>
      <protection locked="0"/>
    </xf>
    <xf numFmtId="0" fontId="6" fillId="6" borderId="32" xfId="1" applyBorder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" fillId="6" borderId="36" xfId="1" applyBorder="1" applyAlignment="1">
      <alignment horizontal="center" vertical="center"/>
    </xf>
    <xf numFmtId="0" fontId="6" fillId="6" borderId="37" xfId="1" applyBorder="1" applyAlignment="1">
      <alignment horizontal="center" vertical="center"/>
    </xf>
    <xf numFmtId="0" fontId="6" fillId="6" borderId="18" xfId="1" applyBorder="1" applyAlignment="1">
      <alignment horizontal="center" vertical="center"/>
    </xf>
    <xf numFmtId="0" fontId="6" fillId="6" borderId="19" xfId="1" applyBorder="1" applyAlignment="1">
      <alignment horizontal="center" vertical="center"/>
    </xf>
    <xf numFmtId="0" fontId="6" fillId="6" borderId="17" xfId="1" applyBorder="1" applyAlignment="1" applyProtection="1">
      <alignment horizontal="center" vertical="center"/>
      <protection locked="0"/>
    </xf>
    <xf numFmtId="0" fontId="6" fillId="6" borderId="18" xfId="1" applyBorder="1" applyAlignment="1" applyProtection="1">
      <alignment horizontal="center" vertical="center"/>
      <protection locked="0"/>
    </xf>
    <xf numFmtId="0" fontId="6" fillId="6" borderId="17" xfId="1" applyBorder="1" applyAlignment="1" applyProtection="1">
      <alignment horizontal="center" vertical="center" shrinkToFit="1"/>
      <protection locked="0"/>
    </xf>
    <xf numFmtId="0" fontId="6" fillId="6" borderId="19" xfId="1" applyBorder="1" applyAlignment="1" applyProtection="1">
      <alignment horizontal="center" vertical="center" shrinkToFit="1"/>
      <protection locked="0"/>
    </xf>
  </cellXfs>
  <cellStyles count="2">
    <cellStyle name="Estilo para celdas" xfId="1" xr:uid="{8D2231B9-DFEC-4EC3-AD0A-E4037E4486EB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hinchet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180000"/>
                <a:lumMod val="100000"/>
              </a:schemeClr>
            </a:gs>
            <a:gs pos="40000">
              <a:schemeClr val="phClr">
                <a:tint val="60000"/>
                <a:satMod val="130000"/>
                <a:lumMod val="100000"/>
              </a:schemeClr>
            </a:gs>
            <a:gs pos="100000">
              <a:schemeClr val="phClr">
                <a:tint val="96000"/>
                <a:lumMod val="108000"/>
              </a:schemeClr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>
                <a:shade val="76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>
              <a:shade val="80000"/>
              <a:lumMod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38100" dir="4800000" sx="98000" sy="98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38100" dist="38100" dir="4800000" sx="96000" sy="96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3240000"/>
            </a:lightRig>
          </a:scene3d>
          <a:sp3d>
            <a:bevelT w="28575" h="28575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2" tint="-0.749992370372631"/>
    <pageSetUpPr fitToPage="1"/>
  </sheetPr>
  <dimension ref="A1:V3800"/>
  <sheetViews>
    <sheetView tabSelected="1" zoomScaleNormal="100" zoomScaleSheetLayoutView="75" workbookViewId="0">
      <pane ySplit="1" topLeftCell="A2" activePane="bottomLeft" state="frozen"/>
      <selection activeCell="F70" sqref="F70"/>
      <selection pane="bottomLeft" activeCell="L2" sqref="L2"/>
    </sheetView>
  </sheetViews>
  <sheetFormatPr baseColWidth="10" defaultColWidth="9.140625" defaultRowHeight="15.75" x14ac:dyDescent="0.25"/>
  <cols>
    <col min="1" max="1" width="11.7109375" style="5" bestFit="1" customWidth="1"/>
    <col min="2" max="2" width="11.7109375" style="5" customWidth="1"/>
    <col min="3" max="3" width="13.42578125" style="5" bestFit="1" customWidth="1"/>
    <col min="4" max="4" width="12.140625" style="5" bestFit="1" customWidth="1"/>
    <col min="5" max="5" width="12.5703125" style="5" customWidth="1"/>
    <col min="6" max="6" width="12.85546875" style="5" customWidth="1"/>
    <col min="7" max="7" width="10.28515625" style="5" bestFit="1" customWidth="1"/>
    <col min="8" max="8" width="12.28515625" style="5" customWidth="1"/>
    <col min="9" max="9" width="15.42578125" style="5" customWidth="1"/>
    <col min="10" max="10" width="10.5703125" style="13" bestFit="1" customWidth="1"/>
    <col min="11" max="11" width="9.140625" style="13"/>
    <col min="12" max="14" width="9.140625" style="1"/>
    <col min="15" max="15" width="6" style="1" bestFit="1" customWidth="1"/>
    <col min="16" max="16" width="9.28515625" bestFit="1" customWidth="1"/>
    <col min="17" max="17" width="9.140625" style="1"/>
    <col min="22" max="22" width="14.7109375" bestFit="1" customWidth="1"/>
    <col min="23" max="16384" width="9.140625" style="1"/>
  </cols>
  <sheetData>
    <row r="1" spans="1:22" ht="42" customHeight="1" x14ac:dyDescent="0.25">
      <c r="A1" s="7" t="s">
        <v>7</v>
      </c>
      <c r="B1" s="8" t="s">
        <v>19</v>
      </c>
      <c r="C1" s="9" t="s">
        <v>18</v>
      </c>
      <c r="D1" s="9" t="s">
        <v>4</v>
      </c>
      <c r="E1" s="8" t="s">
        <v>1</v>
      </c>
      <c r="F1" s="8" t="s">
        <v>0</v>
      </c>
      <c r="G1" s="8" t="s">
        <v>9</v>
      </c>
      <c r="H1" s="8" t="s">
        <v>2</v>
      </c>
      <c r="I1" s="8" t="s">
        <v>14</v>
      </c>
      <c r="J1" s="8" t="s">
        <v>69</v>
      </c>
      <c r="L1" s="2" t="s">
        <v>188</v>
      </c>
      <c r="Q1" s="124" t="s">
        <v>68</v>
      </c>
    </row>
    <row r="2" spans="1:22" x14ac:dyDescent="0.25">
      <c r="A2" s="5" t="s">
        <v>88</v>
      </c>
      <c r="B2" s="5">
        <v>1</v>
      </c>
      <c r="C2" s="17">
        <v>46106</v>
      </c>
      <c r="D2" s="16">
        <v>46097</v>
      </c>
      <c r="E2" s="15" t="s">
        <v>16</v>
      </c>
      <c r="F2" s="15" t="s">
        <v>89</v>
      </c>
      <c r="G2" s="15" t="s">
        <v>12</v>
      </c>
      <c r="H2" s="15">
        <v>29</v>
      </c>
      <c r="I2" s="4" t="s">
        <v>186</v>
      </c>
      <c r="J2" s="4" t="s">
        <v>73</v>
      </c>
      <c r="L2" s="12"/>
      <c r="P2" s="100" t="s">
        <v>501</v>
      </c>
      <c r="Q2" s="124" t="s">
        <v>76</v>
      </c>
      <c r="R2" t="s">
        <v>68</v>
      </c>
      <c r="S2">
        <v>1</v>
      </c>
      <c r="T2" t="s">
        <v>12</v>
      </c>
      <c r="U2" t="s">
        <v>15</v>
      </c>
    </row>
    <row r="3" spans="1:22" x14ac:dyDescent="0.25">
      <c r="A3" s="5" t="s">
        <v>90</v>
      </c>
      <c r="B3" s="5">
        <v>1</v>
      </c>
      <c r="C3" s="17">
        <v>46106</v>
      </c>
      <c r="D3" s="16">
        <v>46097</v>
      </c>
      <c r="E3" s="15" t="s">
        <v>16</v>
      </c>
      <c r="F3" s="15" t="s">
        <v>89</v>
      </c>
      <c r="G3" s="7" t="s">
        <v>12</v>
      </c>
      <c r="H3" s="7">
        <v>40</v>
      </c>
      <c r="I3" s="4" t="s">
        <v>186</v>
      </c>
      <c r="J3" s="4" t="s">
        <v>73</v>
      </c>
      <c r="L3" s="12"/>
      <c r="P3" s="100" t="s">
        <v>502</v>
      </c>
      <c r="Q3" s="124" t="s">
        <v>77</v>
      </c>
      <c r="R3" t="s">
        <v>76</v>
      </c>
      <c r="S3">
        <v>2</v>
      </c>
      <c r="T3" t="s">
        <v>13</v>
      </c>
      <c r="U3" t="s">
        <v>8</v>
      </c>
    </row>
    <row r="4" spans="1:22" x14ac:dyDescent="0.25">
      <c r="A4" s="5" t="s">
        <v>91</v>
      </c>
      <c r="B4" s="5">
        <v>1</v>
      </c>
      <c r="C4" s="17">
        <v>46106</v>
      </c>
      <c r="D4" s="16">
        <v>46097</v>
      </c>
      <c r="E4" s="15" t="s">
        <v>16</v>
      </c>
      <c r="F4" s="15" t="s">
        <v>89</v>
      </c>
      <c r="G4" s="15" t="s">
        <v>12</v>
      </c>
      <c r="H4" s="15">
        <v>20</v>
      </c>
      <c r="I4" s="4" t="s">
        <v>186</v>
      </c>
      <c r="J4" s="4" t="s">
        <v>73</v>
      </c>
      <c r="L4" s="12"/>
      <c r="P4" s="100" t="s">
        <v>511</v>
      </c>
      <c r="Q4" s="124" t="s">
        <v>78</v>
      </c>
      <c r="R4" t="s">
        <v>77</v>
      </c>
      <c r="T4" t="s">
        <v>13</v>
      </c>
      <c r="U4" t="s">
        <v>16</v>
      </c>
    </row>
    <row r="5" spans="1:22" x14ac:dyDescent="0.25">
      <c r="A5" s="5" t="s">
        <v>92</v>
      </c>
      <c r="B5" s="5">
        <v>1</v>
      </c>
      <c r="C5" s="17">
        <v>46106</v>
      </c>
      <c r="D5" s="16">
        <v>46097</v>
      </c>
      <c r="E5" s="15" t="s">
        <v>16</v>
      </c>
      <c r="F5" s="15" t="s">
        <v>89</v>
      </c>
      <c r="G5" s="15" t="s">
        <v>12</v>
      </c>
      <c r="H5" s="7">
        <v>30</v>
      </c>
      <c r="I5" s="4" t="s">
        <v>186</v>
      </c>
      <c r="J5" s="4" t="s">
        <v>73</v>
      </c>
      <c r="P5" s="100" t="s">
        <v>516</v>
      </c>
      <c r="Q5" s="124" t="s">
        <v>79</v>
      </c>
      <c r="R5" t="s">
        <v>78</v>
      </c>
      <c r="T5" t="s">
        <v>17</v>
      </c>
    </row>
    <row r="6" spans="1:22" x14ac:dyDescent="0.25">
      <c r="A6" s="5" t="s">
        <v>93</v>
      </c>
      <c r="B6" s="5">
        <v>1</v>
      </c>
      <c r="C6" s="17">
        <v>46106</v>
      </c>
      <c r="D6" s="16">
        <v>46098</v>
      </c>
      <c r="E6" s="15" t="s">
        <v>16</v>
      </c>
      <c r="F6" s="15" t="s">
        <v>89</v>
      </c>
      <c r="G6" s="7" t="s">
        <v>12</v>
      </c>
      <c r="H6" s="7">
        <v>5</v>
      </c>
      <c r="I6" s="4" t="s">
        <v>186</v>
      </c>
      <c r="J6" s="4" t="s">
        <v>73</v>
      </c>
      <c r="P6" s="100" t="s">
        <v>524</v>
      </c>
      <c r="Q6" s="124" t="s">
        <v>80</v>
      </c>
      <c r="R6" t="s">
        <v>79</v>
      </c>
      <c r="T6" t="s">
        <v>10</v>
      </c>
    </row>
    <row r="7" spans="1:22" x14ac:dyDescent="0.25">
      <c r="A7" s="5" t="s">
        <v>95</v>
      </c>
      <c r="B7" s="5">
        <v>1</v>
      </c>
      <c r="C7" s="17">
        <v>46106</v>
      </c>
      <c r="D7" s="16">
        <v>46097</v>
      </c>
      <c r="E7" s="15" t="s">
        <v>16</v>
      </c>
      <c r="F7" s="15" t="s">
        <v>89</v>
      </c>
      <c r="G7" s="5" t="s">
        <v>12</v>
      </c>
      <c r="H7" s="15">
        <v>10</v>
      </c>
      <c r="I7" s="4" t="s">
        <v>186</v>
      </c>
      <c r="J7" s="4" t="s">
        <v>73</v>
      </c>
      <c r="P7" s="100" t="s">
        <v>525</v>
      </c>
      <c r="Q7" s="124" t="s">
        <v>48</v>
      </c>
      <c r="R7" t="s">
        <v>80</v>
      </c>
      <c r="T7" t="s">
        <v>11</v>
      </c>
    </row>
    <row r="8" spans="1:22" ht="19.5" customHeight="1" x14ac:dyDescent="0.25">
      <c r="A8" s="5" t="s">
        <v>94</v>
      </c>
      <c r="B8" s="5">
        <v>1</v>
      </c>
      <c r="C8" s="17">
        <v>46106</v>
      </c>
      <c r="D8" s="16">
        <v>46097</v>
      </c>
      <c r="E8" s="15" t="s">
        <v>16</v>
      </c>
      <c r="F8" s="15" t="s">
        <v>89</v>
      </c>
      <c r="G8" s="15" t="s">
        <v>12</v>
      </c>
      <c r="H8" s="15">
        <v>29</v>
      </c>
      <c r="I8" s="4" t="s">
        <v>186</v>
      </c>
      <c r="J8" s="4" t="s">
        <v>73</v>
      </c>
      <c r="P8" s="100" t="s">
        <v>526</v>
      </c>
      <c r="Q8" s="124" t="s">
        <v>73</v>
      </c>
      <c r="R8" t="s">
        <v>48</v>
      </c>
      <c r="V8" t="s">
        <v>67</v>
      </c>
    </row>
    <row r="9" spans="1:22" ht="19.5" customHeight="1" x14ac:dyDescent="0.25">
      <c r="A9" s="5" t="s">
        <v>145</v>
      </c>
      <c r="B9" s="5">
        <v>1</v>
      </c>
      <c r="C9" s="17">
        <v>46107</v>
      </c>
      <c r="D9" s="16">
        <v>46097</v>
      </c>
      <c r="E9" s="15" t="s">
        <v>16</v>
      </c>
      <c r="F9" s="15" t="s">
        <v>89</v>
      </c>
      <c r="G9" s="7" t="s">
        <v>12</v>
      </c>
      <c r="H9" s="7">
        <v>34</v>
      </c>
      <c r="I9" s="4" t="s">
        <v>186</v>
      </c>
      <c r="J9" s="4" t="s">
        <v>73</v>
      </c>
      <c r="P9" s="100" t="s">
        <v>528</v>
      </c>
      <c r="Q9" s="124" t="s">
        <v>74</v>
      </c>
      <c r="R9" t="s">
        <v>73</v>
      </c>
      <c r="V9" t="s">
        <v>20</v>
      </c>
    </row>
    <row r="10" spans="1:22" ht="19.5" customHeight="1" x14ac:dyDescent="0.25">
      <c r="A10" s="5" t="s">
        <v>146</v>
      </c>
      <c r="B10" s="5">
        <v>1</v>
      </c>
      <c r="C10" s="17">
        <v>46107</v>
      </c>
      <c r="D10" s="16">
        <v>46098</v>
      </c>
      <c r="E10" s="15" t="s">
        <v>16</v>
      </c>
      <c r="F10" s="15" t="s">
        <v>89</v>
      </c>
      <c r="G10" s="15" t="s">
        <v>12</v>
      </c>
      <c r="H10" s="7">
        <v>30</v>
      </c>
      <c r="I10" s="4" t="s">
        <v>186</v>
      </c>
      <c r="J10" s="4" t="s">
        <v>73</v>
      </c>
      <c r="P10" s="100" t="s">
        <v>529</v>
      </c>
      <c r="Q10" s="124" t="s">
        <v>75</v>
      </c>
      <c r="R10" t="s">
        <v>74</v>
      </c>
      <c r="V10" t="s">
        <v>21</v>
      </c>
    </row>
    <row r="11" spans="1:22" ht="19.5" customHeight="1" x14ac:dyDescent="0.25">
      <c r="A11" s="5" t="s">
        <v>147</v>
      </c>
      <c r="B11" s="5">
        <v>1</v>
      </c>
      <c r="C11" s="17">
        <v>46107</v>
      </c>
      <c r="D11" s="16">
        <v>46098</v>
      </c>
      <c r="E11" s="15" t="s">
        <v>16</v>
      </c>
      <c r="F11" s="15" t="s">
        <v>89</v>
      </c>
      <c r="G11" s="7" t="s">
        <v>12</v>
      </c>
      <c r="H11" s="7">
        <v>17</v>
      </c>
      <c r="I11" s="4" t="s">
        <v>186</v>
      </c>
      <c r="J11" s="4" t="s">
        <v>73</v>
      </c>
      <c r="P11" s="100" t="s">
        <v>530</v>
      </c>
      <c r="Q11" s="124" t="s">
        <v>81</v>
      </c>
      <c r="R11" t="s">
        <v>75</v>
      </c>
      <c r="V11" t="s">
        <v>22</v>
      </c>
    </row>
    <row r="12" spans="1:22" ht="19.5" customHeight="1" x14ac:dyDescent="0.25">
      <c r="A12" s="5" t="s">
        <v>148</v>
      </c>
      <c r="B12" s="5">
        <v>1</v>
      </c>
      <c r="C12" s="17">
        <v>46107</v>
      </c>
      <c r="D12" s="16">
        <v>46098</v>
      </c>
      <c r="E12" s="15" t="s">
        <v>16</v>
      </c>
      <c r="F12" s="15" t="s">
        <v>89</v>
      </c>
      <c r="G12" s="15" t="s">
        <v>12</v>
      </c>
      <c r="H12" s="7">
        <v>12</v>
      </c>
      <c r="I12" s="4" t="s">
        <v>186</v>
      </c>
      <c r="J12" s="4" t="s">
        <v>73</v>
      </c>
      <c r="P12" s="100" t="s">
        <v>531</v>
      </c>
      <c r="Q12" s="124" t="s">
        <v>72</v>
      </c>
      <c r="R12" t="s">
        <v>81</v>
      </c>
    </row>
    <row r="13" spans="1:22" ht="19.5" customHeight="1" x14ac:dyDescent="0.25">
      <c r="A13" s="5" t="s">
        <v>149</v>
      </c>
      <c r="B13" s="7">
        <v>1</v>
      </c>
      <c r="C13" s="17">
        <v>46107</v>
      </c>
      <c r="D13" s="16">
        <v>46098</v>
      </c>
      <c r="E13" s="15" t="s">
        <v>16</v>
      </c>
      <c r="F13" s="15" t="s">
        <v>89</v>
      </c>
      <c r="G13" s="7" t="s">
        <v>12</v>
      </c>
      <c r="H13" s="7">
        <v>30</v>
      </c>
      <c r="I13" s="4" t="s">
        <v>186</v>
      </c>
      <c r="J13" s="4" t="s">
        <v>73</v>
      </c>
      <c r="P13" s="100" t="s">
        <v>532</v>
      </c>
      <c r="Q13" s="124" t="s">
        <v>70</v>
      </c>
      <c r="R13" t="s">
        <v>72</v>
      </c>
    </row>
    <row r="14" spans="1:22" ht="19.5" customHeight="1" x14ac:dyDescent="0.25">
      <c r="A14" s="5" t="s">
        <v>150</v>
      </c>
      <c r="B14" s="15">
        <v>1</v>
      </c>
      <c r="C14" s="17">
        <v>46107</v>
      </c>
      <c r="D14" s="16">
        <v>46097</v>
      </c>
      <c r="E14" s="15" t="s">
        <v>16</v>
      </c>
      <c r="F14" s="15" t="s">
        <v>89</v>
      </c>
      <c r="G14" s="15" t="s">
        <v>12</v>
      </c>
      <c r="H14" s="15">
        <v>32</v>
      </c>
      <c r="I14" s="4" t="s">
        <v>186</v>
      </c>
      <c r="J14" s="4" t="s">
        <v>73</v>
      </c>
      <c r="P14" s="100" t="s">
        <v>533</v>
      </c>
      <c r="Q14" s="124" t="s">
        <v>71</v>
      </c>
      <c r="R14" t="s">
        <v>70</v>
      </c>
    </row>
    <row r="15" spans="1:22" ht="19.5" customHeight="1" x14ac:dyDescent="0.25">
      <c r="A15" s="5" t="s">
        <v>151</v>
      </c>
      <c r="B15" s="15">
        <v>1</v>
      </c>
      <c r="C15" s="17">
        <v>46107</v>
      </c>
      <c r="D15" s="16">
        <v>46098</v>
      </c>
      <c r="E15" s="15" t="s">
        <v>16</v>
      </c>
      <c r="F15" s="15" t="s">
        <v>89</v>
      </c>
      <c r="G15" s="7" t="s">
        <v>12</v>
      </c>
      <c r="H15" s="15">
        <v>25</v>
      </c>
      <c r="I15" s="4" t="s">
        <v>186</v>
      </c>
      <c r="J15" s="4" t="s">
        <v>73</v>
      </c>
      <c r="P15" s="100" t="s">
        <v>534</v>
      </c>
      <c r="Q15" s="124" t="s">
        <v>70</v>
      </c>
      <c r="R15" t="s">
        <v>71</v>
      </c>
    </row>
    <row r="16" spans="1:22" ht="19.5" customHeight="1" x14ac:dyDescent="0.25">
      <c r="A16" s="5" t="s">
        <v>152</v>
      </c>
      <c r="B16" s="15">
        <v>1</v>
      </c>
      <c r="C16" s="17">
        <v>46107</v>
      </c>
      <c r="D16" s="16">
        <v>46098</v>
      </c>
      <c r="E16" s="15" t="s">
        <v>16</v>
      </c>
      <c r="F16" s="15" t="s">
        <v>89</v>
      </c>
      <c r="G16" s="15" t="s">
        <v>12</v>
      </c>
      <c r="H16" s="15">
        <v>4</v>
      </c>
      <c r="I16" s="4" t="s">
        <v>186</v>
      </c>
      <c r="J16" s="4" t="s">
        <v>73</v>
      </c>
      <c r="P16" s="100" t="s">
        <v>535</v>
      </c>
      <c r="Q16" s="124" t="s">
        <v>71</v>
      </c>
    </row>
    <row r="17" spans="1:16" ht="19.5" customHeight="1" x14ac:dyDescent="0.25">
      <c r="A17" s="5" t="s">
        <v>153</v>
      </c>
      <c r="B17" s="15">
        <v>1</v>
      </c>
      <c r="C17" s="17">
        <v>46107</v>
      </c>
      <c r="D17" s="16">
        <v>46098</v>
      </c>
      <c r="E17" s="15" t="s">
        <v>16</v>
      </c>
      <c r="F17" s="15" t="s">
        <v>89</v>
      </c>
      <c r="G17" s="7" t="s">
        <v>12</v>
      </c>
      <c r="H17" s="15">
        <v>13</v>
      </c>
      <c r="I17" s="4" t="s">
        <v>186</v>
      </c>
      <c r="J17" s="4" t="s">
        <v>73</v>
      </c>
      <c r="P17" s="100" t="s">
        <v>536</v>
      </c>
    </row>
    <row r="18" spans="1:16" ht="19.5" customHeight="1" x14ac:dyDescent="0.25">
      <c r="A18" s="5" t="s">
        <v>154</v>
      </c>
      <c r="B18" s="7">
        <v>1</v>
      </c>
      <c r="C18" s="14">
        <v>46107</v>
      </c>
      <c r="D18" s="16">
        <v>46098</v>
      </c>
      <c r="E18" s="15" t="s">
        <v>16</v>
      </c>
      <c r="F18" s="15" t="s">
        <v>89</v>
      </c>
      <c r="G18" s="15" t="s">
        <v>12</v>
      </c>
      <c r="H18" s="7">
        <v>30</v>
      </c>
      <c r="I18" s="4" t="s">
        <v>186</v>
      </c>
      <c r="J18" s="4" t="s">
        <v>73</v>
      </c>
      <c r="P18" s="100" t="s">
        <v>537</v>
      </c>
    </row>
    <row r="19" spans="1:16" ht="19.5" customHeight="1" x14ac:dyDescent="0.25">
      <c r="A19" s="5" t="s">
        <v>155</v>
      </c>
      <c r="B19" s="7">
        <v>1</v>
      </c>
      <c r="C19" s="17">
        <v>46107</v>
      </c>
      <c r="D19" s="16">
        <v>46098</v>
      </c>
      <c r="E19" s="15" t="s">
        <v>16</v>
      </c>
      <c r="F19" s="15" t="s">
        <v>89</v>
      </c>
      <c r="G19" s="7" t="s">
        <v>12</v>
      </c>
      <c r="H19" s="7">
        <v>7</v>
      </c>
      <c r="I19" s="4" t="s">
        <v>186</v>
      </c>
      <c r="J19" s="4" t="s">
        <v>73</v>
      </c>
      <c r="P19" s="100" t="s">
        <v>538</v>
      </c>
    </row>
    <row r="20" spans="1:16" ht="19.5" customHeight="1" x14ac:dyDescent="0.25">
      <c r="A20" s="5" t="s">
        <v>156</v>
      </c>
      <c r="B20" s="7">
        <v>1</v>
      </c>
      <c r="C20" s="14">
        <v>46107</v>
      </c>
      <c r="D20" s="16">
        <v>46098</v>
      </c>
      <c r="E20" s="15" t="s">
        <v>16</v>
      </c>
      <c r="F20" s="15" t="s">
        <v>89</v>
      </c>
      <c r="G20" s="7" t="s">
        <v>12</v>
      </c>
      <c r="H20" s="7">
        <v>30</v>
      </c>
      <c r="I20" s="4" t="s">
        <v>186</v>
      </c>
      <c r="J20" s="4" t="s">
        <v>73</v>
      </c>
      <c r="P20" s="100" t="s">
        <v>539</v>
      </c>
    </row>
    <row r="21" spans="1:16" ht="19.5" customHeight="1" x14ac:dyDescent="0.25">
      <c r="A21" s="5" t="s">
        <v>158</v>
      </c>
      <c r="B21" s="7">
        <v>1</v>
      </c>
      <c r="C21" s="14">
        <v>46108</v>
      </c>
      <c r="D21" s="16">
        <v>46098</v>
      </c>
      <c r="E21" s="15" t="s">
        <v>16</v>
      </c>
      <c r="F21" s="15" t="s">
        <v>89</v>
      </c>
      <c r="G21" s="7" t="s">
        <v>12</v>
      </c>
      <c r="H21" s="7">
        <v>33</v>
      </c>
      <c r="I21" s="4" t="s">
        <v>186</v>
      </c>
      <c r="J21" s="4" t="s">
        <v>73</v>
      </c>
      <c r="P21" s="100" t="s">
        <v>540</v>
      </c>
    </row>
    <row r="22" spans="1:16" ht="19.5" customHeight="1" x14ac:dyDescent="0.25">
      <c r="A22" s="5" t="s">
        <v>159</v>
      </c>
      <c r="B22" s="7">
        <v>1</v>
      </c>
      <c r="C22" s="14">
        <v>46108</v>
      </c>
      <c r="D22" s="16">
        <v>46098</v>
      </c>
      <c r="E22" s="15" t="s">
        <v>16</v>
      </c>
      <c r="F22" s="15" t="s">
        <v>89</v>
      </c>
      <c r="G22" s="7" t="s">
        <v>12</v>
      </c>
      <c r="H22" s="7">
        <v>31</v>
      </c>
      <c r="I22" s="4" t="s">
        <v>186</v>
      </c>
      <c r="J22" s="4" t="s">
        <v>73</v>
      </c>
      <c r="P22" s="100" t="s">
        <v>547</v>
      </c>
    </row>
    <row r="23" spans="1:16" ht="19.5" customHeight="1" x14ac:dyDescent="0.25">
      <c r="A23" s="5" t="s">
        <v>160</v>
      </c>
      <c r="B23" s="7">
        <v>1</v>
      </c>
      <c r="C23" s="14">
        <v>46108</v>
      </c>
      <c r="D23" s="16">
        <v>46098</v>
      </c>
      <c r="E23" s="15" t="s">
        <v>16</v>
      </c>
      <c r="F23" s="15" t="s">
        <v>161</v>
      </c>
      <c r="G23" s="7" t="s">
        <v>12</v>
      </c>
      <c r="H23" s="7">
        <v>15</v>
      </c>
      <c r="I23" s="4" t="s">
        <v>187</v>
      </c>
      <c r="J23" s="13" t="s">
        <v>70</v>
      </c>
      <c r="P23" s="100" t="s">
        <v>549</v>
      </c>
    </row>
    <row r="24" spans="1:16" ht="19.5" customHeight="1" x14ac:dyDescent="0.25">
      <c r="A24" s="5" t="s">
        <v>162</v>
      </c>
      <c r="B24" s="7">
        <v>1</v>
      </c>
      <c r="C24" s="14">
        <v>46108</v>
      </c>
      <c r="D24" s="16">
        <v>46098</v>
      </c>
      <c r="E24" s="15" t="s">
        <v>16</v>
      </c>
      <c r="F24" s="7" t="s">
        <v>161</v>
      </c>
      <c r="G24" s="7" t="s">
        <v>12</v>
      </c>
      <c r="H24" s="7">
        <v>15</v>
      </c>
      <c r="I24" s="4" t="s">
        <v>187</v>
      </c>
      <c r="J24" s="13" t="s">
        <v>70</v>
      </c>
      <c r="P24" s="100" t="s">
        <v>550</v>
      </c>
    </row>
    <row r="25" spans="1:16" ht="19.5" customHeight="1" x14ac:dyDescent="0.25">
      <c r="A25" s="5" t="s">
        <v>163</v>
      </c>
      <c r="B25" s="7">
        <v>1</v>
      </c>
      <c r="C25" s="14">
        <v>46108</v>
      </c>
      <c r="D25" s="16">
        <v>46098</v>
      </c>
      <c r="E25" s="15" t="s">
        <v>16</v>
      </c>
      <c r="F25" s="15" t="s">
        <v>161</v>
      </c>
      <c r="G25" s="7" t="s">
        <v>12</v>
      </c>
      <c r="H25" s="7">
        <v>3</v>
      </c>
      <c r="I25" s="4" t="s">
        <v>187</v>
      </c>
      <c r="J25" s="13" t="s">
        <v>70</v>
      </c>
      <c r="P25" s="100" t="s">
        <v>551</v>
      </c>
    </row>
    <row r="26" spans="1:16" ht="19.5" customHeight="1" x14ac:dyDescent="0.25">
      <c r="A26" s="5" t="s">
        <v>164</v>
      </c>
      <c r="B26" s="7">
        <v>1</v>
      </c>
      <c r="C26" s="14">
        <v>46108</v>
      </c>
      <c r="D26" s="16">
        <v>46098</v>
      </c>
      <c r="E26" s="15" t="s">
        <v>16</v>
      </c>
      <c r="F26" s="7" t="s">
        <v>161</v>
      </c>
      <c r="G26" s="7" t="s">
        <v>12</v>
      </c>
      <c r="H26" s="7">
        <v>15</v>
      </c>
      <c r="I26" s="4" t="s">
        <v>187</v>
      </c>
      <c r="J26" s="13" t="s">
        <v>70</v>
      </c>
      <c r="P26" s="100" t="s">
        <v>552</v>
      </c>
    </row>
    <row r="27" spans="1:16" ht="19.5" customHeight="1" x14ac:dyDescent="0.25">
      <c r="A27" s="5" t="s">
        <v>165</v>
      </c>
      <c r="B27" s="7">
        <v>1</v>
      </c>
      <c r="C27" s="14">
        <v>46108</v>
      </c>
      <c r="D27" s="16">
        <v>46098</v>
      </c>
      <c r="E27" s="15" t="s">
        <v>16</v>
      </c>
      <c r="F27" s="15" t="s">
        <v>161</v>
      </c>
      <c r="G27" s="7" t="s">
        <v>12</v>
      </c>
      <c r="H27" s="7">
        <v>10</v>
      </c>
      <c r="I27" s="4" t="s">
        <v>187</v>
      </c>
      <c r="J27" s="13" t="s">
        <v>70</v>
      </c>
      <c r="P27" s="100" t="s">
        <v>553</v>
      </c>
    </row>
    <row r="28" spans="1:16" ht="19.5" customHeight="1" x14ac:dyDescent="0.25">
      <c r="A28" s="5" t="s">
        <v>166</v>
      </c>
      <c r="B28" s="7">
        <v>1</v>
      </c>
      <c r="C28" s="14">
        <v>46108</v>
      </c>
      <c r="D28" s="16">
        <v>46098</v>
      </c>
      <c r="E28" s="15" t="s">
        <v>16</v>
      </c>
      <c r="F28" s="7" t="s">
        <v>161</v>
      </c>
      <c r="G28" s="7" t="s">
        <v>12</v>
      </c>
      <c r="H28" s="7">
        <v>21</v>
      </c>
      <c r="I28" s="4" t="s">
        <v>187</v>
      </c>
      <c r="J28" s="13" t="s">
        <v>70</v>
      </c>
      <c r="P28" s="100" t="s">
        <v>554</v>
      </c>
    </row>
    <row r="29" spans="1:16" ht="19.5" customHeight="1" x14ac:dyDescent="0.25">
      <c r="A29" s="5" t="s">
        <v>167</v>
      </c>
      <c r="B29" s="7">
        <v>1</v>
      </c>
      <c r="C29" s="14">
        <v>46108</v>
      </c>
      <c r="D29" s="16">
        <v>46098</v>
      </c>
      <c r="E29" s="15" t="s">
        <v>16</v>
      </c>
      <c r="F29" s="15" t="s">
        <v>161</v>
      </c>
      <c r="G29" s="7" t="s">
        <v>12</v>
      </c>
      <c r="H29" s="7">
        <v>18</v>
      </c>
      <c r="I29" s="4" t="s">
        <v>187</v>
      </c>
      <c r="J29" s="13" t="s">
        <v>70</v>
      </c>
      <c r="P29" s="100" t="s">
        <v>758</v>
      </c>
    </row>
    <row r="30" spans="1:16" ht="19.5" customHeight="1" x14ac:dyDescent="0.25">
      <c r="A30" s="5" t="s">
        <v>168</v>
      </c>
      <c r="B30" s="7">
        <v>1</v>
      </c>
      <c r="C30" s="14">
        <v>46108</v>
      </c>
      <c r="D30" s="16">
        <v>46098</v>
      </c>
      <c r="E30" s="15" t="s">
        <v>16</v>
      </c>
      <c r="F30" s="7" t="s">
        <v>169</v>
      </c>
      <c r="G30" s="7" t="s">
        <v>12</v>
      </c>
      <c r="H30" s="7">
        <v>8</v>
      </c>
      <c r="I30" t="s">
        <v>185</v>
      </c>
      <c r="J30" s="13" t="s">
        <v>48</v>
      </c>
      <c r="P30" s="100" t="s">
        <v>556</v>
      </c>
    </row>
    <row r="31" spans="1:16" ht="19.5" customHeight="1" x14ac:dyDescent="0.25">
      <c r="A31" s="5" t="s">
        <v>170</v>
      </c>
      <c r="B31" s="7">
        <v>1</v>
      </c>
      <c r="C31" s="14">
        <v>46108</v>
      </c>
      <c r="D31" s="16">
        <v>46097</v>
      </c>
      <c r="E31" s="15" t="s">
        <v>16</v>
      </c>
      <c r="F31" s="7" t="s">
        <v>169</v>
      </c>
      <c r="G31" s="7" t="s">
        <v>12</v>
      </c>
      <c r="H31" s="7">
        <v>22</v>
      </c>
      <c r="I31" t="s">
        <v>185</v>
      </c>
      <c r="J31" s="13" t="s">
        <v>48</v>
      </c>
      <c r="P31" s="100" t="s">
        <v>557</v>
      </c>
    </row>
    <row r="32" spans="1:16" ht="19.5" customHeight="1" x14ac:dyDescent="0.25">
      <c r="A32" s="5" t="s">
        <v>171</v>
      </c>
      <c r="B32" s="7">
        <v>1</v>
      </c>
      <c r="C32" s="14">
        <v>46108</v>
      </c>
      <c r="D32" s="16">
        <v>46097</v>
      </c>
      <c r="E32" s="15" t="s">
        <v>16</v>
      </c>
      <c r="F32" s="7" t="s">
        <v>169</v>
      </c>
      <c r="G32" s="7" t="s">
        <v>12</v>
      </c>
      <c r="H32" s="7">
        <v>9</v>
      </c>
      <c r="I32" t="s">
        <v>185</v>
      </c>
      <c r="J32" s="13" t="s">
        <v>48</v>
      </c>
      <c r="P32" s="100" t="s">
        <v>558</v>
      </c>
    </row>
    <row r="33" spans="1:16" ht="19.5" customHeight="1" x14ac:dyDescent="0.25">
      <c r="A33" s="5" t="s">
        <v>172</v>
      </c>
      <c r="B33" s="7">
        <v>1</v>
      </c>
      <c r="C33" s="14">
        <v>46108</v>
      </c>
      <c r="D33" s="16">
        <v>46097</v>
      </c>
      <c r="E33" s="15" t="s">
        <v>16</v>
      </c>
      <c r="F33" s="7" t="s">
        <v>169</v>
      </c>
      <c r="G33" s="7" t="s">
        <v>12</v>
      </c>
      <c r="H33" s="7">
        <v>9</v>
      </c>
      <c r="I33" t="s">
        <v>185</v>
      </c>
      <c r="J33" s="13" t="s">
        <v>48</v>
      </c>
      <c r="P33" s="100" t="s">
        <v>559</v>
      </c>
    </row>
    <row r="34" spans="1:16" ht="19.5" customHeight="1" x14ac:dyDescent="0.25">
      <c r="A34" s="5" t="s">
        <v>173</v>
      </c>
      <c r="B34" s="7">
        <v>1</v>
      </c>
      <c r="C34" s="14">
        <v>46108</v>
      </c>
      <c r="D34" s="16">
        <v>46098</v>
      </c>
      <c r="E34" s="15" t="s">
        <v>16</v>
      </c>
      <c r="F34" s="7" t="s">
        <v>169</v>
      </c>
      <c r="G34" s="7" t="s">
        <v>12</v>
      </c>
      <c r="H34" s="7">
        <v>2</v>
      </c>
      <c r="I34" t="s">
        <v>185</v>
      </c>
      <c r="J34" s="13" t="s">
        <v>48</v>
      </c>
      <c r="P34" s="100" t="s">
        <v>560</v>
      </c>
    </row>
    <row r="35" spans="1:16" ht="19.5" customHeight="1" x14ac:dyDescent="0.25">
      <c r="A35" s="5" t="s">
        <v>174</v>
      </c>
      <c r="B35" s="7">
        <v>1</v>
      </c>
      <c r="C35" s="14">
        <v>46108</v>
      </c>
      <c r="D35" s="16">
        <v>46098</v>
      </c>
      <c r="E35" s="15" t="s">
        <v>16</v>
      </c>
      <c r="F35" s="7" t="s">
        <v>169</v>
      </c>
      <c r="G35" s="7" t="s">
        <v>12</v>
      </c>
      <c r="H35" s="7">
        <v>24</v>
      </c>
      <c r="I35" t="s">
        <v>185</v>
      </c>
      <c r="J35" s="13" t="s">
        <v>48</v>
      </c>
      <c r="P35" s="100" t="s">
        <v>561</v>
      </c>
    </row>
    <row r="36" spans="1:16" ht="19.5" customHeight="1" x14ac:dyDescent="0.25">
      <c r="A36" s="5" t="s">
        <v>175</v>
      </c>
      <c r="B36" s="7">
        <v>1</v>
      </c>
      <c r="C36" s="14">
        <v>46108</v>
      </c>
      <c r="D36" s="16">
        <v>46098</v>
      </c>
      <c r="E36" s="15" t="s">
        <v>16</v>
      </c>
      <c r="F36" s="7" t="s">
        <v>169</v>
      </c>
      <c r="G36" s="7" t="s">
        <v>12</v>
      </c>
      <c r="H36" s="7">
        <v>9</v>
      </c>
      <c r="I36" t="s">
        <v>185</v>
      </c>
      <c r="J36" s="13" t="s">
        <v>48</v>
      </c>
      <c r="O36" s="1">
        <f>129*370</f>
        <v>47730</v>
      </c>
      <c r="P36" s="100" t="s">
        <v>562</v>
      </c>
    </row>
    <row r="37" spans="1:16" ht="19.5" customHeight="1" x14ac:dyDescent="0.25">
      <c r="A37" s="5" t="s">
        <v>176</v>
      </c>
      <c r="B37" s="7">
        <v>1</v>
      </c>
      <c r="C37" s="14">
        <v>46108</v>
      </c>
      <c r="D37" s="16">
        <v>46101</v>
      </c>
      <c r="E37" s="15" t="s">
        <v>16</v>
      </c>
      <c r="F37" s="7" t="s">
        <v>169</v>
      </c>
      <c r="G37" s="7" t="s">
        <v>12</v>
      </c>
      <c r="H37" s="7">
        <v>8</v>
      </c>
      <c r="I37" t="s">
        <v>185</v>
      </c>
      <c r="J37" s="13" t="s">
        <v>48</v>
      </c>
      <c r="P37" s="100" t="s">
        <v>563</v>
      </c>
    </row>
    <row r="38" spans="1:16" ht="19.5" customHeight="1" x14ac:dyDescent="0.25">
      <c r="A38" s="5" t="s">
        <v>177</v>
      </c>
      <c r="B38" s="7">
        <v>1</v>
      </c>
      <c r="C38" s="14">
        <v>46108</v>
      </c>
      <c r="D38" s="16">
        <v>46097</v>
      </c>
      <c r="E38" s="15" t="s">
        <v>16</v>
      </c>
      <c r="F38" s="7" t="s">
        <v>169</v>
      </c>
      <c r="G38" s="7" t="s">
        <v>12</v>
      </c>
      <c r="H38" s="7">
        <v>11</v>
      </c>
      <c r="I38" t="s">
        <v>185</v>
      </c>
      <c r="J38" s="13" t="s">
        <v>48</v>
      </c>
      <c r="P38" s="100" t="s">
        <v>564</v>
      </c>
    </row>
    <row r="39" spans="1:16" ht="19.5" customHeight="1" x14ac:dyDescent="0.25">
      <c r="A39" s="5" t="s">
        <v>178</v>
      </c>
      <c r="B39" s="7">
        <v>1</v>
      </c>
      <c r="C39" s="14">
        <v>46108</v>
      </c>
      <c r="D39" s="16">
        <v>46101</v>
      </c>
      <c r="E39" s="15" t="s">
        <v>16</v>
      </c>
      <c r="F39" s="7" t="s">
        <v>169</v>
      </c>
      <c r="G39" s="7" t="s">
        <v>12</v>
      </c>
      <c r="H39" s="7">
        <v>27</v>
      </c>
      <c r="I39" t="s">
        <v>185</v>
      </c>
      <c r="J39" s="13" t="s">
        <v>48</v>
      </c>
      <c r="P39" s="100" t="s">
        <v>565</v>
      </c>
    </row>
    <row r="40" spans="1:16" ht="19.5" customHeight="1" x14ac:dyDescent="0.25">
      <c r="A40" s="5" t="s">
        <v>179</v>
      </c>
      <c r="B40" s="7">
        <v>1</v>
      </c>
      <c r="C40" s="14">
        <v>46108</v>
      </c>
      <c r="D40" s="16">
        <v>46101</v>
      </c>
      <c r="E40" s="15" t="s">
        <v>16</v>
      </c>
      <c r="F40" s="15" t="s">
        <v>89</v>
      </c>
      <c r="G40" s="7" t="s">
        <v>12</v>
      </c>
      <c r="H40" s="7">
        <v>30</v>
      </c>
      <c r="I40" s="4" t="s">
        <v>186</v>
      </c>
      <c r="J40" s="13" t="s">
        <v>73</v>
      </c>
      <c r="P40" s="100" t="s">
        <v>566</v>
      </c>
    </row>
    <row r="41" spans="1:16" ht="19.5" customHeight="1" x14ac:dyDescent="0.25">
      <c r="A41" s="5" t="s">
        <v>180</v>
      </c>
      <c r="B41" s="7">
        <v>1</v>
      </c>
      <c r="C41" s="14">
        <v>46108</v>
      </c>
      <c r="D41" s="16">
        <v>46101</v>
      </c>
      <c r="E41" s="15" t="s">
        <v>16</v>
      </c>
      <c r="F41" s="15" t="s">
        <v>89</v>
      </c>
      <c r="G41" s="7" t="s">
        <v>12</v>
      </c>
      <c r="H41" s="7">
        <v>30</v>
      </c>
      <c r="I41" s="4" t="s">
        <v>186</v>
      </c>
      <c r="J41" s="13" t="s">
        <v>73</v>
      </c>
      <c r="P41" s="100" t="s">
        <v>567</v>
      </c>
    </row>
    <row r="42" spans="1:16" ht="19.5" customHeight="1" x14ac:dyDescent="0.25">
      <c r="A42" s="5" t="s">
        <v>181</v>
      </c>
      <c r="B42" s="7">
        <v>1</v>
      </c>
      <c r="C42" s="14">
        <v>46108</v>
      </c>
      <c r="D42" s="16">
        <v>46101</v>
      </c>
      <c r="E42" s="15" t="s">
        <v>16</v>
      </c>
      <c r="F42" s="15" t="s">
        <v>89</v>
      </c>
      <c r="G42" s="7" t="s">
        <v>12</v>
      </c>
      <c r="H42" s="7">
        <v>12</v>
      </c>
      <c r="I42" s="4" t="s">
        <v>186</v>
      </c>
      <c r="J42" s="13" t="s">
        <v>73</v>
      </c>
      <c r="P42" s="100" t="s">
        <v>568</v>
      </c>
    </row>
    <row r="43" spans="1:16" ht="19.5" customHeight="1" x14ac:dyDescent="0.25">
      <c r="A43" s="6" t="s">
        <v>182</v>
      </c>
      <c r="B43" s="7">
        <v>1</v>
      </c>
      <c r="C43" s="14">
        <v>46108</v>
      </c>
      <c r="D43" s="16">
        <v>46101</v>
      </c>
      <c r="E43" s="15" t="s">
        <v>16</v>
      </c>
      <c r="F43" s="15" t="s">
        <v>89</v>
      </c>
      <c r="G43" s="7" t="s">
        <v>12</v>
      </c>
      <c r="H43" s="7">
        <v>17</v>
      </c>
      <c r="I43" s="4" t="s">
        <v>186</v>
      </c>
      <c r="J43" s="13" t="s">
        <v>73</v>
      </c>
      <c r="P43" s="100" t="s">
        <v>569</v>
      </c>
    </row>
    <row r="44" spans="1:16" ht="19.5" customHeight="1" x14ac:dyDescent="0.25">
      <c r="A44" s="5" t="s">
        <v>183</v>
      </c>
      <c r="B44" s="7">
        <v>1</v>
      </c>
      <c r="C44" s="14">
        <v>46108</v>
      </c>
      <c r="D44" s="16">
        <v>46101</v>
      </c>
      <c r="E44" s="15" t="s">
        <v>16</v>
      </c>
      <c r="F44" s="15" t="s">
        <v>89</v>
      </c>
      <c r="G44" s="7" t="s">
        <v>12</v>
      </c>
      <c r="H44" s="7">
        <v>30</v>
      </c>
      <c r="I44" s="4" t="s">
        <v>186</v>
      </c>
      <c r="J44" s="13" t="s">
        <v>73</v>
      </c>
      <c r="P44" s="100" t="s">
        <v>573</v>
      </c>
    </row>
    <row r="45" spans="1:16" ht="19.5" customHeight="1" x14ac:dyDescent="0.25">
      <c r="A45" s="5" t="s">
        <v>243</v>
      </c>
      <c r="B45" s="7">
        <v>1</v>
      </c>
      <c r="C45" s="14">
        <v>46109</v>
      </c>
      <c r="D45" s="16">
        <v>46097</v>
      </c>
      <c r="E45" s="15" t="s">
        <v>16</v>
      </c>
      <c r="F45" s="15" t="s">
        <v>89</v>
      </c>
      <c r="G45" s="7" t="s">
        <v>12</v>
      </c>
      <c r="H45" s="7">
        <v>15</v>
      </c>
      <c r="I45" s="4" t="s">
        <v>186</v>
      </c>
      <c r="J45" s="13" t="s">
        <v>73</v>
      </c>
      <c r="P45" s="100" t="s">
        <v>580</v>
      </c>
    </row>
    <row r="46" spans="1:16" ht="19.5" customHeight="1" x14ac:dyDescent="0.25">
      <c r="A46" s="5" t="s">
        <v>203</v>
      </c>
      <c r="B46" s="7">
        <v>1</v>
      </c>
      <c r="C46" s="14">
        <v>46109</v>
      </c>
      <c r="D46" s="16">
        <v>46102</v>
      </c>
      <c r="E46" s="15" t="s">
        <v>16</v>
      </c>
      <c r="F46" s="15" t="s">
        <v>89</v>
      </c>
      <c r="G46" s="7" t="s">
        <v>12</v>
      </c>
      <c r="H46" s="7">
        <v>9</v>
      </c>
      <c r="I46" s="4" t="s">
        <v>186</v>
      </c>
      <c r="J46" s="13" t="s">
        <v>73</v>
      </c>
      <c r="P46" s="100" t="s">
        <v>582</v>
      </c>
    </row>
    <row r="47" spans="1:16" ht="19.5" customHeight="1" x14ac:dyDescent="0.25">
      <c r="A47" s="5" t="s">
        <v>190</v>
      </c>
      <c r="B47" s="7">
        <v>1</v>
      </c>
      <c r="C47" s="14">
        <v>46109</v>
      </c>
      <c r="D47" s="16">
        <v>46101</v>
      </c>
      <c r="E47" s="15" t="s">
        <v>16</v>
      </c>
      <c r="F47" s="15" t="s">
        <v>89</v>
      </c>
      <c r="G47" s="7" t="s">
        <v>12</v>
      </c>
      <c r="H47" s="7">
        <v>9</v>
      </c>
      <c r="I47" s="4" t="s">
        <v>186</v>
      </c>
      <c r="J47" s="13" t="s">
        <v>73</v>
      </c>
      <c r="P47" s="100" t="s">
        <v>583</v>
      </c>
    </row>
    <row r="48" spans="1:16" ht="19.5" customHeight="1" x14ac:dyDescent="0.25">
      <c r="A48" s="5" t="s">
        <v>191</v>
      </c>
      <c r="B48" s="7">
        <v>1</v>
      </c>
      <c r="C48" s="14">
        <v>46109</v>
      </c>
      <c r="D48" s="16">
        <v>46101</v>
      </c>
      <c r="E48" s="15" t="s">
        <v>16</v>
      </c>
      <c r="F48" s="15" t="s">
        <v>89</v>
      </c>
      <c r="G48" s="7" t="s">
        <v>12</v>
      </c>
      <c r="H48" s="7">
        <v>18</v>
      </c>
      <c r="I48" s="4" t="s">
        <v>186</v>
      </c>
      <c r="J48" s="13" t="s">
        <v>73</v>
      </c>
      <c r="P48" s="100" t="s">
        <v>585</v>
      </c>
    </row>
    <row r="49" spans="1:16" ht="19.5" customHeight="1" x14ac:dyDescent="0.25">
      <c r="A49" s="5" t="s">
        <v>192</v>
      </c>
      <c r="B49" s="7">
        <v>1</v>
      </c>
      <c r="C49" s="14">
        <v>46109</v>
      </c>
      <c r="D49" s="16">
        <v>46102</v>
      </c>
      <c r="E49" s="15" t="s">
        <v>16</v>
      </c>
      <c r="F49" s="15" t="s">
        <v>89</v>
      </c>
      <c r="G49" s="7" t="s">
        <v>12</v>
      </c>
      <c r="H49" s="7">
        <v>12</v>
      </c>
      <c r="I49" s="4" t="s">
        <v>186</v>
      </c>
      <c r="J49" s="13" t="s">
        <v>73</v>
      </c>
      <c r="P49" s="100" t="s">
        <v>586</v>
      </c>
    </row>
    <row r="50" spans="1:16" ht="19.5" customHeight="1" x14ac:dyDescent="0.25">
      <c r="A50" s="5" t="s">
        <v>193</v>
      </c>
      <c r="B50" s="7">
        <v>1</v>
      </c>
      <c r="C50" s="14">
        <v>46109</v>
      </c>
      <c r="D50" s="16">
        <v>46101</v>
      </c>
      <c r="E50" s="15" t="s">
        <v>16</v>
      </c>
      <c r="F50" s="15" t="s">
        <v>89</v>
      </c>
      <c r="G50" s="7" t="s">
        <v>12</v>
      </c>
      <c r="H50" s="7">
        <v>27</v>
      </c>
      <c r="I50" s="4" t="s">
        <v>186</v>
      </c>
      <c r="J50" s="13" t="s">
        <v>73</v>
      </c>
      <c r="P50" s="100" t="s">
        <v>587</v>
      </c>
    </row>
    <row r="51" spans="1:16" ht="19.5" customHeight="1" x14ac:dyDescent="0.25">
      <c r="A51" s="5" t="s">
        <v>194</v>
      </c>
      <c r="B51" s="7">
        <v>1</v>
      </c>
      <c r="C51" s="14">
        <v>46109</v>
      </c>
      <c r="D51" s="16">
        <v>46102</v>
      </c>
      <c r="E51" s="15" t="s">
        <v>16</v>
      </c>
      <c r="F51" s="15" t="s">
        <v>89</v>
      </c>
      <c r="G51" s="7" t="s">
        <v>12</v>
      </c>
      <c r="H51" s="7">
        <v>21</v>
      </c>
      <c r="I51" s="4" t="s">
        <v>186</v>
      </c>
      <c r="J51" s="13" t="s">
        <v>73</v>
      </c>
      <c r="P51" s="100" t="s">
        <v>588</v>
      </c>
    </row>
    <row r="52" spans="1:16" ht="19.5" customHeight="1" x14ac:dyDescent="0.25">
      <c r="A52" s="5" t="s">
        <v>195</v>
      </c>
      <c r="B52" s="7">
        <v>1</v>
      </c>
      <c r="C52" s="14">
        <v>46109</v>
      </c>
      <c r="D52" s="16">
        <v>46101</v>
      </c>
      <c r="E52" s="15" t="s">
        <v>16</v>
      </c>
      <c r="F52" s="15" t="s">
        <v>89</v>
      </c>
      <c r="G52" s="7" t="s">
        <v>12</v>
      </c>
      <c r="H52" s="7">
        <v>30</v>
      </c>
      <c r="I52" s="4" t="s">
        <v>186</v>
      </c>
      <c r="J52" s="13" t="s">
        <v>73</v>
      </c>
      <c r="P52" s="100" t="s">
        <v>590</v>
      </c>
    </row>
    <row r="53" spans="1:16" ht="19.5" customHeight="1" x14ac:dyDescent="0.25">
      <c r="A53" s="5" t="s">
        <v>196</v>
      </c>
      <c r="B53" s="7">
        <v>1</v>
      </c>
      <c r="C53" s="14">
        <v>46109</v>
      </c>
      <c r="D53" s="16">
        <v>46101</v>
      </c>
      <c r="E53" s="15" t="s">
        <v>16</v>
      </c>
      <c r="F53" s="15" t="s">
        <v>89</v>
      </c>
      <c r="G53" s="7" t="s">
        <v>12</v>
      </c>
      <c r="H53" s="7">
        <v>30</v>
      </c>
      <c r="I53" s="4" t="s">
        <v>186</v>
      </c>
      <c r="J53" s="13" t="s">
        <v>73</v>
      </c>
      <c r="P53" s="100" t="s">
        <v>592</v>
      </c>
    </row>
    <row r="54" spans="1:16" ht="19.5" customHeight="1" x14ac:dyDescent="0.25">
      <c r="A54" s="5" t="s">
        <v>198</v>
      </c>
      <c r="B54" s="7">
        <v>1</v>
      </c>
      <c r="C54" s="14">
        <v>46109</v>
      </c>
      <c r="D54" s="16">
        <v>46101</v>
      </c>
      <c r="E54" s="15" t="s">
        <v>16</v>
      </c>
      <c r="F54" s="15" t="s">
        <v>89</v>
      </c>
      <c r="G54" s="7" t="s">
        <v>12</v>
      </c>
      <c r="H54" s="7">
        <v>15</v>
      </c>
      <c r="I54" s="4" t="s">
        <v>186</v>
      </c>
      <c r="J54" s="13" t="s">
        <v>73</v>
      </c>
      <c r="P54" s="100" t="s">
        <v>593</v>
      </c>
    </row>
    <row r="55" spans="1:16" ht="19.5" customHeight="1" x14ac:dyDescent="0.25">
      <c r="A55" s="5" t="s">
        <v>199</v>
      </c>
      <c r="B55" s="7">
        <v>1</v>
      </c>
      <c r="C55" s="14">
        <v>46109</v>
      </c>
      <c r="D55" s="16">
        <v>46097</v>
      </c>
      <c r="E55" s="15" t="s">
        <v>16</v>
      </c>
      <c r="F55" s="7" t="s">
        <v>169</v>
      </c>
      <c r="G55" s="7" t="s">
        <v>12</v>
      </c>
      <c r="H55" s="7">
        <v>12</v>
      </c>
      <c r="I55" t="s">
        <v>185</v>
      </c>
      <c r="J55" s="13" t="s">
        <v>48</v>
      </c>
      <c r="P55" s="100" t="s">
        <v>594</v>
      </c>
    </row>
    <row r="56" spans="1:16" ht="19.5" customHeight="1" x14ac:dyDescent="0.25">
      <c r="A56" s="5" t="s">
        <v>200</v>
      </c>
      <c r="B56" s="7">
        <v>1</v>
      </c>
      <c r="C56" s="14">
        <v>46109</v>
      </c>
      <c r="D56" s="16">
        <v>46101</v>
      </c>
      <c r="E56" s="15" t="s">
        <v>16</v>
      </c>
      <c r="F56" s="7" t="s">
        <v>169</v>
      </c>
      <c r="G56" s="7" t="s">
        <v>12</v>
      </c>
      <c r="H56" s="7">
        <v>26</v>
      </c>
      <c r="I56" t="s">
        <v>185</v>
      </c>
      <c r="J56" s="13" t="s">
        <v>48</v>
      </c>
      <c r="P56" s="100" t="s">
        <v>595</v>
      </c>
    </row>
    <row r="57" spans="1:16" ht="19.5" customHeight="1" x14ac:dyDescent="0.25">
      <c r="A57" s="5" t="s">
        <v>201</v>
      </c>
      <c r="B57" s="7">
        <v>1</v>
      </c>
      <c r="C57" s="14">
        <v>46109</v>
      </c>
      <c r="D57" s="16">
        <v>46101</v>
      </c>
      <c r="E57" s="15" t="s">
        <v>16</v>
      </c>
      <c r="F57" s="15" t="s">
        <v>161</v>
      </c>
      <c r="G57" s="7" t="s">
        <v>12</v>
      </c>
      <c r="H57" s="7">
        <v>17</v>
      </c>
      <c r="I57" s="4" t="s">
        <v>187</v>
      </c>
      <c r="J57" s="13" t="s">
        <v>70</v>
      </c>
      <c r="P57" s="100" t="s">
        <v>596</v>
      </c>
    </row>
    <row r="58" spans="1:16" ht="19.5" customHeight="1" x14ac:dyDescent="0.25">
      <c r="A58" s="5" t="s">
        <v>204</v>
      </c>
      <c r="B58" s="7">
        <v>1</v>
      </c>
      <c r="C58" s="14">
        <v>46109</v>
      </c>
      <c r="D58" s="16">
        <v>46101</v>
      </c>
      <c r="E58" s="15" t="s">
        <v>16</v>
      </c>
      <c r="F58" s="15" t="s">
        <v>89</v>
      </c>
      <c r="G58" s="7" t="s">
        <v>12</v>
      </c>
      <c r="H58" s="7">
        <v>29</v>
      </c>
      <c r="I58" s="4" t="s">
        <v>186</v>
      </c>
      <c r="J58" s="13" t="s">
        <v>73</v>
      </c>
      <c r="P58" s="100" t="s">
        <v>597</v>
      </c>
    </row>
    <row r="59" spans="1:16" ht="19.5" customHeight="1" x14ac:dyDescent="0.25">
      <c r="A59" s="100" t="s">
        <v>251</v>
      </c>
      <c r="B59" s="7">
        <v>1</v>
      </c>
      <c r="C59" s="14"/>
      <c r="D59" s="16"/>
      <c r="E59" s="15"/>
      <c r="F59" s="7"/>
      <c r="G59" s="7"/>
      <c r="H59" s="7"/>
      <c r="P59" s="100" t="s">
        <v>599</v>
      </c>
    </row>
    <row r="60" spans="1:16" ht="19.5" customHeight="1" x14ac:dyDescent="0.25">
      <c r="A60" s="100" t="s">
        <v>252</v>
      </c>
      <c r="B60" s="7">
        <v>1</v>
      </c>
      <c r="C60" s="14"/>
      <c r="D60" s="16"/>
      <c r="E60" s="15"/>
      <c r="F60" s="7"/>
      <c r="G60" s="7"/>
      <c r="H60" s="7"/>
      <c r="P60" s="100" t="s">
        <v>600</v>
      </c>
    </row>
    <row r="61" spans="1:16" ht="19.5" customHeight="1" x14ac:dyDescent="0.25">
      <c r="A61" s="100" t="s">
        <v>253</v>
      </c>
      <c r="B61" s="15">
        <v>1</v>
      </c>
      <c r="C61" s="16"/>
      <c r="D61" s="16"/>
      <c r="E61" s="15"/>
      <c r="F61" s="15"/>
      <c r="G61" s="15"/>
      <c r="H61" s="15"/>
      <c r="P61" s="100" t="s">
        <v>601</v>
      </c>
    </row>
    <row r="62" spans="1:16" ht="19.5" customHeight="1" x14ac:dyDescent="0.25">
      <c r="A62" s="5" t="s">
        <v>217</v>
      </c>
      <c r="B62" s="7">
        <v>1</v>
      </c>
      <c r="C62" s="6">
        <v>46111</v>
      </c>
      <c r="D62" s="6">
        <v>46101</v>
      </c>
      <c r="E62" s="15" t="s">
        <v>16</v>
      </c>
      <c r="F62" s="5" t="s">
        <v>89</v>
      </c>
      <c r="G62" s="7" t="s">
        <v>12</v>
      </c>
      <c r="H62" s="5">
        <v>28</v>
      </c>
      <c r="I62" s="4" t="s">
        <v>186</v>
      </c>
      <c r="J62" s="13" t="s">
        <v>73</v>
      </c>
      <c r="P62" s="100" t="s">
        <v>602</v>
      </c>
    </row>
    <row r="63" spans="1:16" ht="19.5" customHeight="1" x14ac:dyDescent="0.25">
      <c r="A63" s="5" t="s">
        <v>218</v>
      </c>
      <c r="B63" s="7">
        <v>1</v>
      </c>
      <c r="C63" s="6">
        <v>46111</v>
      </c>
      <c r="D63" s="6">
        <v>46101</v>
      </c>
      <c r="E63" s="15" t="s">
        <v>16</v>
      </c>
      <c r="F63" s="5" t="s">
        <v>89</v>
      </c>
      <c r="G63" s="7" t="s">
        <v>12</v>
      </c>
      <c r="H63" s="5">
        <v>38</v>
      </c>
      <c r="I63" s="4" t="s">
        <v>186</v>
      </c>
      <c r="J63" s="13" t="s">
        <v>73</v>
      </c>
      <c r="P63" s="100" t="s">
        <v>604</v>
      </c>
    </row>
    <row r="64" spans="1:16" ht="19.5" customHeight="1" x14ac:dyDescent="0.25">
      <c r="A64" s="6" t="s">
        <v>244</v>
      </c>
      <c r="B64" s="7">
        <v>1</v>
      </c>
      <c r="C64" s="6">
        <v>46111</v>
      </c>
      <c r="D64" s="6">
        <v>46101</v>
      </c>
      <c r="E64" s="15" t="s">
        <v>16</v>
      </c>
      <c r="F64" s="5" t="s">
        <v>89</v>
      </c>
      <c r="G64" s="7" t="s">
        <v>12</v>
      </c>
      <c r="H64" s="5">
        <v>30</v>
      </c>
      <c r="I64" s="4" t="s">
        <v>186</v>
      </c>
      <c r="J64" s="13" t="s">
        <v>73</v>
      </c>
      <c r="P64" s="100" t="s">
        <v>605</v>
      </c>
    </row>
    <row r="65" spans="1:16" ht="19.5" customHeight="1" x14ac:dyDescent="0.25">
      <c r="A65" s="6" t="s">
        <v>219</v>
      </c>
      <c r="B65" s="7">
        <v>1</v>
      </c>
      <c r="C65" s="6">
        <v>46111</v>
      </c>
      <c r="D65" s="6">
        <v>46105</v>
      </c>
      <c r="E65" s="15" t="s">
        <v>16</v>
      </c>
      <c r="F65" s="5" t="s">
        <v>89</v>
      </c>
      <c r="G65" s="7" t="s">
        <v>12</v>
      </c>
      <c r="H65" s="32">
        <v>27</v>
      </c>
      <c r="I65" s="4" t="s">
        <v>186</v>
      </c>
      <c r="J65" s="13" t="s">
        <v>73</v>
      </c>
      <c r="P65" s="100" t="s">
        <v>606</v>
      </c>
    </row>
    <row r="66" spans="1:16" ht="19.5" customHeight="1" x14ac:dyDescent="0.25">
      <c r="A66" s="5" t="s">
        <v>220</v>
      </c>
      <c r="B66" s="7">
        <v>1</v>
      </c>
      <c r="C66" s="6">
        <v>46111</v>
      </c>
      <c r="D66" s="6">
        <v>46102</v>
      </c>
      <c r="E66" s="15" t="s">
        <v>16</v>
      </c>
      <c r="F66" s="5" t="s">
        <v>223</v>
      </c>
      <c r="G66" s="7" t="s">
        <v>12</v>
      </c>
      <c r="H66" s="32">
        <v>30</v>
      </c>
      <c r="I66" s="4" t="s">
        <v>187</v>
      </c>
      <c r="J66" s="13" t="s">
        <v>71</v>
      </c>
      <c r="P66" s="100" t="s">
        <v>607</v>
      </c>
    </row>
    <row r="67" spans="1:16" ht="19.5" customHeight="1" x14ac:dyDescent="0.25">
      <c r="A67" s="5" t="s">
        <v>221</v>
      </c>
      <c r="B67" s="7">
        <v>1</v>
      </c>
      <c r="C67" s="6">
        <v>46111</v>
      </c>
      <c r="D67" s="6">
        <v>46105</v>
      </c>
      <c r="E67" s="15" t="s">
        <v>16</v>
      </c>
      <c r="F67" s="5" t="s">
        <v>89</v>
      </c>
      <c r="G67" s="7" t="s">
        <v>12</v>
      </c>
      <c r="H67" s="33">
        <v>36</v>
      </c>
      <c r="I67" s="4" t="s">
        <v>186</v>
      </c>
      <c r="J67" s="13" t="s">
        <v>73</v>
      </c>
      <c r="P67" s="100" t="s">
        <v>614</v>
      </c>
    </row>
    <row r="68" spans="1:16" ht="19.5" customHeight="1" x14ac:dyDescent="0.25">
      <c r="A68" s="5" t="s">
        <v>222</v>
      </c>
      <c r="B68" s="7">
        <v>1</v>
      </c>
      <c r="C68" s="6">
        <v>46111</v>
      </c>
      <c r="D68" s="6">
        <v>46102</v>
      </c>
      <c r="E68" s="15" t="s">
        <v>16</v>
      </c>
      <c r="F68" s="5" t="s">
        <v>223</v>
      </c>
      <c r="G68" s="7" t="s">
        <v>12</v>
      </c>
      <c r="H68" s="32">
        <v>10</v>
      </c>
      <c r="I68" s="4" t="s">
        <v>187</v>
      </c>
      <c r="J68" s="13" t="s">
        <v>71</v>
      </c>
      <c r="P68" s="100" t="s">
        <v>616</v>
      </c>
    </row>
    <row r="69" spans="1:16" ht="19.5" customHeight="1" x14ac:dyDescent="0.25">
      <c r="A69" s="6" t="s">
        <v>224</v>
      </c>
      <c r="B69" s="7">
        <v>1</v>
      </c>
      <c r="C69" s="6">
        <v>46111</v>
      </c>
      <c r="D69" s="6">
        <v>46105</v>
      </c>
      <c r="E69" s="15" t="s">
        <v>16</v>
      </c>
      <c r="F69" s="5" t="s">
        <v>89</v>
      </c>
      <c r="G69" s="7" t="s">
        <v>12</v>
      </c>
      <c r="H69" s="32">
        <v>11</v>
      </c>
      <c r="I69" s="4" t="s">
        <v>186</v>
      </c>
      <c r="J69" s="13" t="s">
        <v>73</v>
      </c>
      <c r="P69" s="100" t="s">
        <v>617</v>
      </c>
    </row>
    <row r="70" spans="1:16" ht="19.5" customHeight="1" x14ac:dyDescent="0.25">
      <c r="A70" s="6" t="s">
        <v>225</v>
      </c>
      <c r="B70" s="7">
        <v>1</v>
      </c>
      <c r="C70" s="6">
        <v>46111</v>
      </c>
      <c r="D70" s="6">
        <v>46106</v>
      </c>
      <c r="E70" s="15" t="s">
        <v>16</v>
      </c>
      <c r="F70" s="5" t="s">
        <v>89</v>
      </c>
      <c r="G70" s="7" t="s">
        <v>12</v>
      </c>
      <c r="H70" s="5">
        <v>2</v>
      </c>
      <c r="I70" s="4" t="s">
        <v>186</v>
      </c>
      <c r="J70" s="13" t="s">
        <v>73</v>
      </c>
      <c r="P70" s="100" t="s">
        <v>620</v>
      </c>
    </row>
    <row r="71" spans="1:16" ht="19.5" customHeight="1" x14ac:dyDescent="0.25">
      <c r="A71" s="5" t="s">
        <v>226</v>
      </c>
      <c r="B71" s="7">
        <v>1</v>
      </c>
      <c r="C71" s="6">
        <v>46111</v>
      </c>
      <c r="D71" s="6">
        <v>46105</v>
      </c>
      <c r="E71" s="15" t="s">
        <v>16</v>
      </c>
      <c r="F71" s="5" t="s">
        <v>89</v>
      </c>
      <c r="G71" s="7" t="s">
        <v>12</v>
      </c>
      <c r="H71" s="5">
        <v>9</v>
      </c>
      <c r="I71" s="4" t="s">
        <v>186</v>
      </c>
      <c r="J71" s="13" t="s">
        <v>73</v>
      </c>
      <c r="P71" s="100" t="s">
        <v>621</v>
      </c>
    </row>
    <row r="72" spans="1:16" ht="19.5" customHeight="1" x14ac:dyDescent="0.25">
      <c r="A72" s="5" t="s">
        <v>227</v>
      </c>
      <c r="B72" s="5">
        <v>1</v>
      </c>
      <c r="C72" s="6">
        <v>46111</v>
      </c>
      <c r="D72" s="6">
        <v>46105</v>
      </c>
      <c r="E72" s="15" t="s">
        <v>16</v>
      </c>
      <c r="F72" s="5" t="s">
        <v>89</v>
      </c>
      <c r="G72" s="7" t="s">
        <v>12</v>
      </c>
      <c r="H72" s="5">
        <v>18</v>
      </c>
      <c r="I72" s="4" t="s">
        <v>186</v>
      </c>
      <c r="J72" s="13" t="s">
        <v>73</v>
      </c>
      <c r="P72" s="100" t="s">
        <v>622</v>
      </c>
    </row>
    <row r="73" spans="1:16" ht="19.5" customHeight="1" x14ac:dyDescent="0.25">
      <c r="A73" s="5" t="s">
        <v>228</v>
      </c>
      <c r="B73" s="5">
        <v>1</v>
      </c>
      <c r="C73" s="6">
        <v>46111</v>
      </c>
      <c r="D73" s="6">
        <v>46102</v>
      </c>
      <c r="E73" s="15" t="s">
        <v>16</v>
      </c>
      <c r="F73" s="5" t="s">
        <v>89</v>
      </c>
      <c r="G73" s="7" t="s">
        <v>12</v>
      </c>
      <c r="H73" s="5">
        <v>28</v>
      </c>
      <c r="I73" s="4" t="s">
        <v>186</v>
      </c>
      <c r="J73" s="13" t="s">
        <v>73</v>
      </c>
      <c r="P73" s="100" t="s">
        <v>623</v>
      </c>
    </row>
    <row r="74" spans="1:16" ht="19.5" customHeight="1" x14ac:dyDescent="0.25">
      <c r="A74" s="5" t="s">
        <v>229</v>
      </c>
      <c r="B74" s="5">
        <v>1</v>
      </c>
      <c r="C74" s="6">
        <v>46111</v>
      </c>
      <c r="D74" s="6">
        <v>46101</v>
      </c>
      <c r="E74" s="15" t="s">
        <v>16</v>
      </c>
      <c r="F74" s="5" t="s">
        <v>89</v>
      </c>
      <c r="G74" s="7" t="s">
        <v>12</v>
      </c>
      <c r="H74" s="5">
        <v>30</v>
      </c>
      <c r="I74" s="4" t="s">
        <v>186</v>
      </c>
      <c r="J74" s="13" t="s">
        <v>73</v>
      </c>
      <c r="P74" s="100" t="s">
        <v>624</v>
      </c>
    </row>
    <row r="75" spans="1:16" ht="19.5" customHeight="1" x14ac:dyDescent="0.25">
      <c r="A75" s="5" t="s">
        <v>245</v>
      </c>
      <c r="B75" s="5">
        <v>1</v>
      </c>
      <c r="C75" s="6">
        <v>46111</v>
      </c>
      <c r="D75" s="6">
        <v>46101</v>
      </c>
      <c r="E75" s="15" t="s">
        <v>16</v>
      </c>
      <c r="F75" s="5" t="s">
        <v>89</v>
      </c>
      <c r="G75" s="7" t="s">
        <v>12</v>
      </c>
      <c r="H75" s="5">
        <v>16</v>
      </c>
      <c r="I75" s="4" t="s">
        <v>186</v>
      </c>
      <c r="J75" s="13" t="s">
        <v>73</v>
      </c>
      <c r="P75" s="100" t="s">
        <v>625</v>
      </c>
    </row>
    <row r="76" spans="1:16" ht="19.5" customHeight="1" x14ac:dyDescent="0.25">
      <c r="A76" s="5" t="s">
        <v>230</v>
      </c>
      <c r="B76" s="5">
        <v>1</v>
      </c>
      <c r="C76" s="6">
        <v>46111</v>
      </c>
      <c r="D76" s="6">
        <v>46102</v>
      </c>
      <c r="E76" s="15" t="s">
        <v>16</v>
      </c>
      <c r="F76" s="5" t="s">
        <v>89</v>
      </c>
      <c r="G76" s="7" t="s">
        <v>12</v>
      </c>
      <c r="H76" s="5">
        <v>18</v>
      </c>
      <c r="I76" s="4" t="s">
        <v>186</v>
      </c>
      <c r="J76" s="13" t="s">
        <v>73</v>
      </c>
      <c r="P76" s="100" t="s">
        <v>626</v>
      </c>
    </row>
    <row r="77" spans="1:16" ht="19.5" customHeight="1" x14ac:dyDescent="0.25">
      <c r="A77" s="5" t="s">
        <v>231</v>
      </c>
      <c r="B77" s="5">
        <v>1</v>
      </c>
      <c r="C77" s="6">
        <v>46111</v>
      </c>
      <c r="D77" s="6">
        <v>46102</v>
      </c>
      <c r="E77" s="15" t="s">
        <v>16</v>
      </c>
      <c r="F77" s="5" t="s">
        <v>89</v>
      </c>
      <c r="G77" s="7" t="s">
        <v>12</v>
      </c>
      <c r="H77" s="5">
        <v>12</v>
      </c>
      <c r="I77" s="4" t="s">
        <v>186</v>
      </c>
      <c r="J77" s="13" t="s">
        <v>73</v>
      </c>
      <c r="P77" s="100" t="s">
        <v>627</v>
      </c>
    </row>
    <row r="78" spans="1:16" ht="19.5" customHeight="1" x14ac:dyDescent="0.25">
      <c r="A78" s="5" t="s">
        <v>232</v>
      </c>
      <c r="B78" s="5">
        <v>1</v>
      </c>
      <c r="C78" s="6">
        <v>46111</v>
      </c>
      <c r="D78" s="6">
        <v>46101</v>
      </c>
      <c r="E78" s="15" t="s">
        <v>16</v>
      </c>
      <c r="F78" s="15" t="s">
        <v>161</v>
      </c>
      <c r="G78" s="7" t="s">
        <v>12</v>
      </c>
      <c r="H78" s="5">
        <v>2</v>
      </c>
      <c r="I78" s="4" t="s">
        <v>187</v>
      </c>
      <c r="J78" s="13" t="s">
        <v>70</v>
      </c>
      <c r="P78" s="100" t="s">
        <v>628</v>
      </c>
    </row>
    <row r="79" spans="1:16" ht="19.5" customHeight="1" x14ac:dyDescent="0.25">
      <c r="A79" s="5" t="s">
        <v>233</v>
      </c>
      <c r="B79" s="5">
        <v>1</v>
      </c>
      <c r="C79" s="6">
        <v>46111</v>
      </c>
      <c r="D79" s="6">
        <v>46101</v>
      </c>
      <c r="E79" s="15" t="s">
        <v>16</v>
      </c>
      <c r="F79" s="15" t="s">
        <v>161</v>
      </c>
      <c r="G79" s="7" t="s">
        <v>12</v>
      </c>
      <c r="H79" s="5">
        <v>21</v>
      </c>
      <c r="I79" s="4" t="s">
        <v>187</v>
      </c>
      <c r="J79" s="13" t="s">
        <v>70</v>
      </c>
      <c r="P79" s="100" t="s">
        <v>629</v>
      </c>
    </row>
    <row r="80" spans="1:16" ht="19.5" customHeight="1" x14ac:dyDescent="0.25">
      <c r="A80" s="6" t="s">
        <v>234</v>
      </c>
      <c r="B80" s="5">
        <v>1</v>
      </c>
      <c r="C80" s="6">
        <v>46111</v>
      </c>
      <c r="D80" s="6">
        <v>46101</v>
      </c>
      <c r="E80" s="15" t="s">
        <v>16</v>
      </c>
      <c r="F80" s="15" t="s">
        <v>161</v>
      </c>
      <c r="G80" s="7" t="s">
        <v>12</v>
      </c>
      <c r="H80" s="5">
        <v>30</v>
      </c>
      <c r="I80" s="4" t="s">
        <v>187</v>
      </c>
      <c r="J80" s="13" t="s">
        <v>70</v>
      </c>
      <c r="P80" s="100" t="s">
        <v>630</v>
      </c>
    </row>
    <row r="81" spans="1:16" ht="19.5" customHeight="1" x14ac:dyDescent="0.25">
      <c r="A81" s="5" t="s">
        <v>236</v>
      </c>
      <c r="B81" s="5">
        <v>1</v>
      </c>
      <c r="C81" s="6">
        <v>46112</v>
      </c>
      <c r="D81" s="6">
        <v>46105</v>
      </c>
      <c r="E81" s="5" t="s">
        <v>16</v>
      </c>
      <c r="F81" s="5" t="s">
        <v>89</v>
      </c>
      <c r="G81" s="5" t="s">
        <v>12</v>
      </c>
      <c r="H81" s="5">
        <v>29</v>
      </c>
      <c r="I81" s="4" t="s">
        <v>186</v>
      </c>
      <c r="J81" s="13" t="s">
        <v>73</v>
      </c>
      <c r="P81" s="100" t="s">
        <v>631</v>
      </c>
    </row>
    <row r="82" spans="1:16" ht="19.5" customHeight="1" x14ac:dyDescent="0.25">
      <c r="A82" s="5" t="s">
        <v>237</v>
      </c>
      <c r="B82" s="5">
        <v>1</v>
      </c>
      <c r="C82" s="6">
        <v>46112</v>
      </c>
      <c r="D82" s="6">
        <v>46105</v>
      </c>
      <c r="E82" s="5" t="s">
        <v>16</v>
      </c>
      <c r="F82" s="5" t="s">
        <v>89</v>
      </c>
      <c r="G82" s="5" t="s">
        <v>12</v>
      </c>
      <c r="H82" s="5">
        <v>30</v>
      </c>
      <c r="I82" s="4" t="s">
        <v>186</v>
      </c>
      <c r="J82" s="13" t="s">
        <v>73</v>
      </c>
      <c r="P82" s="100" t="s">
        <v>632</v>
      </c>
    </row>
    <row r="83" spans="1:16" ht="19.5" customHeight="1" x14ac:dyDescent="0.25">
      <c r="A83" s="5" t="s">
        <v>238</v>
      </c>
      <c r="B83" s="5">
        <v>1</v>
      </c>
      <c r="C83" s="6">
        <v>46112</v>
      </c>
      <c r="D83" s="6">
        <v>46105</v>
      </c>
      <c r="E83" s="5" t="s">
        <v>16</v>
      </c>
      <c r="F83" s="5" t="s">
        <v>89</v>
      </c>
      <c r="G83" s="5" t="s">
        <v>12</v>
      </c>
      <c r="H83" s="5">
        <v>30</v>
      </c>
      <c r="I83" s="4" t="s">
        <v>186</v>
      </c>
      <c r="J83" s="13" t="s">
        <v>73</v>
      </c>
      <c r="P83" s="100" t="s">
        <v>633</v>
      </c>
    </row>
    <row r="84" spans="1:16" ht="19.5" customHeight="1" x14ac:dyDescent="0.25">
      <c r="A84" s="5" t="s">
        <v>239</v>
      </c>
      <c r="B84" s="5">
        <v>1</v>
      </c>
      <c r="C84" s="6">
        <v>46112</v>
      </c>
      <c r="D84" s="6">
        <v>46105</v>
      </c>
      <c r="E84" s="5" t="s">
        <v>16</v>
      </c>
      <c r="F84" s="5" t="s">
        <v>89</v>
      </c>
      <c r="G84" s="5" t="s">
        <v>12</v>
      </c>
      <c r="H84" s="5">
        <v>41</v>
      </c>
      <c r="I84" s="4" t="s">
        <v>186</v>
      </c>
      <c r="J84" s="13" t="s">
        <v>73</v>
      </c>
      <c r="P84" s="100" t="s">
        <v>634</v>
      </c>
    </row>
    <row r="85" spans="1:16" ht="19.5" customHeight="1" x14ac:dyDescent="0.25">
      <c r="A85" s="5" t="s">
        <v>240</v>
      </c>
      <c r="B85" s="5">
        <v>1</v>
      </c>
      <c r="C85" s="6">
        <v>46112</v>
      </c>
      <c r="D85" s="6">
        <v>46105</v>
      </c>
      <c r="E85" s="5" t="s">
        <v>16</v>
      </c>
      <c r="F85" s="5" t="s">
        <v>89</v>
      </c>
      <c r="G85" s="5" t="s">
        <v>12</v>
      </c>
      <c r="H85" s="5">
        <v>27</v>
      </c>
      <c r="I85" s="4" t="s">
        <v>186</v>
      </c>
      <c r="J85" s="13" t="s">
        <v>73</v>
      </c>
      <c r="P85" s="100" t="s">
        <v>635</v>
      </c>
    </row>
    <row r="86" spans="1:16" ht="19.5" customHeight="1" x14ac:dyDescent="0.25">
      <c r="A86" s="5" t="s">
        <v>241</v>
      </c>
      <c r="B86" s="5">
        <v>1</v>
      </c>
      <c r="C86" s="6">
        <v>46112</v>
      </c>
      <c r="D86" s="6">
        <v>46105</v>
      </c>
      <c r="E86" s="5" t="s">
        <v>16</v>
      </c>
      <c r="F86" s="5" t="s">
        <v>89</v>
      </c>
      <c r="G86" s="5" t="s">
        <v>12</v>
      </c>
      <c r="H86" s="5">
        <v>33</v>
      </c>
      <c r="I86" s="4" t="s">
        <v>186</v>
      </c>
      <c r="J86" s="13" t="s">
        <v>73</v>
      </c>
      <c r="P86" s="100" t="s">
        <v>636</v>
      </c>
    </row>
    <row r="87" spans="1:16" ht="19.5" customHeight="1" x14ac:dyDescent="0.25">
      <c r="A87" s="5" t="s">
        <v>242</v>
      </c>
      <c r="B87" s="5">
        <v>1</v>
      </c>
      <c r="C87" s="6">
        <v>46112</v>
      </c>
      <c r="D87" s="6">
        <v>46105</v>
      </c>
      <c r="E87" s="5" t="s">
        <v>16</v>
      </c>
      <c r="F87" s="5" t="s">
        <v>89</v>
      </c>
      <c r="G87" s="5" t="s">
        <v>12</v>
      </c>
      <c r="H87" s="5">
        <v>16</v>
      </c>
      <c r="I87" s="4" t="s">
        <v>186</v>
      </c>
      <c r="J87" s="13" t="s">
        <v>73</v>
      </c>
      <c r="P87" s="100" t="s">
        <v>637</v>
      </c>
    </row>
    <row r="88" spans="1:16" ht="19.5" customHeight="1" x14ac:dyDescent="0.25">
      <c r="A88" s="5" t="s">
        <v>256</v>
      </c>
      <c r="B88" s="5">
        <v>1</v>
      </c>
      <c r="C88" s="6">
        <v>46113</v>
      </c>
      <c r="D88" s="16">
        <v>46102</v>
      </c>
      <c r="E88" s="5" t="s">
        <v>16</v>
      </c>
      <c r="F88" s="5" t="s">
        <v>223</v>
      </c>
      <c r="G88" s="5" t="s">
        <v>12</v>
      </c>
      <c r="H88" s="5">
        <v>31</v>
      </c>
      <c r="I88" s="4" t="s">
        <v>187</v>
      </c>
      <c r="J88" s="13" t="s">
        <v>71</v>
      </c>
      <c r="P88" s="100" t="s">
        <v>638</v>
      </c>
    </row>
    <row r="89" spans="1:16" ht="19.5" customHeight="1" x14ac:dyDescent="0.25">
      <c r="A89" s="5" t="s">
        <v>257</v>
      </c>
      <c r="B89" s="5">
        <v>1</v>
      </c>
      <c r="C89" s="6">
        <v>46113</v>
      </c>
      <c r="D89" s="16">
        <v>46101</v>
      </c>
      <c r="E89" s="5" t="s">
        <v>16</v>
      </c>
      <c r="F89" s="5" t="s">
        <v>161</v>
      </c>
      <c r="G89" s="5" t="s">
        <v>12</v>
      </c>
      <c r="H89" s="5">
        <v>19</v>
      </c>
      <c r="I89" s="4" t="s">
        <v>187</v>
      </c>
      <c r="J89" s="13" t="s">
        <v>70</v>
      </c>
      <c r="P89" s="100" t="s">
        <v>639</v>
      </c>
    </row>
    <row r="90" spans="1:16" ht="19.5" customHeight="1" x14ac:dyDescent="0.25">
      <c r="A90" s="5" t="s">
        <v>258</v>
      </c>
      <c r="B90" s="5">
        <v>1</v>
      </c>
      <c r="C90" s="6">
        <v>46113</v>
      </c>
      <c r="D90" s="16">
        <v>46102</v>
      </c>
      <c r="E90" s="5" t="s">
        <v>16</v>
      </c>
      <c r="F90" s="5" t="s">
        <v>89</v>
      </c>
      <c r="G90" s="5" t="s">
        <v>12</v>
      </c>
      <c r="H90" s="5">
        <v>10</v>
      </c>
      <c r="I90" s="4" t="s">
        <v>186</v>
      </c>
      <c r="J90" s="13" t="s">
        <v>73</v>
      </c>
      <c r="P90" s="100" t="s">
        <v>652</v>
      </c>
    </row>
    <row r="91" spans="1:16" ht="19.5" customHeight="1" x14ac:dyDescent="0.25">
      <c r="A91" s="5" t="s">
        <v>259</v>
      </c>
      <c r="B91" s="5">
        <v>1</v>
      </c>
      <c r="C91" s="6">
        <v>46113</v>
      </c>
      <c r="D91" s="16">
        <v>46137</v>
      </c>
      <c r="E91" s="5" t="s">
        <v>16</v>
      </c>
      <c r="F91" s="5" t="s">
        <v>89</v>
      </c>
      <c r="G91" s="5" t="s">
        <v>12</v>
      </c>
      <c r="H91" s="5">
        <v>14</v>
      </c>
      <c r="I91" s="4" t="s">
        <v>186</v>
      </c>
      <c r="J91" s="13" t="s">
        <v>73</v>
      </c>
      <c r="P91" s="100" t="s">
        <v>653</v>
      </c>
    </row>
    <row r="92" spans="1:16" ht="19.5" customHeight="1" x14ac:dyDescent="0.25">
      <c r="A92" s="5" t="s">
        <v>260</v>
      </c>
      <c r="B92" s="5">
        <v>1</v>
      </c>
      <c r="C92" s="6">
        <v>46113</v>
      </c>
      <c r="D92" s="16">
        <v>46137</v>
      </c>
      <c r="E92" s="5" t="s">
        <v>16</v>
      </c>
      <c r="F92" s="5" t="s">
        <v>89</v>
      </c>
      <c r="G92" s="5" t="s">
        <v>12</v>
      </c>
      <c r="H92" s="5">
        <v>36</v>
      </c>
      <c r="I92" s="4" t="s">
        <v>186</v>
      </c>
      <c r="J92" s="13" t="s">
        <v>73</v>
      </c>
      <c r="P92" s="100" t="s">
        <v>654</v>
      </c>
    </row>
    <row r="93" spans="1:16" ht="19.5" customHeight="1" x14ac:dyDescent="0.25">
      <c r="A93" s="5" t="s">
        <v>261</v>
      </c>
      <c r="B93" s="5">
        <v>1</v>
      </c>
      <c r="C93" s="6">
        <v>46113</v>
      </c>
      <c r="D93" s="16">
        <v>46136</v>
      </c>
      <c r="E93" s="5" t="s">
        <v>16</v>
      </c>
      <c r="F93" s="5" t="s">
        <v>89</v>
      </c>
      <c r="G93" s="5" t="s">
        <v>12</v>
      </c>
      <c r="H93" s="5">
        <v>20</v>
      </c>
      <c r="I93" s="4" t="s">
        <v>186</v>
      </c>
      <c r="J93" s="13" t="s">
        <v>73</v>
      </c>
      <c r="P93" s="100" t="s">
        <v>655</v>
      </c>
    </row>
    <row r="94" spans="1:16" ht="19.5" customHeight="1" x14ac:dyDescent="0.25">
      <c r="A94" s="5" t="s">
        <v>262</v>
      </c>
      <c r="B94" s="5">
        <v>1</v>
      </c>
      <c r="C94" s="6">
        <v>46113</v>
      </c>
      <c r="D94" s="16">
        <v>46106</v>
      </c>
      <c r="E94" s="5" t="s">
        <v>16</v>
      </c>
      <c r="F94" s="5" t="s">
        <v>89</v>
      </c>
      <c r="G94" s="5" t="s">
        <v>12</v>
      </c>
      <c r="H94" s="5">
        <v>27</v>
      </c>
      <c r="I94" s="4" t="s">
        <v>186</v>
      </c>
      <c r="J94" s="13" t="s">
        <v>73</v>
      </c>
      <c r="P94" s="100" t="s">
        <v>656</v>
      </c>
    </row>
    <row r="95" spans="1:16" ht="19.5" customHeight="1" x14ac:dyDescent="0.25">
      <c r="A95" s="5" t="s">
        <v>263</v>
      </c>
      <c r="B95" s="5">
        <v>1</v>
      </c>
      <c r="C95" s="6">
        <v>46113</v>
      </c>
      <c r="D95" s="16">
        <v>46105</v>
      </c>
      <c r="E95" s="5" t="s">
        <v>16</v>
      </c>
      <c r="F95" s="5" t="s">
        <v>89</v>
      </c>
      <c r="G95" s="5" t="s">
        <v>12</v>
      </c>
      <c r="H95" s="5">
        <v>14</v>
      </c>
      <c r="I95" s="4" t="s">
        <v>186</v>
      </c>
      <c r="J95" s="13" t="s">
        <v>73</v>
      </c>
      <c r="P95" s="100" t="s">
        <v>657</v>
      </c>
    </row>
    <row r="96" spans="1:16" ht="19.5" customHeight="1" x14ac:dyDescent="0.25">
      <c r="A96" s="5" t="s">
        <v>264</v>
      </c>
      <c r="B96" s="7">
        <v>1</v>
      </c>
      <c r="C96" s="6">
        <v>46113</v>
      </c>
      <c r="D96" s="16">
        <v>46105</v>
      </c>
      <c r="E96" s="5" t="s">
        <v>16</v>
      </c>
      <c r="F96" s="5" t="s">
        <v>89</v>
      </c>
      <c r="G96" s="5" t="s">
        <v>12</v>
      </c>
      <c r="H96" s="5">
        <v>30</v>
      </c>
      <c r="I96" s="4" t="s">
        <v>186</v>
      </c>
      <c r="J96" s="13" t="s">
        <v>73</v>
      </c>
      <c r="P96" s="100" t="s">
        <v>658</v>
      </c>
    </row>
    <row r="97" spans="1:16" ht="19.5" customHeight="1" x14ac:dyDescent="0.25">
      <c r="A97" s="5" t="s">
        <v>265</v>
      </c>
      <c r="B97" s="7">
        <v>1</v>
      </c>
      <c r="C97" s="6">
        <v>46113</v>
      </c>
      <c r="D97" s="16">
        <v>46105</v>
      </c>
      <c r="E97" s="5" t="s">
        <v>16</v>
      </c>
      <c r="F97" s="5" t="s">
        <v>89</v>
      </c>
      <c r="G97" s="5" t="s">
        <v>12</v>
      </c>
      <c r="H97" s="5">
        <v>22</v>
      </c>
      <c r="I97" s="4" t="s">
        <v>186</v>
      </c>
      <c r="J97" s="13" t="s">
        <v>73</v>
      </c>
      <c r="P97" s="100" t="s">
        <v>659</v>
      </c>
    </row>
    <row r="98" spans="1:16" ht="19.5" customHeight="1" x14ac:dyDescent="0.25">
      <c r="A98" s="5" t="s">
        <v>267</v>
      </c>
      <c r="B98" s="7">
        <v>1</v>
      </c>
      <c r="C98" s="6">
        <v>46113</v>
      </c>
      <c r="D98" s="16">
        <v>46105</v>
      </c>
      <c r="E98" s="5" t="s">
        <v>16</v>
      </c>
      <c r="F98" s="5" t="s">
        <v>89</v>
      </c>
      <c r="G98" s="5" t="s">
        <v>12</v>
      </c>
      <c r="H98" s="5">
        <v>11</v>
      </c>
      <c r="I98" s="4" t="s">
        <v>186</v>
      </c>
      <c r="J98" s="13" t="s">
        <v>73</v>
      </c>
      <c r="P98" s="100" t="s">
        <v>660</v>
      </c>
    </row>
    <row r="99" spans="1:16" ht="19.5" customHeight="1" x14ac:dyDescent="0.25">
      <c r="A99" s="5" t="s">
        <v>266</v>
      </c>
      <c r="B99" s="7">
        <v>1</v>
      </c>
      <c r="C99" s="6">
        <v>46113</v>
      </c>
      <c r="D99" s="16">
        <v>46105</v>
      </c>
      <c r="E99" s="5" t="s">
        <v>16</v>
      </c>
      <c r="F99" s="5" t="s">
        <v>89</v>
      </c>
      <c r="G99" s="5" t="s">
        <v>12</v>
      </c>
      <c r="H99" s="5">
        <v>22</v>
      </c>
      <c r="I99" s="4" t="s">
        <v>186</v>
      </c>
      <c r="J99" s="13" t="s">
        <v>73</v>
      </c>
      <c r="P99" s="100" t="s">
        <v>661</v>
      </c>
    </row>
    <row r="100" spans="1:16" ht="19.5" customHeight="1" x14ac:dyDescent="0.25">
      <c r="A100" s="5" t="s">
        <v>268</v>
      </c>
      <c r="B100" s="7">
        <v>1</v>
      </c>
      <c r="C100" s="6">
        <v>46113</v>
      </c>
      <c r="D100" s="16">
        <v>46105</v>
      </c>
      <c r="E100" s="5" t="s">
        <v>16</v>
      </c>
      <c r="F100" s="5" t="s">
        <v>89</v>
      </c>
      <c r="G100" s="5" t="s">
        <v>12</v>
      </c>
      <c r="H100" s="5">
        <v>38</v>
      </c>
      <c r="I100" s="4" t="s">
        <v>186</v>
      </c>
      <c r="J100" s="13" t="s">
        <v>73</v>
      </c>
      <c r="P100" s="100" t="s">
        <v>662</v>
      </c>
    </row>
    <row r="101" spans="1:16" ht="19.5" customHeight="1" x14ac:dyDescent="0.25">
      <c r="A101" s="5" t="s">
        <v>269</v>
      </c>
      <c r="B101" s="7">
        <v>1</v>
      </c>
      <c r="C101" s="6">
        <v>46113</v>
      </c>
      <c r="D101" s="16">
        <v>46105</v>
      </c>
      <c r="E101" s="5" t="s">
        <v>16</v>
      </c>
      <c r="F101" s="5" t="s">
        <v>89</v>
      </c>
      <c r="G101" s="5" t="s">
        <v>12</v>
      </c>
      <c r="H101" s="10">
        <v>26</v>
      </c>
      <c r="I101" s="4" t="s">
        <v>186</v>
      </c>
      <c r="J101" s="13" t="s">
        <v>73</v>
      </c>
      <c r="P101" s="100" t="s">
        <v>663</v>
      </c>
    </row>
    <row r="102" spans="1:16" ht="19.5" customHeight="1" x14ac:dyDescent="0.25">
      <c r="A102" s="5" t="s">
        <v>270</v>
      </c>
      <c r="B102" s="7">
        <v>1</v>
      </c>
      <c r="C102" s="6">
        <v>46113</v>
      </c>
      <c r="D102" s="16">
        <v>46132</v>
      </c>
      <c r="E102" s="5" t="s">
        <v>16</v>
      </c>
      <c r="F102" s="5" t="s">
        <v>169</v>
      </c>
      <c r="G102" s="5" t="s">
        <v>12</v>
      </c>
      <c r="H102" s="5">
        <v>27</v>
      </c>
      <c r="I102" t="s">
        <v>185</v>
      </c>
      <c r="J102" s="13" t="s">
        <v>48</v>
      </c>
      <c r="P102" s="100" t="s">
        <v>664</v>
      </c>
    </row>
    <row r="103" spans="1:16" ht="19.5" customHeight="1" x14ac:dyDescent="0.25">
      <c r="A103" s="5" t="s">
        <v>270</v>
      </c>
      <c r="B103" s="7">
        <v>1</v>
      </c>
      <c r="C103" s="6">
        <v>46114</v>
      </c>
      <c r="D103" s="16">
        <v>46105</v>
      </c>
      <c r="E103" s="5" t="s">
        <v>16</v>
      </c>
      <c r="F103" s="5" t="s">
        <v>169</v>
      </c>
      <c r="G103" s="5" t="s">
        <v>12</v>
      </c>
      <c r="H103" s="5">
        <v>2</v>
      </c>
      <c r="I103" t="s">
        <v>185</v>
      </c>
      <c r="J103" s="13" t="s">
        <v>48</v>
      </c>
      <c r="P103" s="100" t="s">
        <v>665</v>
      </c>
    </row>
    <row r="104" spans="1:16" ht="19.5" customHeight="1" x14ac:dyDescent="0.25">
      <c r="A104" s="5" t="s">
        <v>274</v>
      </c>
      <c r="B104" s="7">
        <v>1</v>
      </c>
      <c r="C104" s="6">
        <v>46114</v>
      </c>
      <c r="D104" s="16">
        <v>46101</v>
      </c>
      <c r="E104" s="5" t="s">
        <v>16</v>
      </c>
      <c r="F104" s="5" t="s">
        <v>169</v>
      </c>
      <c r="G104" s="5" t="s">
        <v>12</v>
      </c>
      <c r="H104" s="5">
        <v>7</v>
      </c>
      <c r="I104" t="s">
        <v>185</v>
      </c>
      <c r="J104" s="13" t="s">
        <v>48</v>
      </c>
      <c r="P104" s="100" t="s">
        <v>666</v>
      </c>
    </row>
    <row r="105" spans="1:16" ht="19.5" customHeight="1" x14ac:dyDescent="0.25">
      <c r="A105" s="5" t="s">
        <v>275</v>
      </c>
      <c r="B105" s="7">
        <v>1</v>
      </c>
      <c r="C105" s="6">
        <v>46114</v>
      </c>
      <c r="D105" s="16">
        <v>46105</v>
      </c>
      <c r="E105" s="5" t="s">
        <v>16</v>
      </c>
      <c r="F105" s="5" t="s">
        <v>169</v>
      </c>
      <c r="G105" s="5" t="s">
        <v>12</v>
      </c>
      <c r="H105" s="5">
        <v>11</v>
      </c>
      <c r="I105" t="s">
        <v>185</v>
      </c>
      <c r="J105" s="13" t="s">
        <v>48</v>
      </c>
      <c r="P105" s="100" t="s">
        <v>667</v>
      </c>
    </row>
    <row r="106" spans="1:16" ht="19.5" customHeight="1" x14ac:dyDescent="0.25">
      <c r="A106" s="5" t="s">
        <v>276</v>
      </c>
      <c r="B106" s="7">
        <v>1</v>
      </c>
      <c r="C106" s="6">
        <v>46114</v>
      </c>
      <c r="D106" s="16">
        <v>46106</v>
      </c>
      <c r="E106" s="5" t="s">
        <v>16</v>
      </c>
      <c r="F106" s="5" t="s">
        <v>169</v>
      </c>
      <c r="G106" s="5" t="s">
        <v>12</v>
      </c>
      <c r="H106" s="5">
        <v>28</v>
      </c>
      <c r="I106" t="s">
        <v>185</v>
      </c>
      <c r="J106" s="13" t="s">
        <v>48</v>
      </c>
      <c r="P106" s="100" t="s">
        <v>668</v>
      </c>
    </row>
    <row r="107" spans="1:16" ht="19.5" customHeight="1" x14ac:dyDescent="0.25">
      <c r="A107" s="5" t="s">
        <v>277</v>
      </c>
      <c r="B107" s="7">
        <v>1</v>
      </c>
      <c r="C107" s="6">
        <v>46114</v>
      </c>
      <c r="D107" s="16">
        <v>46105</v>
      </c>
      <c r="E107" s="5" t="s">
        <v>16</v>
      </c>
      <c r="F107" s="5" t="s">
        <v>169</v>
      </c>
      <c r="G107" s="5" t="s">
        <v>12</v>
      </c>
      <c r="H107" s="5">
        <v>15</v>
      </c>
      <c r="I107" t="s">
        <v>185</v>
      </c>
      <c r="J107" s="13" t="s">
        <v>48</v>
      </c>
      <c r="P107" s="100" t="s">
        <v>669</v>
      </c>
    </row>
    <row r="108" spans="1:16" ht="19.5" customHeight="1" x14ac:dyDescent="0.25">
      <c r="A108" s="5" t="s">
        <v>278</v>
      </c>
      <c r="B108" s="7">
        <v>1</v>
      </c>
      <c r="C108" s="6">
        <v>46114</v>
      </c>
      <c r="D108" s="16">
        <v>46105</v>
      </c>
      <c r="E108" s="5" t="s">
        <v>16</v>
      </c>
      <c r="F108" s="5" t="s">
        <v>169</v>
      </c>
      <c r="G108" s="5" t="s">
        <v>12</v>
      </c>
      <c r="H108" s="5">
        <v>29</v>
      </c>
      <c r="I108" t="s">
        <v>185</v>
      </c>
      <c r="J108" s="13" t="s">
        <v>48</v>
      </c>
      <c r="P108" s="100" t="s">
        <v>669</v>
      </c>
    </row>
    <row r="109" spans="1:16" ht="19.5" customHeight="1" x14ac:dyDescent="0.25">
      <c r="A109" s="5" t="s">
        <v>279</v>
      </c>
      <c r="B109" s="7">
        <v>1</v>
      </c>
      <c r="C109" s="6">
        <v>46114</v>
      </c>
      <c r="D109" s="16">
        <v>46105</v>
      </c>
      <c r="E109" s="5" t="s">
        <v>16</v>
      </c>
      <c r="F109" s="5" t="s">
        <v>169</v>
      </c>
      <c r="G109" s="5" t="s">
        <v>12</v>
      </c>
      <c r="H109" s="5">
        <v>5</v>
      </c>
      <c r="I109" t="s">
        <v>185</v>
      </c>
      <c r="J109" s="13" t="s">
        <v>48</v>
      </c>
      <c r="P109" s="100" t="s">
        <v>670</v>
      </c>
    </row>
    <row r="110" spans="1:16" ht="19.5" customHeight="1" x14ac:dyDescent="0.25">
      <c r="A110" s="5" t="s">
        <v>280</v>
      </c>
      <c r="B110" s="7">
        <v>1</v>
      </c>
      <c r="C110" s="6">
        <v>46114</v>
      </c>
      <c r="D110" s="16">
        <v>46105</v>
      </c>
      <c r="E110" s="5" t="s">
        <v>16</v>
      </c>
      <c r="F110" s="5" t="s">
        <v>169</v>
      </c>
      <c r="G110" s="5" t="s">
        <v>12</v>
      </c>
      <c r="H110" s="5">
        <v>26</v>
      </c>
      <c r="I110" t="s">
        <v>185</v>
      </c>
      <c r="J110" s="13" t="s">
        <v>48</v>
      </c>
      <c r="P110" s="100" t="s">
        <v>670</v>
      </c>
    </row>
    <row r="111" spans="1:16" ht="19.5" customHeight="1" x14ac:dyDescent="0.25">
      <c r="A111" s="5" t="s">
        <v>281</v>
      </c>
      <c r="B111" s="7">
        <v>1</v>
      </c>
      <c r="C111" s="6">
        <v>46114</v>
      </c>
      <c r="D111" s="16">
        <v>46105</v>
      </c>
      <c r="E111" s="5" t="s">
        <v>16</v>
      </c>
      <c r="F111" s="5" t="s">
        <v>169</v>
      </c>
      <c r="G111" s="5" t="s">
        <v>12</v>
      </c>
      <c r="H111" s="5">
        <v>36</v>
      </c>
      <c r="I111" t="s">
        <v>185</v>
      </c>
      <c r="J111" s="13" t="s">
        <v>48</v>
      </c>
      <c r="P111" s="100" t="s">
        <v>671</v>
      </c>
    </row>
    <row r="112" spans="1:16" ht="19.5" customHeight="1" x14ac:dyDescent="0.25">
      <c r="A112" s="5" t="s">
        <v>282</v>
      </c>
      <c r="B112" s="7">
        <v>1</v>
      </c>
      <c r="C112" s="6">
        <v>46114</v>
      </c>
      <c r="D112" s="16">
        <v>46106</v>
      </c>
      <c r="E112" s="5" t="s">
        <v>16</v>
      </c>
      <c r="F112" s="5" t="s">
        <v>169</v>
      </c>
      <c r="G112" s="5" t="s">
        <v>12</v>
      </c>
      <c r="H112" s="5">
        <v>36</v>
      </c>
      <c r="I112" t="s">
        <v>185</v>
      </c>
      <c r="J112" s="13" t="s">
        <v>48</v>
      </c>
      <c r="P112" s="100" t="s">
        <v>671</v>
      </c>
    </row>
    <row r="113" spans="1:16" ht="19.5" customHeight="1" x14ac:dyDescent="0.25">
      <c r="A113" s="5" t="s">
        <v>283</v>
      </c>
      <c r="B113" s="7">
        <v>1</v>
      </c>
      <c r="C113" s="6">
        <v>46114</v>
      </c>
      <c r="D113" s="16">
        <v>46102</v>
      </c>
      <c r="E113" s="5" t="s">
        <v>16</v>
      </c>
      <c r="F113" s="5" t="s">
        <v>213</v>
      </c>
      <c r="G113" s="5" t="s">
        <v>12</v>
      </c>
      <c r="H113" s="5">
        <v>7</v>
      </c>
      <c r="I113" s="4" t="s">
        <v>187</v>
      </c>
      <c r="J113" s="13" t="s">
        <v>71</v>
      </c>
      <c r="P113" s="100" t="s">
        <v>672</v>
      </c>
    </row>
    <row r="114" spans="1:16" ht="19.5" customHeight="1" x14ac:dyDescent="0.25">
      <c r="A114" s="5" t="s">
        <v>284</v>
      </c>
      <c r="B114" s="7">
        <v>1</v>
      </c>
      <c r="C114" s="6">
        <v>46116</v>
      </c>
      <c r="D114" s="16">
        <v>46105</v>
      </c>
      <c r="E114" s="5" t="s">
        <v>16</v>
      </c>
      <c r="F114" s="5" t="s">
        <v>169</v>
      </c>
      <c r="G114" s="5" t="s">
        <v>12</v>
      </c>
      <c r="H114" s="5">
        <v>30</v>
      </c>
      <c r="I114" t="s">
        <v>185</v>
      </c>
      <c r="J114" s="13" t="s">
        <v>48</v>
      </c>
      <c r="P114" s="100" t="s">
        <v>673</v>
      </c>
    </row>
    <row r="115" spans="1:16" ht="19.5" customHeight="1" x14ac:dyDescent="0.25">
      <c r="A115" s="5" t="s">
        <v>285</v>
      </c>
      <c r="B115" s="7">
        <v>1</v>
      </c>
      <c r="C115" s="6">
        <v>46116</v>
      </c>
      <c r="D115" s="16">
        <v>46106</v>
      </c>
      <c r="E115" s="5" t="s">
        <v>16</v>
      </c>
      <c r="F115" s="5" t="s">
        <v>169</v>
      </c>
      <c r="G115" s="5" t="s">
        <v>12</v>
      </c>
      <c r="H115" s="5">
        <v>11</v>
      </c>
      <c r="I115" t="s">
        <v>185</v>
      </c>
      <c r="J115" s="13" t="s">
        <v>48</v>
      </c>
      <c r="P115" s="100" t="s">
        <v>674</v>
      </c>
    </row>
    <row r="116" spans="1:16" ht="19.5" customHeight="1" x14ac:dyDescent="0.25">
      <c r="A116" s="5" t="s">
        <v>286</v>
      </c>
      <c r="B116" s="7">
        <v>1</v>
      </c>
      <c r="C116" s="6">
        <v>46116</v>
      </c>
      <c r="D116" s="16">
        <v>46105</v>
      </c>
      <c r="E116" s="5" t="s">
        <v>16</v>
      </c>
      <c r="F116" s="5" t="s">
        <v>169</v>
      </c>
      <c r="G116" s="5" t="s">
        <v>12</v>
      </c>
      <c r="H116" s="5">
        <v>3</v>
      </c>
      <c r="I116" t="s">
        <v>185</v>
      </c>
      <c r="J116" s="13" t="s">
        <v>48</v>
      </c>
      <c r="P116" s="100" t="s">
        <v>675</v>
      </c>
    </row>
    <row r="117" spans="1:16" ht="19.5" customHeight="1" x14ac:dyDescent="0.25">
      <c r="A117" s="5" t="s">
        <v>287</v>
      </c>
      <c r="B117" s="7">
        <v>1</v>
      </c>
      <c r="C117" s="6">
        <v>46116</v>
      </c>
      <c r="D117" s="16">
        <v>46106</v>
      </c>
      <c r="E117" s="5" t="s">
        <v>16</v>
      </c>
      <c r="F117" s="5" t="s">
        <v>169</v>
      </c>
      <c r="G117" s="5" t="s">
        <v>12</v>
      </c>
      <c r="H117" s="5">
        <v>17</v>
      </c>
      <c r="I117" t="s">
        <v>185</v>
      </c>
      <c r="J117" s="13" t="s">
        <v>48</v>
      </c>
      <c r="P117" s="100" t="s">
        <v>676</v>
      </c>
    </row>
    <row r="118" spans="1:16" ht="19.5" customHeight="1" x14ac:dyDescent="0.25">
      <c r="A118" s="5" t="s">
        <v>288</v>
      </c>
      <c r="B118" s="7">
        <v>1</v>
      </c>
      <c r="C118" s="6">
        <v>46116</v>
      </c>
      <c r="D118" s="16">
        <v>46106</v>
      </c>
      <c r="E118" s="5" t="s">
        <v>16</v>
      </c>
      <c r="F118" s="5" t="s">
        <v>169</v>
      </c>
      <c r="G118" s="5" t="s">
        <v>12</v>
      </c>
      <c r="H118" s="5">
        <v>18</v>
      </c>
      <c r="I118" t="s">
        <v>185</v>
      </c>
      <c r="J118" s="13" t="s">
        <v>48</v>
      </c>
      <c r="P118" s="100" t="s">
        <v>677</v>
      </c>
    </row>
    <row r="119" spans="1:16" ht="19.5" customHeight="1" x14ac:dyDescent="0.25">
      <c r="A119" s="5" t="s">
        <v>289</v>
      </c>
      <c r="B119" s="7">
        <v>1</v>
      </c>
      <c r="C119" s="6">
        <v>46116</v>
      </c>
      <c r="D119" s="16">
        <v>46137</v>
      </c>
      <c r="E119" s="5" t="s">
        <v>16</v>
      </c>
      <c r="F119" s="5" t="s">
        <v>169</v>
      </c>
      <c r="G119" s="5" t="s">
        <v>12</v>
      </c>
      <c r="H119" s="5">
        <v>11</v>
      </c>
      <c r="I119" t="s">
        <v>185</v>
      </c>
      <c r="J119" s="13" t="s">
        <v>48</v>
      </c>
      <c r="P119" s="100" t="s">
        <v>678</v>
      </c>
    </row>
    <row r="120" spans="1:16" ht="19.5" customHeight="1" x14ac:dyDescent="0.25">
      <c r="A120" s="5" t="s">
        <v>290</v>
      </c>
      <c r="B120" s="7">
        <v>1</v>
      </c>
      <c r="C120" s="6">
        <v>46116</v>
      </c>
      <c r="D120" s="16">
        <v>46137</v>
      </c>
      <c r="E120" s="5" t="s">
        <v>16</v>
      </c>
      <c r="F120" s="5" t="s">
        <v>169</v>
      </c>
      <c r="G120" s="5" t="s">
        <v>12</v>
      </c>
      <c r="H120" s="5">
        <v>15</v>
      </c>
      <c r="I120" t="s">
        <v>185</v>
      </c>
      <c r="J120" s="13" t="s">
        <v>48</v>
      </c>
      <c r="P120" s="100" t="s">
        <v>679</v>
      </c>
    </row>
    <row r="121" spans="1:16" ht="19.5" customHeight="1" x14ac:dyDescent="0.25">
      <c r="A121" s="5" t="s">
        <v>291</v>
      </c>
      <c r="B121" s="7">
        <v>1</v>
      </c>
      <c r="C121" s="6">
        <v>46116</v>
      </c>
      <c r="D121" s="16">
        <v>46106</v>
      </c>
      <c r="E121" s="5" t="s">
        <v>16</v>
      </c>
      <c r="F121" s="5" t="s">
        <v>169</v>
      </c>
      <c r="G121" s="5" t="s">
        <v>12</v>
      </c>
      <c r="H121" s="5">
        <v>4</v>
      </c>
      <c r="I121" t="s">
        <v>185</v>
      </c>
      <c r="J121" s="13" t="s">
        <v>48</v>
      </c>
      <c r="P121" s="100" t="s">
        <v>680</v>
      </c>
    </row>
    <row r="122" spans="1:16" ht="19.5" customHeight="1" x14ac:dyDescent="0.25">
      <c r="A122" s="5" t="s">
        <v>292</v>
      </c>
      <c r="B122" s="7">
        <v>1</v>
      </c>
      <c r="C122" s="6">
        <v>46116</v>
      </c>
      <c r="D122" s="16">
        <v>46107</v>
      </c>
      <c r="E122" s="5" t="s">
        <v>16</v>
      </c>
      <c r="F122" s="5" t="s">
        <v>169</v>
      </c>
      <c r="G122" s="5" t="s">
        <v>12</v>
      </c>
      <c r="H122" s="5">
        <v>30</v>
      </c>
      <c r="I122" t="s">
        <v>185</v>
      </c>
      <c r="J122" s="13" t="s">
        <v>48</v>
      </c>
      <c r="P122" s="100" t="s">
        <v>681</v>
      </c>
    </row>
    <row r="123" spans="1:16" ht="19.5" customHeight="1" x14ac:dyDescent="0.25">
      <c r="A123" s="5" t="s">
        <v>293</v>
      </c>
      <c r="B123" s="7">
        <v>1</v>
      </c>
      <c r="C123" s="6">
        <v>46116</v>
      </c>
      <c r="D123" s="16">
        <v>46109</v>
      </c>
      <c r="E123" s="5" t="s">
        <v>16</v>
      </c>
      <c r="F123" s="5" t="s">
        <v>169</v>
      </c>
      <c r="G123" s="5" t="s">
        <v>12</v>
      </c>
      <c r="H123" s="5">
        <v>6</v>
      </c>
      <c r="I123" t="s">
        <v>185</v>
      </c>
      <c r="J123" s="13" t="s">
        <v>48</v>
      </c>
      <c r="P123" s="100" t="s">
        <v>682</v>
      </c>
    </row>
    <row r="124" spans="1:16" ht="19.5" customHeight="1" x14ac:dyDescent="0.25">
      <c r="A124" s="5" t="s">
        <v>294</v>
      </c>
      <c r="B124" s="7">
        <v>1</v>
      </c>
      <c r="C124" s="6">
        <v>46116</v>
      </c>
      <c r="D124" s="16">
        <v>46109</v>
      </c>
      <c r="E124" s="5" t="s">
        <v>16</v>
      </c>
      <c r="F124" s="5" t="s">
        <v>169</v>
      </c>
      <c r="G124" s="5" t="s">
        <v>12</v>
      </c>
      <c r="H124" s="5">
        <v>30</v>
      </c>
      <c r="I124" t="s">
        <v>185</v>
      </c>
      <c r="J124" s="13" t="s">
        <v>48</v>
      </c>
      <c r="P124" s="100" t="s">
        <v>683</v>
      </c>
    </row>
    <row r="125" spans="1:16" ht="19.5" customHeight="1" x14ac:dyDescent="0.25">
      <c r="A125" s="5" t="s">
        <v>313</v>
      </c>
      <c r="B125" s="7">
        <v>1</v>
      </c>
      <c r="C125" s="6">
        <v>46116</v>
      </c>
      <c r="D125" s="16">
        <v>46109</v>
      </c>
      <c r="E125" s="5" t="s">
        <v>16</v>
      </c>
      <c r="F125" s="5" t="s">
        <v>169</v>
      </c>
      <c r="G125" s="5" t="s">
        <v>12</v>
      </c>
      <c r="H125" s="5">
        <v>21</v>
      </c>
      <c r="I125" t="s">
        <v>185</v>
      </c>
      <c r="J125" s="13" t="s">
        <v>48</v>
      </c>
      <c r="P125" s="100" t="s">
        <v>684</v>
      </c>
    </row>
    <row r="126" spans="1:16" ht="19.5" customHeight="1" x14ac:dyDescent="0.25">
      <c r="A126" s="5" t="s">
        <v>295</v>
      </c>
      <c r="B126" s="7">
        <v>1</v>
      </c>
      <c r="C126" s="6">
        <v>46116</v>
      </c>
      <c r="D126" s="16">
        <v>46107</v>
      </c>
      <c r="E126" s="5" t="s">
        <v>16</v>
      </c>
      <c r="F126" s="5" t="s">
        <v>169</v>
      </c>
      <c r="G126" s="5" t="s">
        <v>12</v>
      </c>
      <c r="H126" s="5">
        <v>10</v>
      </c>
      <c r="I126" t="s">
        <v>185</v>
      </c>
      <c r="J126" s="13" t="s">
        <v>48</v>
      </c>
      <c r="P126" s="100" t="s">
        <v>685</v>
      </c>
    </row>
    <row r="127" spans="1:16" ht="19.5" customHeight="1" x14ac:dyDescent="0.25">
      <c r="A127" s="5" t="s">
        <v>296</v>
      </c>
      <c r="B127" s="7">
        <v>1</v>
      </c>
      <c r="C127" s="6">
        <v>46116</v>
      </c>
      <c r="D127" s="16">
        <v>46107</v>
      </c>
      <c r="E127" s="5" t="s">
        <v>16</v>
      </c>
      <c r="F127" s="5" t="s">
        <v>169</v>
      </c>
      <c r="G127" s="5" t="s">
        <v>12</v>
      </c>
      <c r="H127" s="5">
        <v>14</v>
      </c>
      <c r="I127" t="s">
        <v>185</v>
      </c>
      <c r="J127" s="13" t="s">
        <v>48</v>
      </c>
      <c r="P127" s="100" t="s">
        <v>686</v>
      </c>
    </row>
    <row r="128" spans="1:16" ht="19.5" customHeight="1" x14ac:dyDescent="0.25">
      <c r="A128" s="5" t="s">
        <v>297</v>
      </c>
      <c r="B128" s="7">
        <v>1</v>
      </c>
      <c r="C128" s="6">
        <v>46116</v>
      </c>
      <c r="D128" s="16">
        <v>46109</v>
      </c>
      <c r="E128" s="5" t="s">
        <v>16</v>
      </c>
      <c r="F128" s="5" t="s">
        <v>169</v>
      </c>
      <c r="G128" s="5" t="s">
        <v>12</v>
      </c>
      <c r="H128" s="5">
        <v>7</v>
      </c>
      <c r="I128" t="s">
        <v>185</v>
      </c>
      <c r="J128" s="13" t="s">
        <v>48</v>
      </c>
      <c r="P128" s="100" t="s">
        <v>687</v>
      </c>
    </row>
    <row r="129" spans="1:16" ht="19.5" customHeight="1" x14ac:dyDescent="0.25">
      <c r="A129" s="5" t="s">
        <v>298</v>
      </c>
      <c r="B129" s="7">
        <v>1</v>
      </c>
      <c r="C129" s="6">
        <v>46116</v>
      </c>
      <c r="D129" s="16">
        <v>46106</v>
      </c>
      <c r="E129" s="5" t="s">
        <v>16</v>
      </c>
      <c r="F129" s="5" t="s">
        <v>299</v>
      </c>
      <c r="G129" s="5" t="s">
        <v>12</v>
      </c>
      <c r="H129" s="5">
        <v>29</v>
      </c>
      <c r="I129" t="s">
        <v>20</v>
      </c>
      <c r="J129" s="13" t="s">
        <v>68</v>
      </c>
      <c r="P129" s="100" t="s">
        <v>688</v>
      </c>
    </row>
    <row r="130" spans="1:16" ht="19.5" customHeight="1" x14ac:dyDescent="0.25">
      <c r="A130" s="5" t="s">
        <v>300</v>
      </c>
      <c r="B130" s="7">
        <v>1</v>
      </c>
      <c r="C130" s="6">
        <v>46116</v>
      </c>
      <c r="D130" s="16">
        <v>46106</v>
      </c>
      <c r="E130" s="5" t="s">
        <v>16</v>
      </c>
      <c r="F130" s="5" t="s">
        <v>299</v>
      </c>
      <c r="G130" s="5" t="s">
        <v>12</v>
      </c>
      <c r="H130" s="5">
        <v>12</v>
      </c>
      <c r="I130" t="s">
        <v>20</v>
      </c>
      <c r="J130" s="13" t="s">
        <v>68</v>
      </c>
      <c r="P130" s="100" t="s">
        <v>689</v>
      </c>
    </row>
    <row r="131" spans="1:16" ht="19.5" customHeight="1" x14ac:dyDescent="0.25">
      <c r="A131" s="5" t="s">
        <v>301</v>
      </c>
      <c r="B131" s="7">
        <v>1</v>
      </c>
      <c r="C131" s="6">
        <v>46116</v>
      </c>
      <c r="D131" s="16">
        <v>46106</v>
      </c>
      <c r="E131" s="5" t="s">
        <v>16</v>
      </c>
      <c r="F131" s="5" t="s">
        <v>299</v>
      </c>
      <c r="G131" s="5" t="s">
        <v>12</v>
      </c>
      <c r="H131" s="5">
        <v>27</v>
      </c>
      <c r="I131" t="s">
        <v>20</v>
      </c>
      <c r="J131" s="13" t="s">
        <v>68</v>
      </c>
      <c r="P131" s="100" t="s">
        <v>690</v>
      </c>
    </row>
    <row r="132" spans="1:16" ht="19.5" customHeight="1" x14ac:dyDescent="0.25">
      <c r="A132" s="5" t="s">
        <v>302</v>
      </c>
      <c r="B132" s="7">
        <v>1</v>
      </c>
      <c r="C132" s="6">
        <v>46116</v>
      </c>
      <c r="D132" s="16">
        <v>46106</v>
      </c>
      <c r="E132" s="5" t="s">
        <v>16</v>
      </c>
      <c r="F132" s="5" t="s">
        <v>299</v>
      </c>
      <c r="G132" s="5" t="s">
        <v>12</v>
      </c>
      <c r="H132" s="5">
        <v>3</v>
      </c>
      <c r="I132" t="s">
        <v>20</v>
      </c>
      <c r="J132" s="13" t="s">
        <v>68</v>
      </c>
      <c r="P132" s="100" t="s">
        <v>691</v>
      </c>
    </row>
    <row r="133" spans="1:16" ht="19.5" customHeight="1" x14ac:dyDescent="0.25">
      <c r="A133" s="5" t="s">
        <v>303</v>
      </c>
      <c r="B133" s="7">
        <v>1</v>
      </c>
      <c r="C133" s="6">
        <v>46116</v>
      </c>
      <c r="D133" s="16">
        <v>46106</v>
      </c>
      <c r="E133" s="5" t="s">
        <v>16</v>
      </c>
      <c r="F133" s="5" t="s">
        <v>299</v>
      </c>
      <c r="G133" s="5" t="s">
        <v>12</v>
      </c>
      <c r="H133" s="5">
        <v>15</v>
      </c>
      <c r="I133" t="s">
        <v>20</v>
      </c>
      <c r="J133" s="13" t="s">
        <v>68</v>
      </c>
      <c r="P133" s="100" t="s">
        <v>692</v>
      </c>
    </row>
    <row r="134" spans="1:16" ht="19.5" customHeight="1" x14ac:dyDescent="0.25">
      <c r="A134" s="5" t="s">
        <v>304</v>
      </c>
      <c r="B134" s="7">
        <v>1</v>
      </c>
      <c r="C134" s="6">
        <v>46116</v>
      </c>
      <c r="D134" s="16">
        <v>46106</v>
      </c>
      <c r="E134" s="5" t="s">
        <v>16</v>
      </c>
      <c r="F134" s="5" t="s">
        <v>299</v>
      </c>
      <c r="G134" s="5" t="s">
        <v>12</v>
      </c>
      <c r="H134" s="5">
        <v>30</v>
      </c>
      <c r="I134" t="s">
        <v>20</v>
      </c>
      <c r="J134" s="13" t="s">
        <v>68</v>
      </c>
      <c r="P134" s="100" t="s">
        <v>693</v>
      </c>
    </row>
    <row r="135" spans="1:16" ht="19.5" customHeight="1" x14ac:dyDescent="0.25">
      <c r="A135" s="5" t="s">
        <v>307</v>
      </c>
      <c r="B135" s="5">
        <v>1</v>
      </c>
      <c r="C135" s="6">
        <v>46118</v>
      </c>
      <c r="D135" s="16">
        <v>46106</v>
      </c>
      <c r="E135" s="15" t="s">
        <v>16</v>
      </c>
      <c r="F135" s="5" t="s">
        <v>299</v>
      </c>
      <c r="G135" s="5" t="s">
        <v>11</v>
      </c>
      <c r="H135" s="5">
        <v>20</v>
      </c>
      <c r="I135" s="5" t="s">
        <v>20</v>
      </c>
      <c r="J135" s="13" t="s">
        <v>68</v>
      </c>
      <c r="P135" s="100" t="s">
        <v>694</v>
      </c>
    </row>
    <row r="136" spans="1:16" ht="19.5" customHeight="1" x14ac:dyDescent="0.25">
      <c r="A136" s="5" t="s">
        <v>308</v>
      </c>
      <c r="B136" s="5">
        <v>1</v>
      </c>
      <c r="C136" s="6">
        <v>46118</v>
      </c>
      <c r="D136" s="16">
        <v>46106</v>
      </c>
      <c r="E136" s="15" t="s">
        <v>16</v>
      </c>
      <c r="F136" s="5" t="s">
        <v>299</v>
      </c>
      <c r="G136" s="5" t="s">
        <v>11</v>
      </c>
      <c r="H136" s="5">
        <v>18</v>
      </c>
      <c r="I136" s="5" t="s">
        <v>20</v>
      </c>
      <c r="J136" s="13" t="s">
        <v>68</v>
      </c>
      <c r="P136" s="100" t="s">
        <v>695</v>
      </c>
    </row>
    <row r="137" spans="1:16" ht="19.5" customHeight="1" x14ac:dyDescent="0.25">
      <c r="A137" s="5" t="s">
        <v>309</v>
      </c>
      <c r="B137" s="5">
        <v>1</v>
      </c>
      <c r="C137" s="6">
        <v>46118</v>
      </c>
      <c r="D137" s="16">
        <v>46106</v>
      </c>
      <c r="E137" s="15" t="s">
        <v>16</v>
      </c>
      <c r="F137" s="5" t="s">
        <v>299</v>
      </c>
      <c r="G137" s="5" t="s">
        <v>11</v>
      </c>
      <c r="H137" s="5">
        <v>21</v>
      </c>
      <c r="I137" s="5" t="s">
        <v>20</v>
      </c>
      <c r="J137" s="13" t="s">
        <v>68</v>
      </c>
      <c r="P137" s="100" t="s">
        <v>696</v>
      </c>
    </row>
    <row r="138" spans="1:16" ht="19.5" customHeight="1" x14ac:dyDescent="0.25">
      <c r="A138" s="5" t="s">
        <v>310</v>
      </c>
      <c r="B138" s="5">
        <v>1</v>
      </c>
      <c r="C138" s="6">
        <v>46118</v>
      </c>
      <c r="D138" s="16">
        <v>46111</v>
      </c>
      <c r="E138" s="15" t="s">
        <v>16</v>
      </c>
      <c r="F138" s="5" t="s">
        <v>89</v>
      </c>
      <c r="G138" s="5" t="s">
        <v>13</v>
      </c>
      <c r="H138" s="5">
        <v>5</v>
      </c>
      <c r="I138" s="5" t="s">
        <v>67</v>
      </c>
      <c r="J138" s="13" t="s">
        <v>73</v>
      </c>
      <c r="P138" s="100" t="s">
        <v>697</v>
      </c>
    </row>
    <row r="139" spans="1:16" ht="19.5" customHeight="1" x14ac:dyDescent="0.25">
      <c r="A139" s="6" t="s">
        <v>311</v>
      </c>
      <c r="B139" s="5">
        <v>1</v>
      </c>
      <c r="C139" s="6">
        <v>46118</v>
      </c>
      <c r="D139" s="16">
        <v>46111</v>
      </c>
      <c r="E139" s="15" t="s">
        <v>16</v>
      </c>
      <c r="F139" s="5" t="s">
        <v>89</v>
      </c>
      <c r="G139" s="5" t="s">
        <v>13</v>
      </c>
      <c r="H139" s="5">
        <v>1</v>
      </c>
      <c r="I139" s="5" t="s">
        <v>67</v>
      </c>
      <c r="J139" s="13" t="s">
        <v>73</v>
      </c>
      <c r="P139" s="100" t="s">
        <v>698</v>
      </c>
    </row>
    <row r="140" spans="1:16" ht="19.5" customHeight="1" x14ac:dyDescent="0.25">
      <c r="A140" s="5" t="s">
        <v>312</v>
      </c>
      <c r="B140" s="5">
        <v>1</v>
      </c>
      <c r="C140" s="6">
        <v>46118</v>
      </c>
      <c r="D140" s="16">
        <v>46105</v>
      </c>
      <c r="E140" s="15" t="s">
        <v>16</v>
      </c>
      <c r="F140" s="5" t="s">
        <v>89</v>
      </c>
      <c r="G140" s="5" t="s">
        <v>11</v>
      </c>
      <c r="H140" s="5">
        <v>32</v>
      </c>
      <c r="I140" s="5" t="s">
        <v>67</v>
      </c>
      <c r="J140" s="13" t="s">
        <v>73</v>
      </c>
      <c r="P140" s="100" t="s">
        <v>699</v>
      </c>
    </row>
    <row r="141" spans="1:16" ht="19.5" customHeight="1" x14ac:dyDescent="0.25">
      <c r="A141" s="5" t="s">
        <v>314</v>
      </c>
      <c r="B141" s="5">
        <v>1</v>
      </c>
      <c r="C141" s="6">
        <v>46118</v>
      </c>
      <c r="D141" s="16">
        <v>46107</v>
      </c>
      <c r="E141" s="15" t="s">
        <v>16</v>
      </c>
      <c r="F141" s="5" t="s">
        <v>169</v>
      </c>
      <c r="G141" s="5" t="s">
        <v>10</v>
      </c>
      <c r="H141" s="5">
        <v>21</v>
      </c>
      <c r="I141" s="5" t="s">
        <v>20</v>
      </c>
      <c r="J141" s="13" t="s">
        <v>48</v>
      </c>
      <c r="P141" s="100" t="s">
        <v>700</v>
      </c>
    </row>
    <row r="142" spans="1:16" ht="19.5" customHeight="1" x14ac:dyDescent="0.25">
      <c r="A142" s="5" t="s">
        <v>315</v>
      </c>
      <c r="B142" s="5">
        <v>1</v>
      </c>
      <c r="C142" s="6">
        <v>46118</v>
      </c>
      <c r="D142" s="16">
        <v>46107</v>
      </c>
      <c r="E142" s="15" t="s">
        <v>16</v>
      </c>
      <c r="F142" s="5" t="s">
        <v>169</v>
      </c>
      <c r="G142" s="5" t="s">
        <v>10</v>
      </c>
      <c r="H142" s="5">
        <v>21</v>
      </c>
      <c r="I142" s="5" t="s">
        <v>20</v>
      </c>
      <c r="J142" s="13" t="s">
        <v>48</v>
      </c>
      <c r="P142" s="100" t="s">
        <v>701</v>
      </c>
    </row>
    <row r="143" spans="1:16" ht="19.5" customHeight="1" x14ac:dyDescent="0.25">
      <c r="A143" s="5" t="s">
        <v>316</v>
      </c>
      <c r="B143" s="5">
        <v>1</v>
      </c>
      <c r="C143" s="6">
        <v>46118</v>
      </c>
      <c r="D143" s="16">
        <v>46107</v>
      </c>
      <c r="E143" s="15" t="s">
        <v>16</v>
      </c>
      <c r="F143" s="5" t="s">
        <v>169</v>
      </c>
      <c r="G143" s="5" t="s">
        <v>11</v>
      </c>
      <c r="H143" s="5">
        <v>23</v>
      </c>
      <c r="I143" s="5" t="s">
        <v>20</v>
      </c>
      <c r="J143" s="13" t="s">
        <v>48</v>
      </c>
      <c r="P143" s="100" t="s">
        <v>702</v>
      </c>
    </row>
    <row r="144" spans="1:16" ht="19.5" customHeight="1" x14ac:dyDescent="0.25">
      <c r="A144" s="5" t="s">
        <v>317</v>
      </c>
      <c r="B144" s="5">
        <v>1</v>
      </c>
      <c r="C144" s="6">
        <v>46118</v>
      </c>
      <c r="D144" s="16">
        <v>46107</v>
      </c>
      <c r="E144" s="15" t="s">
        <v>16</v>
      </c>
      <c r="F144" s="5" t="s">
        <v>169</v>
      </c>
      <c r="G144" s="5" t="s">
        <v>17</v>
      </c>
      <c r="H144" s="5">
        <v>21</v>
      </c>
      <c r="I144" s="5" t="s">
        <v>20</v>
      </c>
      <c r="J144" s="13" t="s">
        <v>48</v>
      </c>
      <c r="P144" s="100" t="s">
        <v>703</v>
      </c>
    </row>
    <row r="145" spans="1:16" ht="19.5" customHeight="1" x14ac:dyDescent="0.25">
      <c r="A145" s="5" t="s">
        <v>318</v>
      </c>
      <c r="B145" s="5">
        <v>1</v>
      </c>
      <c r="C145" s="6">
        <v>46118</v>
      </c>
      <c r="D145" s="16">
        <v>46111</v>
      </c>
      <c r="E145" s="15" t="s">
        <v>16</v>
      </c>
      <c r="F145" s="5" t="s">
        <v>169</v>
      </c>
      <c r="G145" s="5" t="s">
        <v>17</v>
      </c>
      <c r="H145" s="5">
        <v>30</v>
      </c>
      <c r="I145" s="5" t="s">
        <v>20</v>
      </c>
      <c r="J145" s="13" t="s">
        <v>48</v>
      </c>
      <c r="P145" s="100" t="s">
        <v>704</v>
      </c>
    </row>
    <row r="146" spans="1:16" ht="19.5" customHeight="1" x14ac:dyDescent="0.25">
      <c r="A146" s="5" t="s">
        <v>320</v>
      </c>
      <c r="B146" s="5">
        <v>1</v>
      </c>
      <c r="C146" s="6">
        <v>46118</v>
      </c>
      <c r="D146" s="16">
        <v>46111</v>
      </c>
      <c r="E146" s="15" t="s">
        <v>16</v>
      </c>
      <c r="F146" s="5" t="s">
        <v>169</v>
      </c>
      <c r="G146" s="5" t="s">
        <v>13</v>
      </c>
      <c r="H146" s="5">
        <v>7</v>
      </c>
      <c r="I146" s="5" t="s">
        <v>20</v>
      </c>
      <c r="J146" s="13" t="s">
        <v>48</v>
      </c>
      <c r="P146" s="100" t="s">
        <v>705</v>
      </c>
    </row>
    <row r="147" spans="1:16" ht="19.5" customHeight="1" x14ac:dyDescent="0.25">
      <c r="A147" s="5" t="s">
        <v>321</v>
      </c>
      <c r="B147" s="5">
        <v>1</v>
      </c>
      <c r="C147" s="6">
        <v>46118</v>
      </c>
      <c r="D147" s="16">
        <v>46107</v>
      </c>
      <c r="E147" s="15" t="s">
        <v>16</v>
      </c>
      <c r="F147" s="5" t="s">
        <v>169</v>
      </c>
      <c r="G147" s="5" t="s">
        <v>17</v>
      </c>
      <c r="H147" s="5">
        <v>24</v>
      </c>
      <c r="I147" s="5" t="s">
        <v>20</v>
      </c>
      <c r="J147" s="13" t="s">
        <v>48</v>
      </c>
      <c r="P147" s="100" t="s">
        <v>706</v>
      </c>
    </row>
    <row r="148" spans="1:16" ht="19.5" customHeight="1" x14ac:dyDescent="0.25">
      <c r="A148" s="5" t="s">
        <v>322</v>
      </c>
      <c r="B148" s="5">
        <v>1</v>
      </c>
      <c r="C148" s="6">
        <v>46118</v>
      </c>
      <c r="D148" s="16">
        <v>46109</v>
      </c>
      <c r="E148" s="15" t="s">
        <v>16</v>
      </c>
      <c r="F148" s="5" t="s">
        <v>169</v>
      </c>
      <c r="G148" s="5" t="s">
        <v>10</v>
      </c>
      <c r="H148" s="5">
        <v>29</v>
      </c>
      <c r="I148" s="5" t="s">
        <v>20</v>
      </c>
      <c r="J148" s="13" t="s">
        <v>48</v>
      </c>
      <c r="P148" s="100" t="s">
        <v>707</v>
      </c>
    </row>
    <row r="149" spans="1:16" ht="19.5" customHeight="1" x14ac:dyDescent="0.25">
      <c r="A149" s="5" t="s">
        <v>323</v>
      </c>
      <c r="B149" s="5">
        <v>1</v>
      </c>
      <c r="C149" s="6">
        <v>46118</v>
      </c>
      <c r="D149" s="16">
        <v>46111</v>
      </c>
      <c r="E149" s="15" t="s">
        <v>16</v>
      </c>
      <c r="F149" s="5" t="s">
        <v>89</v>
      </c>
      <c r="G149" s="5" t="s">
        <v>10</v>
      </c>
      <c r="H149" s="5">
        <v>31</v>
      </c>
      <c r="I149" s="5" t="s">
        <v>67</v>
      </c>
      <c r="J149" s="13" t="s">
        <v>73</v>
      </c>
      <c r="P149" s="100" t="s">
        <v>708</v>
      </c>
    </row>
    <row r="150" spans="1:16" ht="19.5" customHeight="1" x14ac:dyDescent="0.25">
      <c r="A150" s="5" t="s">
        <v>334</v>
      </c>
      <c r="B150" s="5">
        <v>1</v>
      </c>
      <c r="C150" s="6">
        <v>46119</v>
      </c>
      <c r="D150" s="16">
        <v>46112</v>
      </c>
      <c r="E150" s="15" t="s">
        <v>16</v>
      </c>
      <c r="F150" s="5" t="s">
        <v>89</v>
      </c>
      <c r="G150" s="5" t="s">
        <v>13</v>
      </c>
      <c r="H150" s="5">
        <v>4</v>
      </c>
      <c r="I150" s="5" t="s">
        <v>67</v>
      </c>
      <c r="J150" s="13" t="s">
        <v>73</v>
      </c>
      <c r="P150" s="100" t="s">
        <v>709</v>
      </c>
    </row>
    <row r="151" spans="1:16" ht="19.5" customHeight="1" x14ac:dyDescent="0.25">
      <c r="A151" s="5" t="s">
        <v>335</v>
      </c>
      <c r="B151" s="5">
        <v>1</v>
      </c>
      <c r="C151" s="6">
        <v>46119</v>
      </c>
      <c r="D151" s="16">
        <v>46112</v>
      </c>
      <c r="E151" s="15" t="s">
        <v>16</v>
      </c>
      <c r="F151" s="5" t="s">
        <v>89</v>
      </c>
      <c r="G151" s="5" t="s">
        <v>17</v>
      </c>
      <c r="H151" s="5">
        <v>11</v>
      </c>
      <c r="I151" s="5" t="s">
        <v>67</v>
      </c>
      <c r="J151" s="13" t="s">
        <v>73</v>
      </c>
      <c r="P151" s="100" t="s">
        <v>710</v>
      </c>
    </row>
    <row r="152" spans="1:16" ht="19.5" customHeight="1" x14ac:dyDescent="0.25">
      <c r="A152" s="5" t="s">
        <v>336</v>
      </c>
      <c r="B152" s="5">
        <v>1</v>
      </c>
      <c r="C152" s="6">
        <v>46119</v>
      </c>
      <c r="D152" s="16">
        <v>46111</v>
      </c>
      <c r="E152" s="15" t="s">
        <v>16</v>
      </c>
      <c r="F152" s="5" t="s">
        <v>89</v>
      </c>
      <c r="G152" s="5" t="s">
        <v>17</v>
      </c>
      <c r="H152" s="5">
        <v>33</v>
      </c>
      <c r="I152" s="5" t="s">
        <v>67</v>
      </c>
      <c r="J152" s="13" t="s">
        <v>73</v>
      </c>
      <c r="P152" s="100" t="s">
        <v>711</v>
      </c>
    </row>
    <row r="153" spans="1:16" ht="19.5" customHeight="1" x14ac:dyDescent="0.25">
      <c r="A153" s="5" t="s">
        <v>382</v>
      </c>
      <c r="B153" s="5">
        <v>1</v>
      </c>
      <c r="C153" s="6">
        <v>46119</v>
      </c>
      <c r="D153" s="16">
        <v>46112</v>
      </c>
      <c r="E153" s="15" t="s">
        <v>16</v>
      </c>
      <c r="F153" s="5" t="s">
        <v>89</v>
      </c>
      <c r="G153" s="5" t="s">
        <v>10</v>
      </c>
      <c r="H153" s="5">
        <v>8</v>
      </c>
      <c r="I153" s="5" t="s">
        <v>67</v>
      </c>
      <c r="J153" s="13" t="s">
        <v>73</v>
      </c>
      <c r="P153" s="100" t="s">
        <v>712</v>
      </c>
    </row>
    <row r="154" spans="1:16" ht="19.5" customHeight="1" x14ac:dyDescent="0.25">
      <c r="A154" s="5" t="s">
        <v>377</v>
      </c>
      <c r="B154" s="5">
        <v>1</v>
      </c>
      <c r="C154" s="6">
        <v>46119</v>
      </c>
      <c r="D154" s="16">
        <v>46111</v>
      </c>
      <c r="E154" s="15" t="s">
        <v>16</v>
      </c>
      <c r="F154" s="5" t="s">
        <v>89</v>
      </c>
      <c r="G154" s="5" t="s">
        <v>10</v>
      </c>
      <c r="H154" s="5">
        <v>4</v>
      </c>
      <c r="I154" s="5" t="s">
        <v>67</v>
      </c>
      <c r="J154" s="13" t="s">
        <v>73</v>
      </c>
      <c r="P154" s="100" t="s">
        <v>713</v>
      </c>
    </row>
    <row r="155" spans="1:16" ht="19.5" customHeight="1" x14ac:dyDescent="0.25">
      <c r="A155" s="5" t="s">
        <v>323</v>
      </c>
      <c r="B155" s="5">
        <v>1</v>
      </c>
      <c r="C155" s="6">
        <v>46119</v>
      </c>
      <c r="D155" s="16">
        <v>46111</v>
      </c>
      <c r="E155" s="15" t="s">
        <v>16</v>
      </c>
      <c r="F155" s="5" t="s">
        <v>89</v>
      </c>
      <c r="G155" s="5" t="s">
        <v>10</v>
      </c>
      <c r="H155" s="5">
        <v>6</v>
      </c>
      <c r="I155" s="5" t="s">
        <v>67</v>
      </c>
      <c r="J155" s="13" t="s">
        <v>73</v>
      </c>
      <c r="P155" s="100" t="s">
        <v>714</v>
      </c>
    </row>
    <row r="156" spans="1:16" ht="19.5" customHeight="1" x14ac:dyDescent="0.25">
      <c r="A156" s="5" t="s">
        <v>379</v>
      </c>
      <c r="B156" s="5">
        <v>1</v>
      </c>
      <c r="C156" s="6">
        <v>46119</v>
      </c>
      <c r="D156" s="16">
        <v>46111</v>
      </c>
      <c r="E156" s="15" t="s">
        <v>16</v>
      </c>
      <c r="F156" s="5" t="s">
        <v>223</v>
      </c>
      <c r="G156" s="5" t="s">
        <v>10</v>
      </c>
      <c r="H156" s="5">
        <v>12</v>
      </c>
      <c r="I156" s="5" t="s">
        <v>21</v>
      </c>
      <c r="J156" s="13" t="s">
        <v>71</v>
      </c>
      <c r="P156" s="100" t="s">
        <v>715</v>
      </c>
    </row>
    <row r="157" spans="1:16" ht="19.5" customHeight="1" x14ac:dyDescent="0.25">
      <c r="A157" s="5" t="s">
        <v>337</v>
      </c>
      <c r="B157" s="5">
        <v>1</v>
      </c>
      <c r="C157" s="6">
        <v>46119</v>
      </c>
      <c r="D157" s="16">
        <v>46111</v>
      </c>
      <c r="E157" s="15" t="s">
        <v>16</v>
      </c>
      <c r="F157" s="5" t="s">
        <v>223</v>
      </c>
      <c r="G157" s="5" t="s">
        <v>10</v>
      </c>
      <c r="H157" s="5">
        <v>10</v>
      </c>
      <c r="I157" s="5" t="s">
        <v>21</v>
      </c>
      <c r="J157" s="13" t="s">
        <v>71</v>
      </c>
      <c r="P157" s="100" t="s">
        <v>716</v>
      </c>
    </row>
    <row r="158" spans="1:16" ht="19.5" customHeight="1" x14ac:dyDescent="0.25">
      <c r="A158" s="5" t="s">
        <v>338</v>
      </c>
      <c r="B158" s="5">
        <v>1</v>
      </c>
      <c r="C158" s="6">
        <v>46119</v>
      </c>
      <c r="D158" s="16">
        <v>46113</v>
      </c>
      <c r="E158" s="15" t="s">
        <v>16</v>
      </c>
      <c r="F158" s="5" t="s">
        <v>223</v>
      </c>
      <c r="G158" s="5" t="s">
        <v>13</v>
      </c>
      <c r="H158" s="5">
        <v>2</v>
      </c>
      <c r="I158" s="5" t="s">
        <v>21</v>
      </c>
      <c r="J158" s="13" t="s">
        <v>71</v>
      </c>
      <c r="P158" s="100" t="s">
        <v>717</v>
      </c>
    </row>
    <row r="159" spans="1:16" ht="19.5" customHeight="1" x14ac:dyDescent="0.25">
      <c r="A159" s="5" t="s">
        <v>339</v>
      </c>
      <c r="B159" s="5">
        <v>1</v>
      </c>
      <c r="C159" s="6">
        <v>46119</v>
      </c>
      <c r="D159" s="16">
        <v>46111</v>
      </c>
      <c r="E159" s="15" t="s">
        <v>16</v>
      </c>
      <c r="F159" s="5" t="s">
        <v>223</v>
      </c>
      <c r="G159" s="5" t="s">
        <v>13</v>
      </c>
      <c r="H159" s="5">
        <v>1</v>
      </c>
      <c r="I159" s="5" t="s">
        <v>21</v>
      </c>
      <c r="J159" s="13" t="s">
        <v>71</v>
      </c>
      <c r="P159" s="100" t="s">
        <v>718</v>
      </c>
    </row>
    <row r="160" spans="1:16" ht="19.5" customHeight="1" x14ac:dyDescent="0.25">
      <c r="A160" s="5" t="s">
        <v>340</v>
      </c>
      <c r="B160" s="19">
        <v>1</v>
      </c>
      <c r="C160" s="6">
        <v>46119</v>
      </c>
      <c r="D160" s="16">
        <v>46111</v>
      </c>
      <c r="E160" s="15" t="s">
        <v>16</v>
      </c>
      <c r="F160" s="5" t="s">
        <v>223</v>
      </c>
      <c r="G160" s="5" t="s">
        <v>13</v>
      </c>
      <c r="H160" s="5">
        <v>1</v>
      </c>
      <c r="I160" s="5" t="s">
        <v>21</v>
      </c>
      <c r="J160" s="13" t="s">
        <v>71</v>
      </c>
      <c r="P160" s="100" t="s">
        <v>719</v>
      </c>
    </row>
    <row r="161" spans="1:16" ht="19.5" customHeight="1" x14ac:dyDescent="0.25">
      <c r="A161" s="5" t="s">
        <v>378</v>
      </c>
      <c r="B161" s="5">
        <v>1</v>
      </c>
      <c r="C161" s="6">
        <v>46119</v>
      </c>
      <c r="D161" s="16">
        <v>46111</v>
      </c>
      <c r="E161" s="15" t="s">
        <v>16</v>
      </c>
      <c r="F161" s="5" t="s">
        <v>223</v>
      </c>
      <c r="G161" s="5" t="s">
        <v>10</v>
      </c>
      <c r="H161" s="5">
        <v>3</v>
      </c>
      <c r="I161" s="5" t="s">
        <v>21</v>
      </c>
      <c r="J161" s="13" t="s">
        <v>71</v>
      </c>
      <c r="P161" s="100" t="s">
        <v>720</v>
      </c>
    </row>
    <row r="162" spans="1:16" ht="19.5" customHeight="1" x14ac:dyDescent="0.25">
      <c r="A162" s="5" t="s">
        <v>341</v>
      </c>
      <c r="B162" s="5">
        <v>1</v>
      </c>
      <c r="C162" s="6">
        <v>46119</v>
      </c>
      <c r="D162" s="16">
        <v>46112</v>
      </c>
      <c r="E162" s="15" t="s">
        <v>16</v>
      </c>
      <c r="F162" s="5" t="s">
        <v>223</v>
      </c>
      <c r="G162" s="5" t="s">
        <v>13</v>
      </c>
      <c r="H162" s="5">
        <v>2</v>
      </c>
      <c r="I162" s="5" t="s">
        <v>21</v>
      </c>
      <c r="J162" s="13" t="s">
        <v>71</v>
      </c>
      <c r="P162" s="100" t="s">
        <v>721</v>
      </c>
    </row>
    <row r="163" spans="1:16" ht="19.5" customHeight="1" x14ac:dyDescent="0.25">
      <c r="A163" s="100" t="s">
        <v>353</v>
      </c>
      <c r="B163" s="5">
        <v>1</v>
      </c>
      <c r="C163" s="6">
        <v>46119</v>
      </c>
      <c r="D163" s="16">
        <v>46111</v>
      </c>
      <c r="E163" s="15" t="s">
        <v>16</v>
      </c>
      <c r="F163" s="5" t="s">
        <v>342</v>
      </c>
      <c r="G163" s="5" t="s">
        <v>10</v>
      </c>
      <c r="H163" s="5">
        <v>5</v>
      </c>
      <c r="I163" s="5" t="s">
        <v>22</v>
      </c>
      <c r="J163" s="13" t="s">
        <v>72</v>
      </c>
      <c r="P163" s="100" t="s">
        <v>722</v>
      </c>
    </row>
    <row r="164" spans="1:16" ht="19.5" customHeight="1" x14ac:dyDescent="0.25">
      <c r="A164" s="5" t="s">
        <v>343</v>
      </c>
      <c r="B164" s="5">
        <v>1</v>
      </c>
      <c r="C164" s="6">
        <v>46119</v>
      </c>
      <c r="D164" s="16">
        <v>46111</v>
      </c>
      <c r="E164" s="15" t="s">
        <v>16</v>
      </c>
      <c r="F164" s="5" t="s">
        <v>342</v>
      </c>
      <c r="G164" s="5" t="s">
        <v>13</v>
      </c>
      <c r="H164" s="5">
        <v>9</v>
      </c>
      <c r="I164" s="5" t="s">
        <v>22</v>
      </c>
      <c r="J164" s="13" t="s">
        <v>72</v>
      </c>
      <c r="P164" s="100" t="s">
        <v>723</v>
      </c>
    </row>
    <row r="165" spans="1:16" ht="19.5" customHeight="1" x14ac:dyDescent="0.25">
      <c r="A165" s="5" t="s">
        <v>376</v>
      </c>
      <c r="B165" s="5">
        <v>1</v>
      </c>
      <c r="C165" s="6">
        <v>46119</v>
      </c>
      <c r="D165" s="16">
        <v>46111</v>
      </c>
      <c r="E165" s="15" t="s">
        <v>16</v>
      </c>
      <c r="F165" s="5" t="s">
        <v>342</v>
      </c>
      <c r="G165" s="5" t="s">
        <v>10</v>
      </c>
      <c r="H165" s="5">
        <v>4</v>
      </c>
      <c r="I165" s="5" t="s">
        <v>22</v>
      </c>
      <c r="J165" s="13" t="s">
        <v>72</v>
      </c>
      <c r="P165" s="100" t="s">
        <v>724</v>
      </c>
    </row>
    <row r="166" spans="1:16" ht="19.5" customHeight="1" x14ac:dyDescent="0.25">
      <c r="A166" s="5" t="s">
        <v>386</v>
      </c>
      <c r="B166" s="5">
        <v>1</v>
      </c>
      <c r="C166" s="6">
        <v>46119</v>
      </c>
      <c r="D166" s="16">
        <v>46113</v>
      </c>
      <c r="E166" s="15" t="s">
        <v>16</v>
      </c>
      <c r="F166" s="5" t="s">
        <v>342</v>
      </c>
      <c r="G166" s="5" t="s">
        <v>13</v>
      </c>
      <c r="H166" s="5">
        <v>1</v>
      </c>
      <c r="I166" s="5" t="s">
        <v>22</v>
      </c>
      <c r="J166" s="13" t="s">
        <v>72</v>
      </c>
      <c r="P166" s="100" t="s">
        <v>725</v>
      </c>
    </row>
    <row r="167" spans="1:16" ht="19.5" customHeight="1" x14ac:dyDescent="0.25">
      <c r="A167" s="5" t="s">
        <v>344</v>
      </c>
      <c r="B167" s="5">
        <v>1</v>
      </c>
      <c r="C167" s="6">
        <v>46119</v>
      </c>
      <c r="D167" s="16">
        <v>46111</v>
      </c>
      <c r="E167" s="15" t="s">
        <v>16</v>
      </c>
      <c r="F167" s="5" t="s">
        <v>342</v>
      </c>
      <c r="G167" s="5" t="s">
        <v>13</v>
      </c>
      <c r="H167" s="5">
        <v>1</v>
      </c>
      <c r="I167" s="5" t="s">
        <v>22</v>
      </c>
      <c r="J167" s="13" t="s">
        <v>72</v>
      </c>
      <c r="P167" s="100" t="s">
        <v>726</v>
      </c>
    </row>
    <row r="168" spans="1:16" ht="19.5" customHeight="1" x14ac:dyDescent="0.25">
      <c r="A168" s="5" t="s">
        <v>345</v>
      </c>
      <c r="B168" s="5">
        <v>1</v>
      </c>
      <c r="C168" s="6">
        <v>46119</v>
      </c>
      <c r="D168" s="16">
        <v>46112</v>
      </c>
      <c r="E168" s="15" t="s">
        <v>16</v>
      </c>
      <c r="F168" s="5" t="s">
        <v>342</v>
      </c>
      <c r="G168" s="5" t="s">
        <v>13</v>
      </c>
      <c r="H168" s="5">
        <v>1</v>
      </c>
      <c r="I168" s="5" t="s">
        <v>22</v>
      </c>
      <c r="J168" s="13" t="s">
        <v>72</v>
      </c>
      <c r="P168" s="100" t="s">
        <v>727</v>
      </c>
    </row>
    <row r="169" spans="1:16" ht="19.5" customHeight="1" x14ac:dyDescent="0.25">
      <c r="A169" s="5" t="s">
        <v>346</v>
      </c>
      <c r="B169" s="5">
        <v>1</v>
      </c>
      <c r="C169" s="6">
        <v>46119</v>
      </c>
      <c r="D169" s="16">
        <v>46113</v>
      </c>
      <c r="E169" s="15" t="s">
        <v>16</v>
      </c>
      <c r="F169" s="5" t="s">
        <v>347</v>
      </c>
      <c r="G169" s="5" t="s">
        <v>13</v>
      </c>
      <c r="H169" s="5">
        <v>1</v>
      </c>
      <c r="I169" s="5" t="s">
        <v>22</v>
      </c>
      <c r="J169" s="13" t="s">
        <v>72</v>
      </c>
      <c r="P169" s="100" t="s">
        <v>728</v>
      </c>
    </row>
    <row r="170" spans="1:16" ht="19.5" customHeight="1" x14ac:dyDescent="0.25">
      <c r="A170" s="5" t="s">
        <v>351</v>
      </c>
      <c r="B170" s="5">
        <v>1</v>
      </c>
      <c r="C170" s="6">
        <v>46119</v>
      </c>
      <c r="D170" s="16">
        <v>46111</v>
      </c>
      <c r="E170" s="15" t="s">
        <v>16</v>
      </c>
      <c r="F170" s="5" t="s">
        <v>169</v>
      </c>
      <c r="G170" s="5" t="s">
        <v>10</v>
      </c>
      <c r="H170" s="5">
        <v>27</v>
      </c>
      <c r="I170" s="5" t="s">
        <v>20</v>
      </c>
      <c r="J170" s="13" t="s">
        <v>48</v>
      </c>
      <c r="P170" s="100" t="s">
        <v>729</v>
      </c>
    </row>
    <row r="171" spans="1:16" ht="19.5" customHeight="1" x14ac:dyDescent="0.25">
      <c r="A171" s="5" t="s">
        <v>374</v>
      </c>
      <c r="B171" s="5">
        <v>1</v>
      </c>
      <c r="C171" s="6">
        <v>46119</v>
      </c>
      <c r="D171" s="16">
        <v>46107</v>
      </c>
      <c r="E171" s="15" t="s">
        <v>16</v>
      </c>
      <c r="F171" s="5" t="s">
        <v>169</v>
      </c>
      <c r="G171" s="5" t="s">
        <v>10</v>
      </c>
      <c r="H171" s="5">
        <v>9</v>
      </c>
      <c r="I171" s="5" t="s">
        <v>20</v>
      </c>
      <c r="J171" s="13" t="s">
        <v>48</v>
      </c>
      <c r="P171" s="100" t="s">
        <v>730</v>
      </c>
    </row>
    <row r="172" spans="1:16" ht="19.5" customHeight="1" x14ac:dyDescent="0.25">
      <c r="A172" s="5" t="s">
        <v>375</v>
      </c>
      <c r="B172" s="5">
        <v>1</v>
      </c>
      <c r="C172" s="6">
        <v>46119</v>
      </c>
      <c r="D172" s="16">
        <v>46107</v>
      </c>
      <c r="E172" s="15" t="s">
        <v>16</v>
      </c>
      <c r="F172" s="5" t="s">
        <v>169</v>
      </c>
      <c r="G172" s="5" t="s">
        <v>10</v>
      </c>
      <c r="H172" s="5">
        <v>9</v>
      </c>
      <c r="I172" s="5" t="s">
        <v>20</v>
      </c>
      <c r="J172" s="13" t="s">
        <v>48</v>
      </c>
      <c r="P172" s="100" t="s">
        <v>731</v>
      </c>
    </row>
    <row r="173" spans="1:16" ht="19.5" customHeight="1" x14ac:dyDescent="0.25">
      <c r="A173" s="5" t="s">
        <v>348</v>
      </c>
      <c r="B173" s="5">
        <v>1</v>
      </c>
      <c r="C173" s="6">
        <v>46119</v>
      </c>
      <c r="D173" s="16">
        <v>46113</v>
      </c>
      <c r="E173" s="15" t="s">
        <v>16</v>
      </c>
      <c r="F173" s="5" t="s">
        <v>169</v>
      </c>
      <c r="G173" s="5" t="s">
        <v>13</v>
      </c>
      <c r="H173" s="5">
        <v>1</v>
      </c>
      <c r="I173" s="5" t="s">
        <v>20</v>
      </c>
      <c r="J173" s="13" t="s">
        <v>48</v>
      </c>
      <c r="P173" s="100" t="s">
        <v>732</v>
      </c>
    </row>
    <row r="174" spans="1:16" ht="19.5" customHeight="1" x14ac:dyDescent="0.25">
      <c r="A174" s="5" t="s">
        <v>349</v>
      </c>
      <c r="B174" s="5">
        <v>1</v>
      </c>
      <c r="C174" s="6">
        <v>46119</v>
      </c>
      <c r="D174" s="16">
        <v>46113</v>
      </c>
      <c r="E174" s="15" t="s">
        <v>16</v>
      </c>
      <c r="F174" s="5" t="s">
        <v>169</v>
      </c>
      <c r="G174" s="5" t="s">
        <v>13</v>
      </c>
      <c r="H174" s="5">
        <v>3</v>
      </c>
      <c r="I174" s="5" t="s">
        <v>20</v>
      </c>
      <c r="J174" s="13" t="s">
        <v>48</v>
      </c>
      <c r="P174" s="1" t="s">
        <v>756</v>
      </c>
    </row>
    <row r="175" spans="1:16" ht="19.5" customHeight="1" x14ac:dyDescent="0.25">
      <c r="A175" s="5" t="s">
        <v>356</v>
      </c>
      <c r="B175" s="5">
        <v>1</v>
      </c>
      <c r="C175" s="6">
        <v>46119</v>
      </c>
      <c r="D175" s="16">
        <v>46112</v>
      </c>
      <c r="E175" s="15" t="s">
        <v>16</v>
      </c>
      <c r="F175" s="5" t="s">
        <v>223</v>
      </c>
      <c r="G175" s="5" t="s">
        <v>10</v>
      </c>
      <c r="H175" s="5">
        <v>6</v>
      </c>
      <c r="I175" s="5" t="s">
        <v>21</v>
      </c>
      <c r="J175" s="13" t="s">
        <v>71</v>
      </c>
      <c r="P175" s="1" t="s">
        <v>744</v>
      </c>
    </row>
    <row r="176" spans="1:16" ht="19.5" customHeight="1" x14ac:dyDescent="0.25">
      <c r="A176" s="5" t="s">
        <v>355</v>
      </c>
      <c r="B176" s="5">
        <v>1</v>
      </c>
      <c r="C176" s="6">
        <v>46119</v>
      </c>
      <c r="D176" s="16">
        <v>46112</v>
      </c>
      <c r="E176" s="15" t="s">
        <v>16</v>
      </c>
      <c r="F176" s="5" t="s">
        <v>342</v>
      </c>
      <c r="G176" s="5" t="s">
        <v>17</v>
      </c>
      <c r="H176" s="5">
        <v>7</v>
      </c>
      <c r="I176" s="5" t="s">
        <v>22</v>
      </c>
      <c r="J176" s="13" t="s">
        <v>72</v>
      </c>
      <c r="P176" s="1" t="s">
        <v>736</v>
      </c>
    </row>
    <row r="177" spans="1:16" ht="19.5" customHeight="1" x14ac:dyDescent="0.25">
      <c r="A177" s="5" t="s">
        <v>333</v>
      </c>
      <c r="B177" s="5">
        <v>1</v>
      </c>
      <c r="C177" s="6">
        <v>46119</v>
      </c>
      <c r="D177" s="16">
        <v>46112</v>
      </c>
      <c r="E177" s="15" t="s">
        <v>16</v>
      </c>
      <c r="F177" s="5" t="s">
        <v>89</v>
      </c>
      <c r="G177" s="5" t="s">
        <v>10</v>
      </c>
      <c r="H177" s="5">
        <v>27</v>
      </c>
      <c r="I177" s="5" t="s">
        <v>67</v>
      </c>
      <c r="J177" s="13" t="s">
        <v>73</v>
      </c>
      <c r="P177" s="1" t="s">
        <v>735</v>
      </c>
    </row>
    <row r="178" spans="1:16" ht="19.5" customHeight="1" x14ac:dyDescent="0.25">
      <c r="A178" s="5" t="s">
        <v>350</v>
      </c>
      <c r="B178" s="5">
        <v>1</v>
      </c>
      <c r="C178" s="6">
        <v>46119</v>
      </c>
      <c r="D178" s="16">
        <v>46112</v>
      </c>
      <c r="E178" s="15" t="s">
        <v>16</v>
      </c>
      <c r="F178" s="5" t="s">
        <v>89</v>
      </c>
      <c r="G178" s="5" t="s">
        <v>11</v>
      </c>
      <c r="H178" s="5">
        <v>10</v>
      </c>
      <c r="I178" s="5" t="s">
        <v>67</v>
      </c>
      <c r="J178" s="13" t="s">
        <v>73</v>
      </c>
      <c r="P178" s="1" t="s">
        <v>740</v>
      </c>
    </row>
    <row r="179" spans="1:16" ht="20.25" customHeight="1" x14ac:dyDescent="0.25">
      <c r="A179" s="5" t="s">
        <v>354</v>
      </c>
      <c r="B179" s="5">
        <v>1</v>
      </c>
      <c r="C179" s="6">
        <v>46119</v>
      </c>
      <c r="D179" s="16">
        <v>46111</v>
      </c>
      <c r="E179" s="15" t="s">
        <v>16</v>
      </c>
      <c r="F179" s="5" t="s">
        <v>342</v>
      </c>
      <c r="G179" s="5" t="s">
        <v>10</v>
      </c>
      <c r="H179" s="5">
        <v>8</v>
      </c>
      <c r="I179" s="5" t="s">
        <v>22</v>
      </c>
      <c r="J179" s="13" t="s">
        <v>72</v>
      </c>
      <c r="P179" s="1" t="s">
        <v>741</v>
      </c>
    </row>
    <row r="180" spans="1:16" ht="20.25" customHeight="1" x14ac:dyDescent="0.25">
      <c r="A180" s="5" t="s">
        <v>352</v>
      </c>
      <c r="B180" s="5">
        <v>1</v>
      </c>
      <c r="C180" s="6">
        <v>46119</v>
      </c>
      <c r="D180" s="16">
        <v>46111</v>
      </c>
      <c r="E180" s="15" t="s">
        <v>16</v>
      </c>
      <c r="F180" s="5" t="s">
        <v>223</v>
      </c>
      <c r="G180" s="5" t="s">
        <v>10</v>
      </c>
      <c r="H180" s="5">
        <v>9</v>
      </c>
      <c r="I180" s="5" t="s">
        <v>21</v>
      </c>
      <c r="J180" s="13" t="s">
        <v>71</v>
      </c>
      <c r="P180" s="1" t="s">
        <v>755</v>
      </c>
    </row>
    <row r="181" spans="1:16" ht="19.5" customHeight="1" x14ac:dyDescent="0.25">
      <c r="A181" s="100" t="s">
        <v>372</v>
      </c>
      <c r="C181" s="6"/>
      <c r="D181" s="16"/>
      <c r="E181" s="15"/>
      <c r="P181" s="100" t="s">
        <v>576</v>
      </c>
    </row>
    <row r="182" spans="1:16" x14ac:dyDescent="0.25">
      <c r="A182" s="5" t="s">
        <v>373</v>
      </c>
      <c r="C182" s="6"/>
      <c r="D182" s="16"/>
      <c r="E182" s="15"/>
      <c r="P182" s="100" t="s">
        <v>570</v>
      </c>
    </row>
    <row r="183" spans="1:16" ht="19.5" customHeight="1" x14ac:dyDescent="0.25">
      <c r="A183" s="5" t="s">
        <v>388</v>
      </c>
      <c r="B183" s="5">
        <v>1</v>
      </c>
      <c r="C183" s="6">
        <v>46122</v>
      </c>
      <c r="D183" s="16">
        <v>46114</v>
      </c>
      <c r="E183" s="15" t="s">
        <v>15</v>
      </c>
      <c r="F183" s="5" t="s">
        <v>369</v>
      </c>
      <c r="G183" s="5" t="s">
        <v>10</v>
      </c>
      <c r="H183" s="5">
        <v>18</v>
      </c>
      <c r="I183" s="5" t="s">
        <v>20</v>
      </c>
      <c r="J183" s="13" t="s">
        <v>68</v>
      </c>
      <c r="P183" s="1" t="s">
        <v>745</v>
      </c>
    </row>
    <row r="184" spans="1:16" ht="19.5" customHeight="1" x14ac:dyDescent="0.25">
      <c r="A184" s="5" t="s">
        <v>389</v>
      </c>
      <c r="B184" s="5">
        <v>1</v>
      </c>
      <c r="C184" s="6">
        <v>46122</v>
      </c>
      <c r="D184" s="16">
        <v>46114</v>
      </c>
      <c r="E184" s="15" t="s">
        <v>15</v>
      </c>
      <c r="F184" s="5" t="s">
        <v>369</v>
      </c>
      <c r="G184" s="5" t="s">
        <v>11</v>
      </c>
      <c r="H184" s="5">
        <v>23</v>
      </c>
      <c r="I184" s="5" t="s">
        <v>20</v>
      </c>
      <c r="J184" s="13" t="s">
        <v>68</v>
      </c>
      <c r="P184" s="1"/>
    </row>
    <row r="185" spans="1:16" ht="21" customHeight="1" x14ac:dyDescent="0.25">
      <c r="A185" s="5" t="s">
        <v>390</v>
      </c>
      <c r="B185" s="5">
        <v>1</v>
      </c>
      <c r="C185" s="6">
        <v>46122</v>
      </c>
      <c r="D185" s="16">
        <v>46114</v>
      </c>
      <c r="E185" s="15" t="s">
        <v>15</v>
      </c>
      <c r="F185" s="5" t="s">
        <v>369</v>
      </c>
      <c r="G185" s="5" t="s">
        <v>11</v>
      </c>
      <c r="H185" s="5">
        <v>42</v>
      </c>
      <c r="I185" s="5" t="s">
        <v>20</v>
      </c>
      <c r="J185" s="13" t="s">
        <v>68</v>
      </c>
      <c r="P185" s="1"/>
    </row>
    <row r="186" spans="1:16" ht="19.5" customHeight="1" x14ac:dyDescent="0.25">
      <c r="A186" s="5" t="s">
        <v>391</v>
      </c>
      <c r="B186" s="5">
        <v>1</v>
      </c>
      <c r="C186" s="6">
        <v>46122</v>
      </c>
      <c r="D186" s="16">
        <v>46116</v>
      </c>
      <c r="E186" s="15" t="s">
        <v>15</v>
      </c>
      <c r="F186" s="5" t="s">
        <v>369</v>
      </c>
      <c r="G186" s="5" t="s">
        <v>13</v>
      </c>
      <c r="H186" s="5">
        <v>4</v>
      </c>
      <c r="I186" s="5" t="s">
        <v>20</v>
      </c>
      <c r="J186" s="13" t="s">
        <v>68</v>
      </c>
      <c r="P186" s="1"/>
    </row>
    <row r="187" spans="1:16" ht="19.5" customHeight="1" x14ac:dyDescent="0.25">
      <c r="A187" s="5" t="s">
        <v>473</v>
      </c>
      <c r="B187" s="5">
        <v>1</v>
      </c>
      <c r="C187" s="6">
        <v>46122</v>
      </c>
      <c r="D187" s="16">
        <v>46116</v>
      </c>
      <c r="E187" s="15" t="s">
        <v>15</v>
      </c>
      <c r="F187" s="5" t="s">
        <v>369</v>
      </c>
      <c r="G187" s="5" t="s">
        <v>11</v>
      </c>
      <c r="H187" s="5">
        <v>5</v>
      </c>
      <c r="I187" s="5" t="s">
        <v>20</v>
      </c>
      <c r="J187" s="13" t="s">
        <v>68</v>
      </c>
      <c r="P187" s="1"/>
    </row>
    <row r="188" spans="1:16" ht="19.5" customHeight="1" x14ac:dyDescent="0.25">
      <c r="A188" s="5" t="s">
        <v>392</v>
      </c>
      <c r="B188" s="5">
        <v>1</v>
      </c>
      <c r="C188" s="6">
        <v>46122</v>
      </c>
      <c r="D188" s="16">
        <v>46114</v>
      </c>
      <c r="E188" s="15" t="s">
        <v>15</v>
      </c>
      <c r="F188" s="5" t="s">
        <v>369</v>
      </c>
      <c r="G188" s="5" t="s">
        <v>17</v>
      </c>
      <c r="H188" s="5">
        <v>14</v>
      </c>
      <c r="I188" s="5" t="s">
        <v>20</v>
      </c>
      <c r="J188" s="13" t="s">
        <v>68</v>
      </c>
      <c r="P188" s="1"/>
    </row>
    <row r="189" spans="1:16" ht="21" customHeight="1" x14ac:dyDescent="0.25">
      <c r="A189" s="5" t="s">
        <v>472</v>
      </c>
      <c r="B189" s="5">
        <v>1</v>
      </c>
      <c r="C189" s="6">
        <v>46122</v>
      </c>
      <c r="D189" s="16">
        <v>46116</v>
      </c>
      <c r="E189" s="15" t="s">
        <v>15</v>
      </c>
      <c r="F189" s="5" t="s">
        <v>369</v>
      </c>
      <c r="G189" s="5" t="s">
        <v>10</v>
      </c>
      <c r="H189" s="5">
        <v>30</v>
      </c>
      <c r="I189" s="5" t="s">
        <v>20</v>
      </c>
      <c r="J189" s="13" t="s">
        <v>68</v>
      </c>
      <c r="P189" s="1"/>
    </row>
    <row r="190" spans="1:16" ht="19.5" customHeight="1" x14ac:dyDescent="0.25">
      <c r="A190" s="5" t="s">
        <v>393</v>
      </c>
      <c r="B190" s="5">
        <v>1</v>
      </c>
      <c r="C190" s="6">
        <v>46122</v>
      </c>
      <c r="D190" s="16">
        <v>46116</v>
      </c>
      <c r="E190" s="15" t="s">
        <v>15</v>
      </c>
      <c r="F190" s="5" t="s">
        <v>369</v>
      </c>
      <c r="G190" s="5" t="s">
        <v>11</v>
      </c>
      <c r="H190" s="5">
        <v>33</v>
      </c>
      <c r="I190" s="5" t="s">
        <v>20</v>
      </c>
      <c r="J190" s="13" t="s">
        <v>68</v>
      </c>
      <c r="P190" s="1"/>
    </row>
    <row r="191" spans="1:16" ht="19.5" customHeight="1" x14ac:dyDescent="0.25">
      <c r="A191" s="5" t="s">
        <v>394</v>
      </c>
      <c r="B191" s="5">
        <v>1</v>
      </c>
      <c r="C191" s="6">
        <v>46122</v>
      </c>
      <c r="D191" s="16">
        <v>46114</v>
      </c>
      <c r="E191" s="15" t="s">
        <v>15</v>
      </c>
      <c r="F191" s="5" t="s">
        <v>369</v>
      </c>
      <c r="G191" s="5" t="s">
        <v>10</v>
      </c>
      <c r="H191" s="5">
        <v>29</v>
      </c>
      <c r="I191" s="5" t="s">
        <v>20</v>
      </c>
      <c r="J191" s="13" t="s">
        <v>68</v>
      </c>
      <c r="P191" s="1"/>
    </row>
    <row r="192" spans="1:16" ht="19.5" customHeight="1" x14ac:dyDescent="0.25">
      <c r="A192" s="5" t="s">
        <v>398</v>
      </c>
      <c r="B192" s="5">
        <v>1</v>
      </c>
      <c r="C192" s="6">
        <v>46122</v>
      </c>
      <c r="D192" s="16">
        <v>46112</v>
      </c>
      <c r="E192" s="15" t="s">
        <v>15</v>
      </c>
      <c r="F192" s="5" t="s">
        <v>367</v>
      </c>
      <c r="G192" s="5" t="s">
        <v>10</v>
      </c>
      <c r="H192" s="5">
        <v>30</v>
      </c>
      <c r="I192" s="5" t="s">
        <v>20</v>
      </c>
      <c r="J192" s="13" t="s">
        <v>68</v>
      </c>
      <c r="P192" s="1"/>
    </row>
    <row r="193" spans="1:16" ht="19.5" customHeight="1" x14ac:dyDescent="0.25">
      <c r="A193" s="5" t="s">
        <v>399</v>
      </c>
      <c r="B193" s="5">
        <v>1</v>
      </c>
      <c r="C193" s="6">
        <v>46122</v>
      </c>
      <c r="D193" s="16">
        <v>46112</v>
      </c>
      <c r="E193" s="15" t="s">
        <v>15</v>
      </c>
      <c r="F193" s="5" t="s">
        <v>367</v>
      </c>
      <c r="G193" s="5" t="s">
        <v>10</v>
      </c>
      <c r="H193" s="5">
        <v>29</v>
      </c>
      <c r="I193" s="5" t="s">
        <v>20</v>
      </c>
      <c r="J193" s="13" t="s">
        <v>68</v>
      </c>
      <c r="P193" s="1"/>
    </row>
    <row r="194" spans="1:16" ht="20.25" customHeight="1" x14ac:dyDescent="0.25">
      <c r="A194" s="5" t="s">
        <v>400</v>
      </c>
      <c r="B194" s="5">
        <v>1</v>
      </c>
      <c r="C194" s="6">
        <v>46122</v>
      </c>
      <c r="D194" s="16">
        <v>46113</v>
      </c>
      <c r="E194" s="15" t="s">
        <v>15</v>
      </c>
      <c r="F194" s="5" t="s">
        <v>359</v>
      </c>
      <c r="G194" s="5" t="s">
        <v>10</v>
      </c>
      <c r="H194" s="5">
        <v>39</v>
      </c>
      <c r="I194" s="5" t="s">
        <v>20</v>
      </c>
      <c r="J194" s="13" t="s">
        <v>68</v>
      </c>
      <c r="P194" s="1"/>
    </row>
    <row r="195" spans="1:16" ht="20.25" customHeight="1" x14ac:dyDescent="0.25">
      <c r="A195" s="5" t="s">
        <v>401</v>
      </c>
      <c r="B195" s="5">
        <v>1</v>
      </c>
      <c r="C195" s="6">
        <v>46122</v>
      </c>
      <c r="D195" s="16">
        <v>46113</v>
      </c>
      <c r="E195" s="15" t="s">
        <v>15</v>
      </c>
      <c r="F195" s="5" t="s">
        <v>359</v>
      </c>
      <c r="G195" s="5" t="s">
        <v>10</v>
      </c>
      <c r="H195" s="5">
        <v>18</v>
      </c>
      <c r="I195" s="5" t="s">
        <v>20</v>
      </c>
      <c r="J195" s="13" t="s">
        <v>68</v>
      </c>
      <c r="P195" s="1"/>
    </row>
    <row r="196" spans="1:16" ht="20.25" customHeight="1" x14ac:dyDescent="0.25">
      <c r="A196" s="5" t="s">
        <v>402</v>
      </c>
      <c r="B196" s="5">
        <v>1</v>
      </c>
      <c r="C196" s="6">
        <v>46122</v>
      </c>
      <c r="D196" s="16">
        <v>46111</v>
      </c>
      <c r="E196" s="15" t="s">
        <v>15</v>
      </c>
      <c r="F196" s="5" t="s">
        <v>299</v>
      </c>
      <c r="G196" s="5" t="s">
        <v>10</v>
      </c>
      <c r="H196" s="5">
        <v>3</v>
      </c>
      <c r="I196" s="5" t="s">
        <v>20</v>
      </c>
      <c r="J196" s="13" t="s">
        <v>68</v>
      </c>
      <c r="P196" s="1"/>
    </row>
    <row r="197" spans="1:16" ht="19.5" customHeight="1" x14ac:dyDescent="0.25">
      <c r="A197" s="100" t="s">
        <v>403</v>
      </c>
      <c r="C197" s="6"/>
      <c r="D197" s="16"/>
      <c r="E197" s="15"/>
      <c r="P197" s="100" t="s">
        <v>611</v>
      </c>
    </row>
    <row r="198" spans="1:16" ht="20.25" customHeight="1" x14ac:dyDescent="0.25">
      <c r="A198" s="100" t="s">
        <v>404</v>
      </c>
      <c r="C198" s="6"/>
      <c r="D198" s="16"/>
      <c r="E198" s="15"/>
      <c r="P198" t="s">
        <v>735</v>
      </c>
    </row>
    <row r="199" spans="1:16" ht="19.5" customHeight="1" x14ac:dyDescent="0.25">
      <c r="A199" s="5" t="s">
        <v>402</v>
      </c>
      <c r="B199" s="5">
        <v>1</v>
      </c>
      <c r="C199" s="6">
        <v>46123</v>
      </c>
      <c r="D199" s="16">
        <v>46111</v>
      </c>
      <c r="E199" s="15" t="s">
        <v>15</v>
      </c>
      <c r="F199" s="5" t="s">
        <v>299</v>
      </c>
      <c r="G199" s="5" t="s">
        <v>11</v>
      </c>
      <c r="H199" s="5">
        <v>21</v>
      </c>
      <c r="I199" s="5" t="s">
        <v>20</v>
      </c>
      <c r="J199" s="13" t="s">
        <v>68</v>
      </c>
      <c r="P199" s="1" t="s">
        <v>736</v>
      </c>
    </row>
    <row r="200" spans="1:16" ht="19.5" customHeight="1" x14ac:dyDescent="0.25">
      <c r="A200" s="5" t="s">
        <v>466</v>
      </c>
      <c r="B200" s="5">
        <v>1</v>
      </c>
      <c r="C200" s="6">
        <v>46123</v>
      </c>
      <c r="D200" s="16">
        <v>46112</v>
      </c>
      <c r="E200" s="15" t="s">
        <v>15</v>
      </c>
      <c r="F200" s="5" t="s">
        <v>367</v>
      </c>
      <c r="G200" s="5" t="s">
        <v>11</v>
      </c>
      <c r="H200" s="5">
        <v>8</v>
      </c>
      <c r="I200" s="5" t="s">
        <v>20</v>
      </c>
      <c r="J200" s="13" t="s">
        <v>68</v>
      </c>
      <c r="P200" s="1"/>
    </row>
    <row r="201" spans="1:16" ht="19.5" customHeight="1" x14ac:dyDescent="0.25">
      <c r="A201" s="5" t="s">
        <v>405</v>
      </c>
      <c r="B201" s="19">
        <v>1</v>
      </c>
      <c r="C201" s="6">
        <v>46123</v>
      </c>
      <c r="D201" s="16">
        <v>46113</v>
      </c>
      <c r="E201" s="15" t="s">
        <v>15</v>
      </c>
      <c r="F201" s="5" t="s">
        <v>359</v>
      </c>
      <c r="G201" s="5" t="s">
        <v>10</v>
      </c>
      <c r="H201" s="5">
        <v>1</v>
      </c>
      <c r="I201" s="5" t="s">
        <v>20</v>
      </c>
      <c r="J201" s="13" t="s">
        <v>68</v>
      </c>
      <c r="P201" s="1"/>
    </row>
    <row r="202" spans="1:16" ht="19.5" customHeight="1" x14ac:dyDescent="0.25">
      <c r="A202" s="5" t="s">
        <v>406</v>
      </c>
      <c r="B202" s="5">
        <v>1</v>
      </c>
      <c r="C202" s="6">
        <v>46123</v>
      </c>
      <c r="D202" s="16">
        <v>46114</v>
      </c>
      <c r="E202" s="15" t="s">
        <v>8</v>
      </c>
      <c r="F202" s="5" t="s">
        <v>407</v>
      </c>
      <c r="G202" s="5" t="s">
        <v>10</v>
      </c>
      <c r="H202" s="5">
        <v>3</v>
      </c>
      <c r="I202" s="5" t="s">
        <v>67</v>
      </c>
      <c r="J202" s="13" t="s">
        <v>73</v>
      </c>
      <c r="P202" s="1"/>
    </row>
    <row r="203" spans="1:16" ht="19.5" customHeight="1" x14ac:dyDescent="0.25">
      <c r="A203" s="5" t="s">
        <v>372</v>
      </c>
      <c r="B203" s="5">
        <v>1</v>
      </c>
      <c r="C203" s="6">
        <v>46123</v>
      </c>
      <c r="D203" s="16">
        <v>46114</v>
      </c>
      <c r="E203" s="15" t="s">
        <v>8</v>
      </c>
      <c r="F203" s="5" t="s">
        <v>407</v>
      </c>
      <c r="G203" s="5" t="s">
        <v>11</v>
      </c>
      <c r="H203" s="5">
        <v>5</v>
      </c>
      <c r="I203" s="5" t="s">
        <v>67</v>
      </c>
      <c r="J203" s="13" t="s">
        <v>73</v>
      </c>
      <c r="P203" s="1"/>
    </row>
    <row r="204" spans="1:16" ht="20.25" customHeight="1" x14ac:dyDescent="0.25">
      <c r="A204" s="5" t="s">
        <v>408</v>
      </c>
      <c r="B204" s="5">
        <v>1</v>
      </c>
      <c r="C204" s="6">
        <v>46123</v>
      </c>
      <c r="D204" s="16">
        <v>46115</v>
      </c>
      <c r="E204" s="15" t="s">
        <v>8</v>
      </c>
      <c r="F204" s="5" t="s">
        <v>407</v>
      </c>
      <c r="G204" s="5" t="s">
        <v>13</v>
      </c>
      <c r="H204" s="5">
        <v>5</v>
      </c>
      <c r="I204" s="5" t="s">
        <v>67</v>
      </c>
      <c r="J204" s="13" t="s">
        <v>73</v>
      </c>
      <c r="P204" s="1"/>
    </row>
    <row r="205" spans="1:16" ht="19.5" customHeight="1" x14ac:dyDescent="0.25">
      <c r="A205" s="5" t="s">
        <v>409</v>
      </c>
      <c r="B205" s="5">
        <v>1</v>
      </c>
      <c r="C205" s="6">
        <v>46123</v>
      </c>
      <c r="D205" s="16">
        <v>46114</v>
      </c>
      <c r="E205" s="15" t="s">
        <v>8</v>
      </c>
      <c r="F205" s="5" t="s">
        <v>407</v>
      </c>
      <c r="G205" s="5" t="s">
        <v>17</v>
      </c>
      <c r="H205" s="5">
        <v>11</v>
      </c>
      <c r="I205" s="5" t="s">
        <v>67</v>
      </c>
      <c r="J205" s="13" t="s">
        <v>73</v>
      </c>
      <c r="P205" s="1"/>
    </row>
    <row r="206" spans="1:16" ht="19.5" customHeight="1" x14ac:dyDescent="0.25">
      <c r="A206" s="5" t="s">
        <v>467</v>
      </c>
      <c r="B206" s="5">
        <v>1</v>
      </c>
      <c r="C206" s="6">
        <v>46123</v>
      </c>
      <c r="D206" s="16">
        <v>46113</v>
      </c>
      <c r="E206" s="15" t="s">
        <v>8</v>
      </c>
      <c r="F206" s="5" t="s">
        <v>89</v>
      </c>
      <c r="G206" s="5" t="s">
        <v>13</v>
      </c>
      <c r="H206" s="5">
        <v>16</v>
      </c>
      <c r="I206" s="5" t="s">
        <v>67</v>
      </c>
      <c r="J206" s="13" t="s">
        <v>73</v>
      </c>
      <c r="P206" s="1"/>
    </row>
    <row r="207" spans="1:16" ht="19.5" customHeight="1" x14ac:dyDescent="0.25">
      <c r="A207" s="5" t="s">
        <v>411</v>
      </c>
      <c r="B207" s="5">
        <v>1</v>
      </c>
      <c r="C207" s="6">
        <v>46123</v>
      </c>
      <c r="D207" s="16">
        <v>46113</v>
      </c>
      <c r="E207" s="15" t="s">
        <v>8</v>
      </c>
      <c r="F207" s="5" t="s">
        <v>89</v>
      </c>
      <c r="G207" s="5" t="s">
        <v>17</v>
      </c>
      <c r="H207" s="5">
        <v>27</v>
      </c>
      <c r="I207" s="5" t="s">
        <v>67</v>
      </c>
      <c r="J207" s="13" t="s">
        <v>73</v>
      </c>
      <c r="P207" s="1"/>
    </row>
    <row r="208" spans="1:16" ht="19.5" customHeight="1" x14ac:dyDescent="0.25">
      <c r="A208" s="5" t="s">
        <v>412</v>
      </c>
      <c r="B208" s="5">
        <v>1</v>
      </c>
      <c r="C208" s="6">
        <v>46123</v>
      </c>
      <c r="D208" s="16">
        <v>46113</v>
      </c>
      <c r="E208" s="15" t="s">
        <v>8</v>
      </c>
      <c r="F208" s="5" t="s">
        <v>89</v>
      </c>
      <c r="G208" s="5" t="s">
        <v>10</v>
      </c>
      <c r="H208" s="5">
        <v>3</v>
      </c>
      <c r="I208" s="5" t="s">
        <v>67</v>
      </c>
      <c r="J208" s="13" t="s">
        <v>73</v>
      </c>
      <c r="P208" s="1"/>
    </row>
    <row r="209" spans="1:16" ht="19.5" customHeight="1" x14ac:dyDescent="0.25">
      <c r="A209" s="5" t="s">
        <v>413</v>
      </c>
      <c r="B209" s="5">
        <v>1</v>
      </c>
      <c r="C209" s="6">
        <v>46123</v>
      </c>
      <c r="D209" s="16">
        <v>46113</v>
      </c>
      <c r="E209" s="15" t="s">
        <v>8</v>
      </c>
      <c r="F209" s="5" t="s">
        <v>89</v>
      </c>
      <c r="G209" s="5" t="s">
        <v>11</v>
      </c>
      <c r="H209" s="5">
        <v>7</v>
      </c>
      <c r="I209" s="5" t="s">
        <v>67</v>
      </c>
      <c r="J209" s="13" t="s">
        <v>73</v>
      </c>
      <c r="P209" s="1"/>
    </row>
    <row r="210" spans="1:16" ht="19.5" customHeight="1" x14ac:dyDescent="0.25">
      <c r="A210" s="5" t="s">
        <v>469</v>
      </c>
      <c r="B210" s="5">
        <v>1</v>
      </c>
      <c r="C210" s="6">
        <v>46123</v>
      </c>
      <c r="D210" s="16">
        <v>46113</v>
      </c>
      <c r="E210" s="15" t="s">
        <v>8</v>
      </c>
      <c r="F210" s="5" t="s">
        <v>89</v>
      </c>
      <c r="G210" s="5" t="s">
        <v>17</v>
      </c>
      <c r="H210" s="5">
        <v>6</v>
      </c>
      <c r="I210" s="5" t="s">
        <v>67</v>
      </c>
      <c r="J210" s="13" t="s">
        <v>73</v>
      </c>
      <c r="P210" s="1"/>
    </row>
    <row r="211" spans="1:16" ht="19.5" customHeight="1" x14ac:dyDescent="0.25">
      <c r="A211" s="5" t="s">
        <v>414</v>
      </c>
      <c r="B211" s="5">
        <v>1</v>
      </c>
      <c r="C211" s="6">
        <v>46123</v>
      </c>
      <c r="D211" s="16">
        <v>46113</v>
      </c>
      <c r="E211" s="15" t="s">
        <v>8</v>
      </c>
      <c r="F211" s="5" t="s">
        <v>89</v>
      </c>
      <c r="G211" s="5" t="s">
        <v>11</v>
      </c>
      <c r="H211" s="5">
        <v>6</v>
      </c>
      <c r="I211" s="5" t="s">
        <v>67</v>
      </c>
      <c r="J211" s="13" t="s">
        <v>73</v>
      </c>
      <c r="P211" s="1"/>
    </row>
    <row r="212" spans="1:16" ht="19.5" customHeight="1" x14ac:dyDescent="0.25">
      <c r="A212" s="5" t="s">
        <v>468</v>
      </c>
      <c r="B212" s="5">
        <v>1</v>
      </c>
      <c r="C212" s="6">
        <v>46123</v>
      </c>
      <c r="D212" s="16">
        <v>46113</v>
      </c>
      <c r="E212" s="15" t="s">
        <v>8</v>
      </c>
      <c r="F212" s="5" t="s">
        <v>89</v>
      </c>
      <c r="G212" s="5" t="s">
        <v>10</v>
      </c>
      <c r="H212" s="5">
        <v>12</v>
      </c>
      <c r="I212" s="5" t="s">
        <v>67</v>
      </c>
      <c r="J212" s="13" t="s">
        <v>73</v>
      </c>
      <c r="P212" s="1"/>
    </row>
    <row r="213" spans="1:16" ht="19.5" customHeight="1" x14ac:dyDescent="0.25">
      <c r="A213" s="5" t="s">
        <v>416</v>
      </c>
      <c r="B213" s="5">
        <v>1</v>
      </c>
      <c r="C213" s="6">
        <v>46123</v>
      </c>
      <c r="D213" s="16">
        <v>46111</v>
      </c>
      <c r="E213" s="15" t="s">
        <v>16</v>
      </c>
      <c r="F213" s="5" t="s">
        <v>342</v>
      </c>
      <c r="G213" s="5" t="s">
        <v>10</v>
      </c>
      <c r="H213" s="5">
        <v>9</v>
      </c>
      <c r="I213" s="5" t="s">
        <v>22</v>
      </c>
      <c r="J213" s="13" t="s">
        <v>72</v>
      </c>
      <c r="P213" s="1"/>
    </row>
    <row r="214" spans="1:16" ht="20.25" customHeight="1" x14ac:dyDescent="0.25">
      <c r="A214" s="5" t="s">
        <v>417</v>
      </c>
      <c r="B214" s="5">
        <v>1</v>
      </c>
      <c r="C214" s="6">
        <v>46123</v>
      </c>
      <c r="D214" s="16">
        <v>46112</v>
      </c>
      <c r="E214" s="15" t="s">
        <v>16</v>
      </c>
      <c r="F214" s="5" t="s">
        <v>342</v>
      </c>
      <c r="G214" s="5" t="s">
        <v>11</v>
      </c>
      <c r="H214" s="5">
        <v>2</v>
      </c>
      <c r="I214" s="5" t="s">
        <v>22</v>
      </c>
      <c r="J214" s="13" t="s">
        <v>72</v>
      </c>
      <c r="P214" s="1"/>
    </row>
    <row r="215" spans="1:16" ht="19.5" customHeight="1" x14ac:dyDescent="0.25">
      <c r="A215" s="5" t="s">
        <v>465</v>
      </c>
      <c r="B215" s="5">
        <v>1</v>
      </c>
      <c r="C215" s="6">
        <v>46123</v>
      </c>
      <c r="D215" s="16">
        <v>46112</v>
      </c>
      <c r="E215" s="15" t="s">
        <v>16</v>
      </c>
      <c r="F215" s="5" t="s">
        <v>342</v>
      </c>
      <c r="G215" s="5" t="s">
        <v>10</v>
      </c>
      <c r="H215" s="5">
        <v>3</v>
      </c>
      <c r="I215" s="5" t="s">
        <v>22</v>
      </c>
      <c r="J215" s="13" t="s">
        <v>72</v>
      </c>
      <c r="P215" s="1"/>
    </row>
    <row r="216" spans="1:16" ht="19.5" customHeight="1" x14ac:dyDescent="0.25">
      <c r="A216" s="5" t="s">
        <v>418</v>
      </c>
      <c r="B216" s="5">
        <v>1</v>
      </c>
      <c r="C216" s="6">
        <v>46123</v>
      </c>
      <c r="D216" s="16">
        <v>46111</v>
      </c>
      <c r="E216" s="15" t="s">
        <v>16</v>
      </c>
      <c r="F216" s="5" t="s">
        <v>342</v>
      </c>
      <c r="G216" s="5" t="s">
        <v>11</v>
      </c>
      <c r="H216" s="5">
        <v>9</v>
      </c>
      <c r="I216" s="5" t="s">
        <v>22</v>
      </c>
      <c r="J216" s="13" t="s">
        <v>72</v>
      </c>
      <c r="P216" s="1"/>
    </row>
    <row r="217" spans="1:16" ht="19.5" customHeight="1" x14ac:dyDescent="0.25">
      <c r="A217" s="5" t="s">
        <v>419</v>
      </c>
      <c r="B217" s="5">
        <v>1</v>
      </c>
      <c r="C217" s="6">
        <v>46123</v>
      </c>
      <c r="D217" s="16">
        <v>46113</v>
      </c>
      <c r="E217" s="15" t="s">
        <v>16</v>
      </c>
      <c r="F217" s="5" t="s">
        <v>347</v>
      </c>
      <c r="G217" s="5" t="s">
        <v>11</v>
      </c>
      <c r="H217" s="5">
        <v>5</v>
      </c>
      <c r="I217" s="5" t="s">
        <v>22</v>
      </c>
      <c r="J217" s="13" t="s">
        <v>72</v>
      </c>
      <c r="P217" s="1"/>
    </row>
    <row r="218" spans="1:16" ht="19.5" customHeight="1" x14ac:dyDescent="0.25">
      <c r="A218" s="5" t="s">
        <v>419</v>
      </c>
      <c r="B218" s="5">
        <v>1</v>
      </c>
      <c r="C218" s="6">
        <v>46123</v>
      </c>
      <c r="D218" s="16">
        <v>46113</v>
      </c>
      <c r="E218" s="15" t="s">
        <v>16</v>
      </c>
      <c r="F218" s="5" t="s">
        <v>347</v>
      </c>
      <c r="G218" s="5" t="s">
        <v>11</v>
      </c>
      <c r="H218" s="5">
        <v>4</v>
      </c>
      <c r="I218" s="5" t="s">
        <v>22</v>
      </c>
      <c r="J218" s="13" t="s">
        <v>72</v>
      </c>
      <c r="P218" s="1"/>
    </row>
    <row r="219" spans="1:16" ht="19.5" customHeight="1" x14ac:dyDescent="0.25">
      <c r="A219" s="5" t="s">
        <v>471</v>
      </c>
      <c r="B219" s="5">
        <v>1</v>
      </c>
      <c r="C219" s="6">
        <v>46123</v>
      </c>
      <c r="D219" s="16">
        <v>46113</v>
      </c>
      <c r="E219" s="15" t="s">
        <v>16</v>
      </c>
      <c r="F219" s="5" t="s">
        <v>347</v>
      </c>
      <c r="G219" s="5" t="s">
        <v>10</v>
      </c>
      <c r="H219" s="5">
        <v>5</v>
      </c>
      <c r="I219" s="5" t="s">
        <v>22</v>
      </c>
      <c r="J219" s="13" t="s">
        <v>72</v>
      </c>
      <c r="P219" s="1"/>
    </row>
    <row r="220" spans="1:16" ht="19.5" customHeight="1" x14ac:dyDescent="0.25">
      <c r="A220" s="5" t="s">
        <v>357</v>
      </c>
      <c r="B220" s="5">
        <v>1</v>
      </c>
      <c r="C220" s="6">
        <v>46123</v>
      </c>
      <c r="D220" s="16">
        <v>46114</v>
      </c>
      <c r="E220" s="15" t="s">
        <v>16</v>
      </c>
      <c r="F220" s="5" t="s">
        <v>347</v>
      </c>
      <c r="G220" s="5" t="s">
        <v>10</v>
      </c>
      <c r="H220" s="5">
        <v>4</v>
      </c>
      <c r="I220" s="5" t="s">
        <v>22</v>
      </c>
      <c r="J220" s="13" t="s">
        <v>72</v>
      </c>
      <c r="P220" s="1"/>
    </row>
    <row r="221" spans="1:16" ht="20.25" customHeight="1" x14ac:dyDescent="0.25">
      <c r="A221" s="5" t="s">
        <v>420</v>
      </c>
      <c r="B221" s="5">
        <v>1</v>
      </c>
      <c r="C221" s="6">
        <v>46123</v>
      </c>
      <c r="D221" s="16">
        <v>46114</v>
      </c>
      <c r="E221" s="15" t="s">
        <v>16</v>
      </c>
      <c r="F221" s="5" t="s">
        <v>347</v>
      </c>
      <c r="G221" s="5" t="s">
        <v>10</v>
      </c>
      <c r="H221" s="5">
        <v>9</v>
      </c>
      <c r="I221" s="5" t="s">
        <v>22</v>
      </c>
      <c r="J221" s="13" t="s">
        <v>72</v>
      </c>
      <c r="P221" s="1"/>
    </row>
    <row r="222" spans="1:16" ht="20.25" customHeight="1" x14ac:dyDescent="0.25">
      <c r="A222" s="5" t="s">
        <v>421</v>
      </c>
      <c r="B222" s="5">
        <v>1</v>
      </c>
      <c r="C222" s="6">
        <v>46123</v>
      </c>
      <c r="D222" s="16">
        <v>46113</v>
      </c>
      <c r="E222" s="15" t="s">
        <v>16</v>
      </c>
      <c r="F222" s="5" t="s">
        <v>347</v>
      </c>
      <c r="G222" s="5" t="s">
        <v>17</v>
      </c>
      <c r="H222" s="5">
        <v>10</v>
      </c>
      <c r="I222" s="5" t="s">
        <v>22</v>
      </c>
      <c r="J222" s="13" t="s">
        <v>72</v>
      </c>
      <c r="P222" s="1"/>
    </row>
    <row r="223" spans="1:16" ht="20.25" customHeight="1" x14ac:dyDescent="0.25">
      <c r="A223" s="5" t="s">
        <v>422</v>
      </c>
      <c r="B223" s="5">
        <v>1</v>
      </c>
      <c r="C223" s="6">
        <v>46123</v>
      </c>
      <c r="D223" s="16">
        <v>46114</v>
      </c>
      <c r="E223" s="15" t="s">
        <v>16</v>
      </c>
      <c r="F223" s="5" t="s">
        <v>347</v>
      </c>
      <c r="G223" s="5" t="s">
        <v>17</v>
      </c>
      <c r="H223" s="5">
        <v>25</v>
      </c>
      <c r="I223" s="5" t="s">
        <v>22</v>
      </c>
      <c r="J223" s="13" t="s">
        <v>72</v>
      </c>
      <c r="P223" s="1"/>
    </row>
    <row r="224" spans="1:16" ht="20.25" customHeight="1" x14ac:dyDescent="0.25">
      <c r="A224" s="5" t="s">
        <v>387</v>
      </c>
      <c r="B224" s="5">
        <v>1</v>
      </c>
      <c r="C224" s="6">
        <v>46123</v>
      </c>
      <c r="D224" s="16">
        <v>46113</v>
      </c>
      <c r="E224" s="15" t="s">
        <v>16</v>
      </c>
      <c r="F224" s="5" t="s">
        <v>342</v>
      </c>
      <c r="G224" s="5" t="s">
        <v>17</v>
      </c>
      <c r="H224" s="5">
        <v>16</v>
      </c>
      <c r="I224" s="5" t="s">
        <v>22</v>
      </c>
      <c r="J224" s="13" t="s">
        <v>72</v>
      </c>
      <c r="P224" s="1"/>
    </row>
    <row r="225" spans="1:16" ht="20.25" customHeight="1" x14ac:dyDescent="0.25">
      <c r="A225" s="5" t="s">
        <v>424</v>
      </c>
      <c r="B225" s="5">
        <v>1</v>
      </c>
      <c r="C225" s="6">
        <v>46123</v>
      </c>
      <c r="D225" s="16">
        <v>46111</v>
      </c>
      <c r="E225" s="15" t="s">
        <v>16</v>
      </c>
      <c r="F225" s="5" t="s">
        <v>223</v>
      </c>
      <c r="G225" s="5" t="s">
        <v>11</v>
      </c>
      <c r="H225" s="5">
        <v>4</v>
      </c>
      <c r="I225" s="5" t="s">
        <v>21</v>
      </c>
      <c r="J225" s="13" t="s">
        <v>71</v>
      </c>
      <c r="P225" s="1"/>
    </row>
    <row r="226" spans="1:16" ht="19.5" customHeight="1" x14ac:dyDescent="0.25">
      <c r="A226" s="5" t="s">
        <v>425</v>
      </c>
      <c r="B226" s="5">
        <v>1</v>
      </c>
      <c r="C226" s="6">
        <v>46123</v>
      </c>
      <c r="D226" s="16">
        <v>46112</v>
      </c>
      <c r="E226" s="15" t="s">
        <v>16</v>
      </c>
      <c r="F226" s="5" t="s">
        <v>223</v>
      </c>
      <c r="G226" s="5" t="s">
        <v>13</v>
      </c>
      <c r="H226" s="5">
        <v>1</v>
      </c>
      <c r="I226" s="5" t="s">
        <v>21</v>
      </c>
      <c r="J226" s="13" t="s">
        <v>71</v>
      </c>
      <c r="P226" s="1"/>
    </row>
    <row r="227" spans="1:16" ht="19.5" customHeight="1" x14ac:dyDescent="0.25">
      <c r="A227" s="5" t="s">
        <v>426</v>
      </c>
      <c r="B227" s="5">
        <v>1</v>
      </c>
      <c r="C227" s="6">
        <v>46123</v>
      </c>
      <c r="D227" s="16">
        <v>46112</v>
      </c>
      <c r="E227" s="15" t="s">
        <v>16</v>
      </c>
      <c r="F227" s="5" t="s">
        <v>223</v>
      </c>
      <c r="G227" s="5" t="s">
        <v>17</v>
      </c>
      <c r="H227" s="5">
        <v>4</v>
      </c>
      <c r="I227" s="5" t="s">
        <v>21</v>
      </c>
      <c r="J227" s="13" t="s">
        <v>71</v>
      </c>
      <c r="P227" s="1"/>
    </row>
    <row r="228" spans="1:16" ht="20.25" customHeight="1" x14ac:dyDescent="0.25">
      <c r="A228" s="5" t="s">
        <v>404</v>
      </c>
      <c r="B228" s="5">
        <v>1</v>
      </c>
      <c r="C228" s="6">
        <v>46123</v>
      </c>
      <c r="D228" s="16">
        <v>46112</v>
      </c>
      <c r="E228" s="15" t="s">
        <v>16</v>
      </c>
      <c r="F228" s="5" t="s">
        <v>223</v>
      </c>
      <c r="G228" s="5" t="s">
        <v>11</v>
      </c>
      <c r="H228" s="5">
        <v>3</v>
      </c>
      <c r="I228" s="5" t="s">
        <v>21</v>
      </c>
      <c r="J228" s="13" t="s">
        <v>71</v>
      </c>
      <c r="P228" s="1"/>
    </row>
    <row r="229" spans="1:16" ht="19.5" customHeight="1" x14ac:dyDescent="0.25">
      <c r="A229" s="5" t="s">
        <v>427</v>
      </c>
      <c r="B229" s="5">
        <v>1</v>
      </c>
      <c r="C229" s="6">
        <v>46123</v>
      </c>
      <c r="D229" s="16">
        <v>46112</v>
      </c>
      <c r="E229" s="15" t="s">
        <v>16</v>
      </c>
      <c r="F229" s="5" t="s">
        <v>223</v>
      </c>
      <c r="G229" s="5" t="s">
        <v>10</v>
      </c>
      <c r="H229" s="5">
        <v>6</v>
      </c>
      <c r="I229" s="5" t="s">
        <v>21</v>
      </c>
      <c r="J229" s="13" t="s">
        <v>71</v>
      </c>
      <c r="P229" s="1"/>
    </row>
    <row r="230" spans="1:16" ht="19.5" customHeight="1" x14ac:dyDescent="0.25">
      <c r="A230" s="5" t="s">
        <v>428</v>
      </c>
      <c r="B230" s="5">
        <v>1</v>
      </c>
      <c r="C230" s="6">
        <v>46123</v>
      </c>
      <c r="D230" s="16">
        <v>46112</v>
      </c>
      <c r="E230" s="15" t="s">
        <v>16</v>
      </c>
      <c r="F230" s="5" t="s">
        <v>223</v>
      </c>
      <c r="G230" s="5" t="s">
        <v>11</v>
      </c>
      <c r="H230" s="5">
        <v>6</v>
      </c>
      <c r="I230" s="5" t="s">
        <v>21</v>
      </c>
      <c r="J230" s="13" t="s">
        <v>71</v>
      </c>
      <c r="P230" s="1"/>
    </row>
    <row r="231" spans="1:16" ht="19.5" customHeight="1" x14ac:dyDescent="0.25">
      <c r="A231" s="5" t="s">
        <v>429</v>
      </c>
      <c r="B231" s="5">
        <v>1</v>
      </c>
      <c r="C231" s="6">
        <v>46123</v>
      </c>
      <c r="D231" s="16">
        <v>46112</v>
      </c>
      <c r="E231" s="15" t="s">
        <v>16</v>
      </c>
      <c r="F231" s="5" t="s">
        <v>223</v>
      </c>
      <c r="G231" s="5" t="s">
        <v>17</v>
      </c>
      <c r="H231" s="5">
        <v>6</v>
      </c>
      <c r="I231" s="5" t="s">
        <v>21</v>
      </c>
      <c r="J231" s="13" t="s">
        <v>71</v>
      </c>
      <c r="P231" s="1"/>
    </row>
    <row r="232" spans="1:16" ht="20.25" customHeight="1" x14ac:dyDescent="0.25">
      <c r="A232" s="5" t="s">
        <v>430</v>
      </c>
      <c r="B232" s="5">
        <v>1</v>
      </c>
      <c r="C232" s="6">
        <v>46123</v>
      </c>
      <c r="D232" s="16">
        <v>46113</v>
      </c>
      <c r="E232" s="15" t="s">
        <v>16</v>
      </c>
      <c r="F232" s="5" t="s">
        <v>169</v>
      </c>
      <c r="G232" s="5" t="s">
        <v>10</v>
      </c>
      <c r="H232" s="5">
        <v>2</v>
      </c>
      <c r="I232" t="s">
        <v>185</v>
      </c>
      <c r="J232" s="13" t="s">
        <v>48</v>
      </c>
      <c r="P232" s="1"/>
    </row>
    <row r="233" spans="1:16" ht="19.5" customHeight="1" x14ac:dyDescent="0.25">
      <c r="A233" s="5" t="s">
        <v>432</v>
      </c>
      <c r="B233" s="5">
        <v>1</v>
      </c>
      <c r="C233" s="6">
        <v>46125</v>
      </c>
      <c r="D233" s="16">
        <v>46119</v>
      </c>
      <c r="E233" s="15" t="s">
        <v>15</v>
      </c>
      <c r="F233" s="5" t="s">
        <v>433</v>
      </c>
      <c r="G233" s="5" t="s">
        <v>13</v>
      </c>
      <c r="H233" s="5">
        <v>14</v>
      </c>
      <c r="I233" s="5" t="s">
        <v>20</v>
      </c>
      <c r="J233" s="13" t="s">
        <v>68</v>
      </c>
      <c r="P233" s="1"/>
    </row>
    <row r="234" spans="1:16" ht="20.25" customHeight="1" x14ac:dyDescent="0.25">
      <c r="A234" s="5" t="s">
        <v>434</v>
      </c>
      <c r="B234" s="5">
        <v>1</v>
      </c>
      <c r="C234" s="6">
        <v>46125</v>
      </c>
      <c r="D234" s="16">
        <v>46119</v>
      </c>
      <c r="E234" s="15" t="s">
        <v>15</v>
      </c>
      <c r="F234" s="5" t="s">
        <v>433</v>
      </c>
      <c r="G234" s="5" t="s">
        <v>13</v>
      </c>
      <c r="H234" s="5">
        <v>15</v>
      </c>
      <c r="I234" s="5" t="s">
        <v>20</v>
      </c>
      <c r="J234" s="13" t="s">
        <v>68</v>
      </c>
      <c r="P234" s="1"/>
    </row>
    <row r="235" spans="1:16" ht="20.25" customHeight="1" x14ac:dyDescent="0.25">
      <c r="A235" s="5" t="s">
        <v>435</v>
      </c>
      <c r="B235" s="5">
        <v>1</v>
      </c>
      <c r="C235" s="6">
        <v>46125</v>
      </c>
      <c r="D235" s="16">
        <v>46119</v>
      </c>
      <c r="E235" s="15" t="s">
        <v>15</v>
      </c>
      <c r="F235" s="5" t="s">
        <v>436</v>
      </c>
      <c r="G235" s="5" t="s">
        <v>13</v>
      </c>
      <c r="H235" s="5">
        <v>15</v>
      </c>
      <c r="I235" s="5" t="s">
        <v>20</v>
      </c>
      <c r="J235" s="13" t="s">
        <v>68</v>
      </c>
      <c r="P235" s="1"/>
    </row>
    <row r="236" spans="1:16" ht="19.5" customHeight="1" x14ac:dyDescent="0.25">
      <c r="A236" s="5" t="s">
        <v>437</v>
      </c>
      <c r="B236" s="5">
        <v>1</v>
      </c>
      <c r="C236" s="6">
        <v>46125</v>
      </c>
      <c r="D236" s="16">
        <v>46119</v>
      </c>
      <c r="E236" s="15" t="s">
        <v>15</v>
      </c>
      <c r="F236" s="5" t="s">
        <v>438</v>
      </c>
      <c r="G236" s="5" t="s">
        <v>13</v>
      </c>
      <c r="H236" s="5">
        <v>14</v>
      </c>
      <c r="I236" s="5" t="s">
        <v>20</v>
      </c>
      <c r="J236" s="13" t="s">
        <v>68</v>
      </c>
      <c r="P236" s="1"/>
    </row>
    <row r="237" spans="1:16" ht="20.25" customHeight="1" x14ac:dyDescent="0.25">
      <c r="A237" s="5" t="s">
        <v>439</v>
      </c>
      <c r="B237" s="5">
        <v>1</v>
      </c>
      <c r="C237" s="6">
        <v>46125</v>
      </c>
      <c r="D237" s="16">
        <v>46120</v>
      </c>
      <c r="E237" s="15" t="s">
        <v>15</v>
      </c>
      <c r="F237" s="5" t="s">
        <v>440</v>
      </c>
      <c r="G237" s="5" t="s">
        <v>13</v>
      </c>
      <c r="H237" s="5">
        <v>31</v>
      </c>
      <c r="I237" s="5" t="s">
        <v>20</v>
      </c>
      <c r="J237" s="13" t="s">
        <v>68</v>
      </c>
      <c r="P237" s="1"/>
    </row>
    <row r="238" spans="1:16" ht="20.25" customHeight="1" x14ac:dyDescent="0.25">
      <c r="A238" s="5" t="s">
        <v>511</v>
      </c>
      <c r="B238" s="5">
        <v>1</v>
      </c>
      <c r="C238" s="6">
        <v>46125</v>
      </c>
      <c r="D238" s="16">
        <v>46120</v>
      </c>
      <c r="E238" s="15" t="s">
        <v>15</v>
      </c>
      <c r="F238" s="5" t="s">
        <v>440</v>
      </c>
      <c r="G238" s="5" t="s">
        <v>13</v>
      </c>
      <c r="H238" s="5">
        <v>4</v>
      </c>
      <c r="I238" s="5" t="s">
        <v>20</v>
      </c>
      <c r="J238" s="13" t="s">
        <v>68</v>
      </c>
      <c r="P238" s="1"/>
    </row>
    <row r="239" spans="1:16" ht="20.25" customHeight="1" x14ac:dyDescent="0.25">
      <c r="A239" s="5" t="s">
        <v>442</v>
      </c>
      <c r="B239" s="5">
        <v>1</v>
      </c>
      <c r="C239" s="6">
        <v>46125</v>
      </c>
      <c r="D239" s="16">
        <v>46120</v>
      </c>
      <c r="E239" s="15" t="s">
        <v>15</v>
      </c>
      <c r="F239" s="5" t="s">
        <v>440</v>
      </c>
      <c r="G239" s="5" t="s">
        <v>17</v>
      </c>
      <c r="H239" s="5">
        <v>27</v>
      </c>
      <c r="I239" s="5" t="s">
        <v>20</v>
      </c>
      <c r="J239" s="13" t="s">
        <v>68</v>
      </c>
      <c r="P239" s="1"/>
    </row>
    <row r="240" spans="1:16" ht="20.25" customHeight="1" x14ac:dyDescent="0.25">
      <c r="A240" s="5" t="s">
        <v>443</v>
      </c>
      <c r="B240" s="5">
        <v>1</v>
      </c>
      <c r="C240" s="6">
        <v>46125</v>
      </c>
      <c r="D240" s="16">
        <v>46120</v>
      </c>
      <c r="E240" s="15" t="s">
        <v>15</v>
      </c>
      <c r="F240" s="5" t="s">
        <v>440</v>
      </c>
      <c r="G240" s="5" t="s">
        <v>17</v>
      </c>
      <c r="H240" s="5">
        <v>4</v>
      </c>
      <c r="I240" s="5" t="s">
        <v>20</v>
      </c>
      <c r="J240" s="13" t="s">
        <v>68</v>
      </c>
      <c r="P240" s="1"/>
    </row>
    <row r="241" spans="1:16" ht="20.25" customHeight="1" x14ac:dyDescent="0.25">
      <c r="A241" s="5" t="s">
        <v>444</v>
      </c>
      <c r="B241" s="5">
        <v>1</v>
      </c>
      <c r="C241" s="6">
        <v>46125</v>
      </c>
      <c r="D241" s="16">
        <v>46116</v>
      </c>
      <c r="E241" s="15" t="s">
        <v>15</v>
      </c>
      <c r="F241" s="5" t="s">
        <v>369</v>
      </c>
      <c r="G241" s="5" t="s">
        <v>10</v>
      </c>
      <c r="H241" s="5">
        <v>30</v>
      </c>
      <c r="I241" s="5" t="s">
        <v>20</v>
      </c>
      <c r="J241" s="13" t="s">
        <v>68</v>
      </c>
      <c r="P241" s="1"/>
    </row>
    <row r="242" spans="1:16" ht="19.5" customHeight="1" x14ac:dyDescent="0.25">
      <c r="A242" s="5" t="s">
        <v>405</v>
      </c>
      <c r="B242" s="5">
        <v>1</v>
      </c>
      <c r="C242" s="6">
        <v>46125</v>
      </c>
      <c r="D242" s="16">
        <v>46113</v>
      </c>
      <c r="E242" s="15" t="s">
        <v>15</v>
      </c>
      <c r="F242" s="5" t="s">
        <v>359</v>
      </c>
      <c r="G242" s="5" t="s">
        <v>10</v>
      </c>
      <c r="H242" s="5">
        <v>29</v>
      </c>
      <c r="I242" s="5" t="s">
        <v>20</v>
      </c>
      <c r="J242" s="13" t="s">
        <v>68</v>
      </c>
      <c r="P242" s="1"/>
    </row>
    <row r="243" spans="1:16" ht="19.5" customHeight="1" x14ac:dyDescent="0.25">
      <c r="A243" s="5" t="s">
        <v>450</v>
      </c>
      <c r="B243" s="5">
        <v>1</v>
      </c>
      <c r="C243" s="6">
        <v>46125</v>
      </c>
      <c r="D243" s="16">
        <v>46116</v>
      </c>
      <c r="E243" s="15" t="s">
        <v>15</v>
      </c>
      <c r="F243" s="5" t="s">
        <v>369</v>
      </c>
      <c r="G243" s="5" t="s">
        <v>10</v>
      </c>
      <c r="H243" s="5">
        <v>14</v>
      </c>
      <c r="I243" s="5" t="s">
        <v>20</v>
      </c>
      <c r="J243" s="13" t="s">
        <v>68</v>
      </c>
      <c r="P243" s="1"/>
    </row>
    <row r="244" spans="1:16" ht="19.5" customHeight="1" x14ac:dyDescent="0.25">
      <c r="A244" s="5" t="s">
        <v>451</v>
      </c>
      <c r="B244" s="5">
        <v>1</v>
      </c>
      <c r="C244" s="6">
        <v>46125</v>
      </c>
      <c r="D244" s="16">
        <v>46111</v>
      </c>
      <c r="E244" s="15" t="s">
        <v>16</v>
      </c>
      <c r="F244" s="5" t="s">
        <v>89</v>
      </c>
      <c r="G244" s="5" t="s">
        <v>10</v>
      </c>
      <c r="H244" s="5">
        <v>3</v>
      </c>
      <c r="I244" s="5" t="s">
        <v>67</v>
      </c>
      <c r="J244" s="13" t="s">
        <v>73</v>
      </c>
      <c r="P244" s="1"/>
    </row>
    <row r="245" spans="1:16" ht="19.5" customHeight="1" x14ac:dyDescent="0.25">
      <c r="A245" s="5" t="s">
        <v>452</v>
      </c>
      <c r="B245" s="5">
        <v>1</v>
      </c>
      <c r="C245" s="6">
        <v>46125</v>
      </c>
      <c r="D245" s="16">
        <v>46111</v>
      </c>
      <c r="E245" s="15" t="s">
        <v>16</v>
      </c>
      <c r="F245" s="5" t="s">
        <v>169</v>
      </c>
      <c r="G245" s="5" t="s">
        <v>10</v>
      </c>
      <c r="H245" s="5">
        <v>17</v>
      </c>
      <c r="I245" t="s">
        <v>185</v>
      </c>
      <c r="J245" s="13" t="s">
        <v>48</v>
      </c>
      <c r="P245" s="1"/>
    </row>
    <row r="246" spans="1:16" ht="19.5" customHeight="1" x14ac:dyDescent="0.25">
      <c r="A246" s="5" t="s">
        <v>453</v>
      </c>
      <c r="B246" s="5">
        <v>1</v>
      </c>
      <c r="C246" s="6">
        <v>46125</v>
      </c>
      <c r="D246" s="16">
        <v>46114</v>
      </c>
      <c r="E246" s="15" t="s">
        <v>16</v>
      </c>
      <c r="F246" s="5" t="s">
        <v>169</v>
      </c>
      <c r="G246" s="5" t="s">
        <v>10</v>
      </c>
      <c r="H246" s="5">
        <v>3</v>
      </c>
      <c r="I246" t="s">
        <v>185</v>
      </c>
      <c r="J246" s="13" t="s">
        <v>48</v>
      </c>
      <c r="P246" s="1"/>
    </row>
    <row r="247" spans="1:16" ht="19.5" customHeight="1" x14ac:dyDescent="0.25">
      <c r="A247" s="5" t="s">
        <v>454</v>
      </c>
      <c r="B247" s="5">
        <v>1</v>
      </c>
      <c r="C247" s="6">
        <v>46125</v>
      </c>
      <c r="D247" s="16">
        <v>46114</v>
      </c>
      <c r="E247" s="15" t="s">
        <v>16</v>
      </c>
      <c r="F247" s="5" t="s">
        <v>169</v>
      </c>
      <c r="G247" s="5" t="s">
        <v>17</v>
      </c>
      <c r="H247" s="5">
        <v>15</v>
      </c>
      <c r="I247" t="s">
        <v>185</v>
      </c>
      <c r="J247" s="13" t="s">
        <v>48</v>
      </c>
      <c r="P247" s="1"/>
    </row>
    <row r="248" spans="1:16" ht="19.5" customHeight="1" x14ac:dyDescent="0.25">
      <c r="A248" s="5" t="s">
        <v>455</v>
      </c>
      <c r="B248" s="5">
        <v>1</v>
      </c>
      <c r="C248" s="6">
        <v>46125</v>
      </c>
      <c r="D248" s="16">
        <v>46113</v>
      </c>
      <c r="E248" s="15" t="s">
        <v>16</v>
      </c>
      <c r="F248" s="5" t="s">
        <v>169</v>
      </c>
      <c r="G248" s="5" t="s">
        <v>17</v>
      </c>
      <c r="H248" s="5">
        <v>6</v>
      </c>
      <c r="I248" t="s">
        <v>185</v>
      </c>
      <c r="J248" s="13" t="s">
        <v>48</v>
      </c>
      <c r="P248" s="1"/>
    </row>
    <row r="249" spans="1:16" ht="19.5" customHeight="1" x14ac:dyDescent="0.25">
      <c r="A249" s="5" t="s">
        <v>456</v>
      </c>
      <c r="B249" s="5">
        <v>1</v>
      </c>
      <c r="C249" s="6">
        <v>46125</v>
      </c>
      <c r="D249" s="16">
        <v>46114</v>
      </c>
      <c r="E249" s="15" t="s">
        <v>16</v>
      </c>
      <c r="F249" s="5" t="s">
        <v>169</v>
      </c>
      <c r="G249" s="5" t="s">
        <v>13</v>
      </c>
      <c r="H249" s="5">
        <v>5</v>
      </c>
      <c r="I249" t="s">
        <v>185</v>
      </c>
      <c r="J249" s="13" t="s">
        <v>48</v>
      </c>
      <c r="P249" s="1"/>
    </row>
    <row r="250" spans="1:16" ht="19.5" customHeight="1" x14ac:dyDescent="0.25">
      <c r="A250" s="5" t="s">
        <v>457</v>
      </c>
      <c r="B250" s="5">
        <v>1</v>
      </c>
      <c r="C250" s="6">
        <v>46125</v>
      </c>
      <c r="D250" s="16">
        <v>46113</v>
      </c>
      <c r="E250" s="15" t="s">
        <v>16</v>
      </c>
      <c r="F250" s="5" t="s">
        <v>169</v>
      </c>
      <c r="G250" s="5" t="s">
        <v>13</v>
      </c>
      <c r="H250" s="5">
        <v>2</v>
      </c>
      <c r="I250" t="s">
        <v>185</v>
      </c>
      <c r="J250" s="13" t="s">
        <v>48</v>
      </c>
      <c r="P250" s="1"/>
    </row>
    <row r="251" spans="1:16" ht="19.5" customHeight="1" x14ac:dyDescent="0.25">
      <c r="A251" s="5" t="s">
        <v>458</v>
      </c>
      <c r="B251" s="5">
        <v>1</v>
      </c>
      <c r="C251" s="6">
        <v>46125</v>
      </c>
      <c r="D251" s="16">
        <v>46113</v>
      </c>
      <c r="E251" s="15" t="s">
        <v>16</v>
      </c>
      <c r="F251" s="5" t="s">
        <v>342</v>
      </c>
      <c r="G251" s="5" t="s">
        <v>10</v>
      </c>
      <c r="H251" s="5">
        <v>1</v>
      </c>
      <c r="I251" s="5" t="s">
        <v>22</v>
      </c>
      <c r="J251" s="13" t="s">
        <v>72</v>
      </c>
      <c r="P251" s="1"/>
    </row>
    <row r="252" spans="1:16" ht="19.5" customHeight="1" x14ac:dyDescent="0.25">
      <c r="A252" s="5" t="s">
        <v>459</v>
      </c>
      <c r="B252" s="5">
        <v>1</v>
      </c>
      <c r="C252" s="6">
        <v>46125</v>
      </c>
      <c r="D252" s="16">
        <v>46113</v>
      </c>
      <c r="E252" s="15" t="s">
        <v>16</v>
      </c>
      <c r="F252" s="5" t="s">
        <v>223</v>
      </c>
      <c r="G252" s="5" t="s">
        <v>17</v>
      </c>
      <c r="H252" s="5">
        <v>11</v>
      </c>
      <c r="I252" s="5" t="s">
        <v>21</v>
      </c>
      <c r="J252" s="13" t="s">
        <v>71</v>
      </c>
      <c r="P252" s="1"/>
    </row>
    <row r="253" spans="1:16" ht="19.5" customHeight="1" x14ac:dyDescent="0.25">
      <c r="A253" s="5" t="s">
        <v>460</v>
      </c>
      <c r="B253" s="5">
        <v>1</v>
      </c>
      <c r="C253" s="6">
        <v>46125</v>
      </c>
      <c r="D253" s="16">
        <v>46113</v>
      </c>
      <c r="E253" s="15" t="s">
        <v>16</v>
      </c>
      <c r="F253" s="5" t="s">
        <v>223</v>
      </c>
      <c r="G253" s="5" t="s">
        <v>11</v>
      </c>
      <c r="H253" s="5">
        <v>6</v>
      </c>
      <c r="I253" s="5" t="s">
        <v>21</v>
      </c>
      <c r="J253" s="13" t="s">
        <v>71</v>
      </c>
      <c r="P253" s="1"/>
    </row>
    <row r="254" spans="1:16" ht="19.5" customHeight="1" x14ac:dyDescent="0.25">
      <c r="A254" s="5" t="s">
        <v>461</v>
      </c>
      <c r="B254" s="5">
        <v>1</v>
      </c>
      <c r="C254" s="6">
        <v>46126</v>
      </c>
      <c r="D254" s="16">
        <v>46112</v>
      </c>
      <c r="E254" s="15" t="s">
        <v>15</v>
      </c>
      <c r="F254" s="5" t="s">
        <v>367</v>
      </c>
      <c r="G254" s="5" t="s">
        <v>10</v>
      </c>
      <c r="H254" s="5">
        <v>8</v>
      </c>
      <c r="I254" s="5" t="s">
        <v>20</v>
      </c>
      <c r="J254" s="13" t="s">
        <v>68</v>
      </c>
    </row>
    <row r="255" spans="1:16" ht="19.5" customHeight="1" x14ac:dyDescent="0.25">
      <c r="A255" s="5" t="s">
        <v>450</v>
      </c>
      <c r="B255" s="5">
        <v>1</v>
      </c>
      <c r="C255" s="6">
        <v>46126</v>
      </c>
      <c r="D255" s="16">
        <v>46116</v>
      </c>
      <c r="E255" s="15" t="s">
        <v>15</v>
      </c>
      <c r="F255" s="5" t="s">
        <v>369</v>
      </c>
      <c r="G255" s="5" t="s">
        <v>10</v>
      </c>
      <c r="H255" s="5">
        <v>15</v>
      </c>
      <c r="I255" s="5" t="s">
        <v>20</v>
      </c>
      <c r="J255" s="13" t="s">
        <v>68</v>
      </c>
    </row>
    <row r="256" spans="1:16" ht="19.5" customHeight="1" x14ac:dyDescent="0.25">
      <c r="A256" s="5" t="s">
        <v>462</v>
      </c>
      <c r="B256" s="5">
        <v>1</v>
      </c>
      <c r="C256" s="6">
        <v>46126</v>
      </c>
      <c r="D256" s="16">
        <v>46119</v>
      </c>
      <c r="E256" s="15" t="s">
        <v>15</v>
      </c>
      <c r="F256" s="5" t="s">
        <v>433</v>
      </c>
      <c r="G256" s="5" t="s">
        <v>10</v>
      </c>
      <c r="H256" s="5">
        <v>6</v>
      </c>
      <c r="I256" s="5" t="s">
        <v>20</v>
      </c>
      <c r="J256" s="13" t="s">
        <v>68</v>
      </c>
    </row>
    <row r="257" spans="1:10" ht="19.5" customHeight="1" x14ac:dyDescent="0.25">
      <c r="A257" s="5" t="s">
        <v>491</v>
      </c>
      <c r="B257" s="5">
        <v>1</v>
      </c>
      <c r="C257" s="6">
        <v>46126</v>
      </c>
      <c r="D257" s="16">
        <v>46119</v>
      </c>
      <c r="E257" s="15" t="s">
        <v>15</v>
      </c>
      <c r="F257" s="5" t="s">
        <v>433</v>
      </c>
      <c r="G257" s="5" t="s">
        <v>13</v>
      </c>
      <c r="H257" s="5">
        <v>9</v>
      </c>
      <c r="I257" s="5" t="s">
        <v>20</v>
      </c>
      <c r="J257" s="13" t="s">
        <v>68</v>
      </c>
    </row>
    <row r="258" spans="1:10" ht="19.5" customHeight="1" x14ac:dyDescent="0.25">
      <c r="A258" s="5" t="s">
        <v>464</v>
      </c>
      <c r="B258" s="5">
        <v>1</v>
      </c>
      <c r="C258" s="6">
        <v>46126</v>
      </c>
      <c r="D258" s="16">
        <v>46119</v>
      </c>
      <c r="E258" s="15" t="s">
        <v>15</v>
      </c>
      <c r="F258" s="5" t="s">
        <v>433</v>
      </c>
      <c r="G258" s="5" t="s">
        <v>17</v>
      </c>
      <c r="H258" s="5">
        <v>12</v>
      </c>
      <c r="I258" s="5" t="s">
        <v>20</v>
      </c>
      <c r="J258" s="13" t="s">
        <v>68</v>
      </c>
    </row>
    <row r="259" spans="1:10" ht="20.25" customHeight="1" x14ac:dyDescent="0.25">
      <c r="A259" s="5" t="s">
        <v>474</v>
      </c>
      <c r="B259" s="5">
        <v>1</v>
      </c>
      <c r="C259" s="6">
        <v>46126</v>
      </c>
      <c r="D259" s="16">
        <v>46119</v>
      </c>
      <c r="E259" s="15" t="s">
        <v>15</v>
      </c>
      <c r="F259" s="5" t="s">
        <v>433</v>
      </c>
      <c r="G259" s="5" t="s">
        <v>17</v>
      </c>
      <c r="H259" s="5">
        <v>18</v>
      </c>
      <c r="I259" s="5" t="s">
        <v>20</v>
      </c>
      <c r="J259" s="13" t="s">
        <v>68</v>
      </c>
    </row>
    <row r="260" spans="1:10" ht="19.5" customHeight="1" x14ac:dyDescent="0.25">
      <c r="A260" s="5" t="s">
        <v>475</v>
      </c>
      <c r="B260" s="5">
        <v>1</v>
      </c>
      <c r="C260" s="6">
        <v>46126</v>
      </c>
      <c r="D260" s="16">
        <v>46119</v>
      </c>
      <c r="E260" s="15" t="s">
        <v>15</v>
      </c>
      <c r="F260" s="5" t="s">
        <v>433</v>
      </c>
      <c r="G260" s="5" t="s">
        <v>13</v>
      </c>
      <c r="H260" s="5">
        <v>18</v>
      </c>
      <c r="I260" s="5" t="s">
        <v>20</v>
      </c>
      <c r="J260" s="13" t="s">
        <v>68</v>
      </c>
    </row>
    <row r="261" spans="1:10" ht="19.5" customHeight="1" x14ac:dyDescent="0.25">
      <c r="A261" s="5" t="s">
        <v>476</v>
      </c>
      <c r="B261" s="5">
        <v>1</v>
      </c>
      <c r="C261" s="6">
        <v>46126</v>
      </c>
      <c r="D261" s="16">
        <v>46119</v>
      </c>
      <c r="E261" s="15" t="s">
        <v>15</v>
      </c>
      <c r="F261" s="5" t="s">
        <v>438</v>
      </c>
      <c r="G261" s="5" t="s">
        <v>10</v>
      </c>
      <c r="H261" s="5">
        <v>8</v>
      </c>
      <c r="I261" s="5" t="s">
        <v>20</v>
      </c>
      <c r="J261" s="13" t="s">
        <v>68</v>
      </c>
    </row>
    <row r="262" spans="1:10" ht="20.25" customHeight="1" x14ac:dyDescent="0.25">
      <c r="A262" s="5" t="s">
        <v>477</v>
      </c>
      <c r="B262" s="5">
        <v>1</v>
      </c>
      <c r="C262" s="6">
        <v>46126</v>
      </c>
      <c r="D262" s="16">
        <v>46119</v>
      </c>
      <c r="E262" s="15" t="s">
        <v>15</v>
      </c>
      <c r="F262" s="5" t="s">
        <v>438</v>
      </c>
      <c r="G262" s="5" t="s">
        <v>13</v>
      </c>
      <c r="H262" s="5">
        <v>14</v>
      </c>
      <c r="I262" s="5" t="s">
        <v>20</v>
      </c>
      <c r="J262" s="13" t="s">
        <v>68</v>
      </c>
    </row>
    <row r="263" spans="1:10" ht="19.5" customHeight="1" x14ac:dyDescent="0.25">
      <c r="A263" s="5" t="s">
        <v>498</v>
      </c>
      <c r="B263" s="5">
        <v>1</v>
      </c>
      <c r="C263" s="6">
        <v>46126</v>
      </c>
      <c r="D263" s="16">
        <v>46119</v>
      </c>
      <c r="E263" s="15" t="s">
        <v>15</v>
      </c>
      <c r="F263" s="5" t="s">
        <v>438</v>
      </c>
      <c r="G263" s="5" t="s">
        <v>17</v>
      </c>
      <c r="H263" s="5">
        <v>18</v>
      </c>
      <c r="I263" s="5" t="s">
        <v>20</v>
      </c>
      <c r="J263" s="13" t="s">
        <v>68</v>
      </c>
    </row>
    <row r="264" spans="1:10" ht="19.5" customHeight="1" x14ac:dyDescent="0.25">
      <c r="A264" s="5" t="s">
        <v>478</v>
      </c>
      <c r="B264" s="5">
        <v>1</v>
      </c>
      <c r="C264" s="6">
        <v>46126</v>
      </c>
      <c r="D264" s="16">
        <v>46119</v>
      </c>
      <c r="E264" s="15" t="s">
        <v>15</v>
      </c>
      <c r="F264" s="5" t="s">
        <v>436</v>
      </c>
      <c r="G264" s="5" t="s">
        <v>17</v>
      </c>
      <c r="H264" s="5">
        <v>8</v>
      </c>
      <c r="I264" s="5" t="s">
        <v>20</v>
      </c>
      <c r="J264" s="13" t="s">
        <v>68</v>
      </c>
    </row>
    <row r="265" spans="1:10" ht="19.5" customHeight="1" x14ac:dyDescent="0.25">
      <c r="A265" s="5" t="s">
        <v>479</v>
      </c>
      <c r="B265" s="5">
        <v>1</v>
      </c>
      <c r="C265" s="6">
        <v>46126</v>
      </c>
      <c r="D265" s="16">
        <v>46120</v>
      </c>
      <c r="E265" s="15" t="s">
        <v>8</v>
      </c>
      <c r="F265" s="5" t="s">
        <v>89</v>
      </c>
      <c r="G265" s="5" t="s">
        <v>10</v>
      </c>
      <c r="H265" s="5">
        <v>18</v>
      </c>
      <c r="I265" s="5" t="s">
        <v>67</v>
      </c>
      <c r="J265" s="13" t="s">
        <v>73</v>
      </c>
    </row>
    <row r="266" spans="1:10" ht="19.5" customHeight="1" x14ac:dyDescent="0.25">
      <c r="A266" s="5" t="s">
        <v>480</v>
      </c>
      <c r="B266" s="5">
        <v>1</v>
      </c>
      <c r="C266" s="6">
        <v>46126</v>
      </c>
      <c r="D266" s="16">
        <v>46120</v>
      </c>
      <c r="E266" s="15" t="s">
        <v>8</v>
      </c>
      <c r="F266" s="5" t="s">
        <v>89</v>
      </c>
      <c r="G266" s="5" t="s">
        <v>10</v>
      </c>
      <c r="H266" s="5">
        <v>30</v>
      </c>
      <c r="I266" s="5" t="s">
        <v>67</v>
      </c>
      <c r="J266" s="13" t="s">
        <v>73</v>
      </c>
    </row>
    <row r="267" spans="1:10" ht="19.5" customHeight="1" x14ac:dyDescent="0.25">
      <c r="A267" s="5" t="s">
        <v>481</v>
      </c>
      <c r="B267" s="5">
        <v>1</v>
      </c>
      <c r="C267" s="6">
        <v>46126</v>
      </c>
      <c r="D267" s="16">
        <v>46120</v>
      </c>
      <c r="E267" s="15" t="s">
        <v>8</v>
      </c>
      <c r="F267" s="5" t="s">
        <v>89</v>
      </c>
      <c r="G267" s="5" t="s">
        <v>17</v>
      </c>
      <c r="H267" s="5">
        <v>9</v>
      </c>
      <c r="I267" s="5" t="s">
        <v>67</v>
      </c>
      <c r="J267" s="13" t="s">
        <v>73</v>
      </c>
    </row>
    <row r="268" spans="1:10" ht="19.5" customHeight="1" x14ac:dyDescent="0.25">
      <c r="A268" s="5" t="s">
        <v>482</v>
      </c>
      <c r="B268" s="5">
        <v>1</v>
      </c>
      <c r="C268" s="6">
        <v>46126</v>
      </c>
      <c r="D268" s="16">
        <v>46120</v>
      </c>
      <c r="E268" s="15" t="s">
        <v>8</v>
      </c>
      <c r="F268" s="5" t="s">
        <v>89</v>
      </c>
      <c r="G268" s="5" t="s">
        <v>10</v>
      </c>
      <c r="H268" s="5">
        <v>17</v>
      </c>
      <c r="I268" s="5" t="s">
        <v>67</v>
      </c>
      <c r="J268" s="13" t="s">
        <v>73</v>
      </c>
    </row>
    <row r="269" spans="1:10" ht="19.5" customHeight="1" x14ac:dyDescent="0.25">
      <c r="A269" s="5" t="s">
        <v>483</v>
      </c>
      <c r="B269" s="5">
        <v>1</v>
      </c>
      <c r="C269" s="6">
        <v>46126</v>
      </c>
      <c r="D269" s="16">
        <v>46120</v>
      </c>
      <c r="E269" s="15" t="s">
        <v>8</v>
      </c>
      <c r="F269" s="5" t="s">
        <v>89</v>
      </c>
      <c r="G269" s="5" t="s">
        <v>10</v>
      </c>
      <c r="H269" s="5">
        <v>30</v>
      </c>
      <c r="I269" s="5" t="s">
        <v>67</v>
      </c>
      <c r="J269" s="13" t="s">
        <v>73</v>
      </c>
    </row>
    <row r="270" spans="1:10" ht="19.5" customHeight="1" x14ac:dyDescent="0.25">
      <c r="A270" s="5" t="s">
        <v>486</v>
      </c>
      <c r="B270" s="5">
        <v>1</v>
      </c>
      <c r="C270" s="6">
        <v>46126</v>
      </c>
      <c r="D270" s="16">
        <v>46120</v>
      </c>
      <c r="E270" s="15" t="s">
        <v>8</v>
      </c>
      <c r="F270" s="5" t="s">
        <v>89</v>
      </c>
      <c r="G270" s="5" t="s">
        <v>10</v>
      </c>
      <c r="H270" s="5">
        <v>30</v>
      </c>
      <c r="I270" s="5" t="s">
        <v>67</v>
      </c>
      <c r="J270" s="13" t="s">
        <v>73</v>
      </c>
    </row>
    <row r="271" spans="1:10" ht="19.5" customHeight="1" x14ac:dyDescent="0.25">
      <c r="A271" s="5" t="s">
        <v>487</v>
      </c>
      <c r="B271" s="5">
        <v>1</v>
      </c>
      <c r="C271" s="6">
        <v>46126</v>
      </c>
      <c r="D271" s="16">
        <v>46120</v>
      </c>
      <c r="E271" s="15" t="s">
        <v>8</v>
      </c>
      <c r="F271" s="5" t="s">
        <v>89</v>
      </c>
      <c r="G271" s="5" t="s">
        <v>10</v>
      </c>
      <c r="H271" s="5">
        <v>30</v>
      </c>
      <c r="I271" s="5" t="s">
        <v>67</v>
      </c>
      <c r="J271" s="13" t="s">
        <v>73</v>
      </c>
    </row>
    <row r="272" spans="1:10" ht="19.5" customHeight="1" x14ac:dyDescent="0.25">
      <c r="A272" s="5" t="s">
        <v>488</v>
      </c>
      <c r="B272" s="5">
        <v>1</v>
      </c>
      <c r="C272" s="6">
        <v>46126</v>
      </c>
      <c r="D272" s="16">
        <v>46113</v>
      </c>
      <c r="E272" s="15" t="s">
        <v>16</v>
      </c>
      <c r="F272" s="5" t="s">
        <v>342</v>
      </c>
      <c r="G272" s="5" t="s">
        <v>11</v>
      </c>
      <c r="H272" s="5">
        <v>8</v>
      </c>
      <c r="I272" s="5" t="s">
        <v>22</v>
      </c>
      <c r="J272" s="13" t="s">
        <v>72</v>
      </c>
    </row>
    <row r="273" spans="1:10" ht="19.5" customHeight="1" x14ac:dyDescent="0.25">
      <c r="A273" s="5" t="s">
        <v>489</v>
      </c>
      <c r="B273" s="5">
        <v>1</v>
      </c>
      <c r="C273" s="6">
        <v>46126</v>
      </c>
      <c r="D273" s="16">
        <v>46113</v>
      </c>
      <c r="E273" s="15" t="s">
        <v>16</v>
      </c>
      <c r="F273" s="5" t="s">
        <v>223</v>
      </c>
      <c r="G273" s="5" t="s">
        <v>10</v>
      </c>
      <c r="H273" s="5">
        <v>9</v>
      </c>
      <c r="I273" s="5" t="s">
        <v>21</v>
      </c>
      <c r="J273" s="13" t="s">
        <v>71</v>
      </c>
    </row>
    <row r="274" spans="1:10" ht="19.5" customHeight="1" x14ac:dyDescent="0.25">
      <c r="A274" s="5" t="s">
        <v>490</v>
      </c>
      <c r="B274" s="5">
        <v>1</v>
      </c>
      <c r="C274" s="6">
        <v>46126</v>
      </c>
      <c r="D274" s="16">
        <v>46119</v>
      </c>
      <c r="E274" s="15" t="s">
        <v>16</v>
      </c>
      <c r="F274" s="5" t="s">
        <v>342</v>
      </c>
      <c r="G274" s="5" t="s">
        <v>11</v>
      </c>
      <c r="H274" s="5">
        <v>2</v>
      </c>
      <c r="I274" s="5" t="s">
        <v>22</v>
      </c>
      <c r="J274" s="13" t="s">
        <v>72</v>
      </c>
    </row>
    <row r="275" spans="1:10" ht="19.5" customHeight="1" x14ac:dyDescent="0.25">
      <c r="A275" s="5" t="s">
        <v>434</v>
      </c>
      <c r="C275" s="6"/>
      <c r="D275" s="16"/>
      <c r="E275" s="15"/>
    </row>
    <row r="276" spans="1:10" ht="19.5" customHeight="1" x14ac:dyDescent="0.25">
      <c r="A276" s="5" t="s">
        <v>432</v>
      </c>
      <c r="C276" s="6"/>
      <c r="D276" s="16"/>
      <c r="E276" s="15"/>
    </row>
    <row r="277" spans="1:10" ht="19.5" customHeight="1" x14ac:dyDescent="0.25">
      <c r="A277" s="5" t="s">
        <v>492</v>
      </c>
      <c r="C277" s="6"/>
      <c r="D277" s="16"/>
      <c r="E277" s="15"/>
    </row>
    <row r="278" spans="1:10" ht="19.5" customHeight="1" x14ac:dyDescent="0.25">
      <c r="A278" s="5" t="s">
        <v>496</v>
      </c>
      <c r="B278" s="5">
        <v>1</v>
      </c>
      <c r="C278" s="6">
        <v>46127</v>
      </c>
      <c r="D278" s="16">
        <v>46119</v>
      </c>
      <c r="E278" s="15" t="s">
        <v>15</v>
      </c>
      <c r="F278" s="5" t="s">
        <v>433</v>
      </c>
      <c r="G278" s="5" t="s">
        <v>10</v>
      </c>
      <c r="H278" s="5">
        <v>9</v>
      </c>
      <c r="I278" s="5" t="s">
        <v>20</v>
      </c>
      <c r="J278" s="13" t="s">
        <v>68</v>
      </c>
    </row>
    <row r="279" spans="1:10" ht="20.25" customHeight="1" x14ac:dyDescent="0.25">
      <c r="A279" s="5" t="s">
        <v>495</v>
      </c>
      <c r="B279" s="5">
        <v>1</v>
      </c>
      <c r="C279" s="6">
        <v>46127</v>
      </c>
      <c r="D279" s="16">
        <v>46119</v>
      </c>
      <c r="E279" s="15" t="s">
        <v>15</v>
      </c>
      <c r="F279" s="5" t="s">
        <v>436</v>
      </c>
      <c r="G279" s="5" t="s">
        <v>11</v>
      </c>
      <c r="H279" s="5">
        <v>12</v>
      </c>
      <c r="I279" s="5" t="s">
        <v>20</v>
      </c>
      <c r="J279" s="13" t="s">
        <v>68</v>
      </c>
    </row>
    <row r="280" spans="1:10" ht="19.5" customHeight="1" x14ac:dyDescent="0.25">
      <c r="A280" s="5" t="s">
        <v>494</v>
      </c>
      <c r="B280" s="5">
        <v>1</v>
      </c>
      <c r="C280" s="6">
        <v>46127</v>
      </c>
      <c r="D280" s="16">
        <v>46119</v>
      </c>
      <c r="E280" s="15" t="s">
        <v>15</v>
      </c>
      <c r="F280" s="5" t="s">
        <v>436</v>
      </c>
      <c r="G280" s="5" t="s">
        <v>13</v>
      </c>
      <c r="H280" s="5">
        <v>12</v>
      </c>
      <c r="I280" s="5" t="s">
        <v>20</v>
      </c>
      <c r="J280" s="13" t="s">
        <v>68</v>
      </c>
    </row>
    <row r="281" spans="1:10" ht="19.5" customHeight="1" x14ac:dyDescent="0.25">
      <c r="A281" s="5" t="s">
        <v>478</v>
      </c>
      <c r="B281" s="5">
        <v>1</v>
      </c>
      <c r="C281" s="6">
        <v>46127</v>
      </c>
      <c r="D281" s="16">
        <v>46119</v>
      </c>
      <c r="E281" s="15" t="s">
        <v>15</v>
      </c>
      <c r="F281" s="5" t="s">
        <v>436</v>
      </c>
      <c r="G281" s="5" t="s">
        <v>17</v>
      </c>
      <c r="H281" s="5">
        <v>4</v>
      </c>
      <c r="I281" s="5" t="s">
        <v>20</v>
      </c>
      <c r="J281" s="13" t="s">
        <v>68</v>
      </c>
    </row>
    <row r="282" spans="1:10" ht="19.5" customHeight="1" x14ac:dyDescent="0.25">
      <c r="A282" s="5" t="s">
        <v>504</v>
      </c>
      <c r="B282" s="5">
        <v>1</v>
      </c>
      <c r="C282" s="6">
        <v>46127</v>
      </c>
      <c r="D282" s="16">
        <v>46120</v>
      </c>
      <c r="E282" s="15" t="s">
        <v>15</v>
      </c>
      <c r="F282" s="5" t="s">
        <v>440</v>
      </c>
      <c r="G282" s="5" t="s">
        <v>17</v>
      </c>
      <c r="H282" s="5">
        <v>24</v>
      </c>
      <c r="I282" s="5" t="s">
        <v>20</v>
      </c>
      <c r="J282" s="13" t="s">
        <v>68</v>
      </c>
    </row>
    <row r="283" spans="1:10" ht="19.5" customHeight="1" x14ac:dyDescent="0.25">
      <c r="A283" s="5" t="s">
        <v>509</v>
      </c>
      <c r="B283" s="5">
        <v>1</v>
      </c>
      <c r="C283" s="6">
        <v>46127</v>
      </c>
      <c r="D283" s="16">
        <v>46120</v>
      </c>
      <c r="E283" s="15" t="s">
        <v>15</v>
      </c>
      <c r="F283" s="5" t="s">
        <v>440</v>
      </c>
      <c r="G283" s="5" t="s">
        <v>10</v>
      </c>
      <c r="H283" s="5">
        <v>24</v>
      </c>
      <c r="I283" s="5" t="s">
        <v>20</v>
      </c>
      <c r="J283" s="13" t="s">
        <v>68</v>
      </c>
    </row>
    <row r="284" spans="1:10" ht="19.5" customHeight="1" x14ac:dyDescent="0.25">
      <c r="A284" s="5" t="s">
        <v>505</v>
      </c>
      <c r="B284" s="5">
        <v>1</v>
      </c>
      <c r="C284" s="6">
        <v>46127</v>
      </c>
      <c r="D284" s="6">
        <v>46120</v>
      </c>
      <c r="E284" s="5" t="s">
        <v>15</v>
      </c>
      <c r="F284" s="5" t="s">
        <v>440</v>
      </c>
      <c r="G284" s="5" t="s">
        <v>10</v>
      </c>
      <c r="H284" s="5">
        <v>18</v>
      </c>
      <c r="I284" s="5" t="s">
        <v>20</v>
      </c>
      <c r="J284" s="13" t="s">
        <v>68</v>
      </c>
    </row>
    <row r="285" spans="1:10" ht="19.5" customHeight="1" x14ac:dyDescent="0.25">
      <c r="A285" s="5" t="s">
        <v>506</v>
      </c>
      <c r="B285" s="5">
        <v>1</v>
      </c>
      <c r="C285" s="6">
        <v>46127</v>
      </c>
      <c r="D285" s="16">
        <v>46120</v>
      </c>
      <c r="E285" s="15" t="s">
        <v>15</v>
      </c>
      <c r="F285" s="5" t="s">
        <v>440</v>
      </c>
      <c r="G285" s="5" t="s">
        <v>10</v>
      </c>
      <c r="H285" s="5">
        <v>30</v>
      </c>
      <c r="I285" s="5" t="s">
        <v>20</v>
      </c>
      <c r="J285" s="13" t="s">
        <v>68</v>
      </c>
    </row>
    <row r="286" spans="1:10" ht="19.5" customHeight="1" x14ac:dyDescent="0.25">
      <c r="A286" s="5" t="s">
        <v>503</v>
      </c>
      <c r="B286" s="5">
        <v>1</v>
      </c>
      <c r="C286" s="6">
        <v>46127</v>
      </c>
      <c r="D286" s="16">
        <v>46120</v>
      </c>
      <c r="E286" s="15" t="s">
        <v>15</v>
      </c>
      <c r="F286" s="5" t="s">
        <v>440</v>
      </c>
      <c r="G286" s="5" t="s">
        <v>10</v>
      </c>
      <c r="H286" s="5">
        <v>39</v>
      </c>
      <c r="I286" s="5" t="s">
        <v>20</v>
      </c>
      <c r="J286" s="13" t="s">
        <v>68</v>
      </c>
    </row>
    <row r="287" spans="1:10" ht="19.5" customHeight="1" x14ac:dyDescent="0.25">
      <c r="A287" s="5" t="s">
        <v>507</v>
      </c>
      <c r="B287" s="5">
        <v>1</v>
      </c>
      <c r="C287" s="6">
        <v>46127</v>
      </c>
      <c r="D287" s="16">
        <v>46120</v>
      </c>
      <c r="E287" s="15" t="s">
        <v>15</v>
      </c>
      <c r="F287" s="5" t="s">
        <v>440</v>
      </c>
      <c r="G287" s="5" t="s">
        <v>17</v>
      </c>
      <c r="H287" s="5">
        <v>30</v>
      </c>
      <c r="I287" s="5" t="s">
        <v>20</v>
      </c>
      <c r="J287" s="13" t="s">
        <v>68</v>
      </c>
    </row>
    <row r="288" spans="1:10" ht="19.5" customHeight="1" x14ac:dyDescent="0.25">
      <c r="A288" s="5" t="s">
        <v>510</v>
      </c>
      <c r="B288" s="5">
        <v>1</v>
      </c>
      <c r="C288" s="6">
        <v>46127</v>
      </c>
      <c r="D288" s="16">
        <v>46120</v>
      </c>
      <c r="E288" s="15" t="s">
        <v>15</v>
      </c>
      <c r="F288" s="5" t="s">
        <v>440</v>
      </c>
      <c r="G288" s="5" t="s">
        <v>10</v>
      </c>
      <c r="H288" s="5">
        <v>2</v>
      </c>
      <c r="I288" s="5" t="s">
        <v>20</v>
      </c>
      <c r="J288" s="13" t="s">
        <v>68</v>
      </c>
    </row>
    <row r="289" spans="1:10" ht="19.5" customHeight="1" x14ac:dyDescent="0.25">
      <c r="A289" s="5" t="s">
        <v>508</v>
      </c>
      <c r="B289" s="5">
        <v>1</v>
      </c>
      <c r="C289" s="6">
        <v>46127</v>
      </c>
      <c r="D289" s="16">
        <v>46120</v>
      </c>
      <c r="E289" s="15" t="s">
        <v>15</v>
      </c>
      <c r="F289" s="5" t="s">
        <v>440</v>
      </c>
      <c r="G289" s="5" t="s">
        <v>10</v>
      </c>
      <c r="H289" s="5">
        <v>30</v>
      </c>
      <c r="I289" s="5" t="s">
        <v>20</v>
      </c>
      <c r="J289" s="13" t="s">
        <v>68</v>
      </c>
    </row>
    <row r="290" spans="1:10" ht="19.5" customHeight="1" x14ac:dyDescent="0.25">
      <c r="A290" s="5" t="s">
        <v>544</v>
      </c>
      <c r="B290" s="5">
        <v>1</v>
      </c>
      <c r="C290" s="6">
        <v>46127</v>
      </c>
      <c r="D290" s="16">
        <v>46124</v>
      </c>
      <c r="E290" s="15" t="s">
        <v>15</v>
      </c>
      <c r="F290" s="5" t="s">
        <v>299</v>
      </c>
      <c r="G290" s="5" t="s">
        <v>12</v>
      </c>
      <c r="H290" s="5">
        <v>19</v>
      </c>
      <c r="I290" s="5" t="s">
        <v>20</v>
      </c>
      <c r="J290" s="13" t="s">
        <v>68</v>
      </c>
    </row>
    <row r="291" spans="1:10" ht="19.5" customHeight="1" x14ac:dyDescent="0.25">
      <c r="A291" s="5" t="s">
        <v>576</v>
      </c>
      <c r="B291" s="5">
        <v>1</v>
      </c>
      <c r="C291" s="6">
        <v>46127</v>
      </c>
      <c r="D291" s="16">
        <v>46125</v>
      </c>
      <c r="E291" s="15" t="s">
        <v>15</v>
      </c>
      <c r="F291" s="5" t="s">
        <v>299</v>
      </c>
      <c r="G291" s="5" t="s">
        <v>12</v>
      </c>
      <c r="H291" s="5">
        <v>12</v>
      </c>
      <c r="I291" s="5" t="s">
        <v>20</v>
      </c>
      <c r="J291" s="13" t="s">
        <v>68</v>
      </c>
    </row>
    <row r="292" spans="1:10" ht="19.5" customHeight="1" x14ac:dyDescent="0.25">
      <c r="A292" s="5" t="s">
        <v>570</v>
      </c>
      <c r="B292" s="5">
        <v>1</v>
      </c>
      <c r="C292" s="6">
        <v>46127</v>
      </c>
      <c r="D292" s="16">
        <v>46125</v>
      </c>
      <c r="E292" s="15" t="s">
        <v>15</v>
      </c>
      <c r="F292" s="5" t="s">
        <v>299</v>
      </c>
      <c r="G292" s="5" t="s">
        <v>12</v>
      </c>
      <c r="H292" s="5">
        <v>24</v>
      </c>
      <c r="I292" s="5" t="s">
        <v>20</v>
      </c>
      <c r="J292" s="13" t="s">
        <v>68</v>
      </c>
    </row>
    <row r="293" spans="1:10" ht="19.5" customHeight="1" x14ac:dyDescent="0.25">
      <c r="A293" s="5" t="s">
        <v>493</v>
      </c>
      <c r="B293" s="5">
        <v>1</v>
      </c>
      <c r="C293" s="6">
        <v>46127</v>
      </c>
      <c r="D293" s="16">
        <v>46116</v>
      </c>
      <c r="E293" s="15" t="s">
        <v>15</v>
      </c>
      <c r="F293" s="5" t="s">
        <v>369</v>
      </c>
      <c r="G293" s="5" t="s">
        <v>11</v>
      </c>
      <c r="H293" s="5">
        <v>26</v>
      </c>
      <c r="I293" s="5" t="s">
        <v>20</v>
      </c>
      <c r="J293" s="13" t="s">
        <v>68</v>
      </c>
    </row>
    <row r="294" spans="1:10" ht="19.5" customHeight="1" x14ac:dyDescent="0.25">
      <c r="A294" s="5" t="s">
        <v>497</v>
      </c>
      <c r="B294" s="5">
        <v>1</v>
      </c>
      <c r="C294" s="6">
        <v>46127</v>
      </c>
      <c r="D294" s="16">
        <v>46119</v>
      </c>
      <c r="E294" s="15" t="s">
        <v>15</v>
      </c>
      <c r="F294" s="5" t="s">
        <v>433</v>
      </c>
      <c r="G294" s="5" t="s">
        <v>10</v>
      </c>
      <c r="H294" s="5">
        <v>9</v>
      </c>
      <c r="I294" s="5" t="s">
        <v>20</v>
      </c>
      <c r="J294" s="13" t="s">
        <v>68</v>
      </c>
    </row>
    <row r="295" spans="1:10" ht="19.5" customHeight="1" x14ac:dyDescent="0.25">
      <c r="A295" s="100" t="s">
        <v>611</v>
      </c>
      <c r="B295" s="5">
        <v>1</v>
      </c>
      <c r="C295" s="6">
        <v>46127</v>
      </c>
      <c r="D295" s="16">
        <v>46126</v>
      </c>
      <c r="E295" s="15" t="s">
        <v>15</v>
      </c>
      <c r="F295" s="5" t="s">
        <v>299</v>
      </c>
      <c r="G295" s="5" t="s">
        <v>12</v>
      </c>
      <c r="H295" s="5">
        <v>23</v>
      </c>
      <c r="I295" s="5" t="s">
        <v>20</v>
      </c>
      <c r="J295" s="13" t="s">
        <v>68</v>
      </c>
    </row>
    <row r="296" spans="1:10" ht="19.5" customHeight="1" x14ac:dyDescent="0.25">
      <c r="A296" s="5" t="s">
        <v>541</v>
      </c>
      <c r="B296" s="5">
        <v>1</v>
      </c>
      <c r="C296" s="6">
        <v>46127</v>
      </c>
      <c r="D296" s="16">
        <v>46124</v>
      </c>
      <c r="E296" s="15" t="s">
        <v>15</v>
      </c>
      <c r="F296" s="5" t="s">
        <v>299</v>
      </c>
      <c r="G296" s="5" t="s">
        <v>13</v>
      </c>
      <c r="H296" s="5">
        <v>17</v>
      </c>
      <c r="I296" s="5" t="s">
        <v>20</v>
      </c>
      <c r="J296" s="13" t="s">
        <v>68</v>
      </c>
    </row>
    <row r="297" spans="1:10" ht="19.5" customHeight="1" x14ac:dyDescent="0.25">
      <c r="A297" s="5" t="s">
        <v>545</v>
      </c>
      <c r="B297" s="5">
        <v>1</v>
      </c>
      <c r="C297" s="6">
        <v>46127</v>
      </c>
      <c r="D297" s="16">
        <v>46124</v>
      </c>
      <c r="E297" s="15" t="s">
        <v>15</v>
      </c>
      <c r="F297" s="5" t="s">
        <v>299</v>
      </c>
      <c r="G297" s="5" t="s">
        <v>17</v>
      </c>
      <c r="H297" s="5">
        <v>23</v>
      </c>
      <c r="I297" s="5" t="s">
        <v>20</v>
      </c>
      <c r="J297" s="13" t="s">
        <v>68</v>
      </c>
    </row>
    <row r="298" spans="1:10" ht="19.5" customHeight="1" x14ac:dyDescent="0.25">
      <c r="A298" s="5" t="s">
        <v>758</v>
      </c>
      <c r="C298" s="6"/>
      <c r="D298" s="16"/>
      <c r="E298" s="15"/>
    </row>
    <row r="299" spans="1:10" ht="19.5" customHeight="1" x14ac:dyDescent="0.25">
      <c r="A299" s="5" t="s">
        <v>524</v>
      </c>
      <c r="B299" s="5">
        <v>1</v>
      </c>
      <c r="C299" s="6">
        <v>46128</v>
      </c>
      <c r="D299" s="16">
        <v>46120</v>
      </c>
      <c r="E299" s="15" t="s">
        <v>16</v>
      </c>
      <c r="F299" s="5" t="s">
        <v>342</v>
      </c>
      <c r="G299" s="5" t="s">
        <v>11</v>
      </c>
      <c r="H299" s="5">
        <v>8</v>
      </c>
      <c r="I299" s="5" t="s">
        <v>22</v>
      </c>
      <c r="J299" s="13" t="s">
        <v>72</v>
      </c>
    </row>
    <row r="300" spans="1:10" ht="20.25" customHeight="1" x14ac:dyDescent="0.25">
      <c r="A300" s="5" t="s">
        <v>518</v>
      </c>
      <c r="B300" s="5">
        <v>1</v>
      </c>
      <c r="C300" s="6">
        <v>46128</v>
      </c>
      <c r="D300" s="16">
        <v>46120</v>
      </c>
      <c r="E300" s="15" t="s">
        <v>16</v>
      </c>
      <c r="F300" s="5" t="s">
        <v>342</v>
      </c>
      <c r="G300" s="5" t="s">
        <v>10</v>
      </c>
      <c r="H300" s="5">
        <v>12</v>
      </c>
      <c r="I300" s="5" t="s">
        <v>22</v>
      </c>
      <c r="J300" s="13" t="s">
        <v>72</v>
      </c>
    </row>
    <row r="301" spans="1:10" ht="19.5" customHeight="1" x14ac:dyDescent="0.25">
      <c r="A301" s="5" t="s">
        <v>499</v>
      </c>
      <c r="B301" s="5">
        <v>1</v>
      </c>
      <c r="C301" s="6">
        <v>46128</v>
      </c>
      <c r="D301" s="16">
        <v>46120</v>
      </c>
      <c r="E301" s="15" t="s">
        <v>16</v>
      </c>
      <c r="F301" s="5" t="s">
        <v>342</v>
      </c>
      <c r="G301" s="5" t="s">
        <v>17</v>
      </c>
      <c r="H301" s="5">
        <v>2</v>
      </c>
      <c r="I301" s="5" t="s">
        <v>22</v>
      </c>
      <c r="J301" s="13" t="s">
        <v>72</v>
      </c>
    </row>
    <row r="302" spans="1:10" ht="19.5" customHeight="1" x14ac:dyDescent="0.25">
      <c r="A302" s="5" t="s">
        <v>500</v>
      </c>
      <c r="B302" s="5">
        <v>1</v>
      </c>
      <c r="C302" s="6">
        <v>46128</v>
      </c>
      <c r="D302" s="16">
        <v>46120</v>
      </c>
      <c r="E302" s="15" t="s">
        <v>16</v>
      </c>
      <c r="F302" s="5" t="s">
        <v>342</v>
      </c>
      <c r="G302" s="5" t="s">
        <v>10</v>
      </c>
      <c r="H302" s="5">
        <v>16</v>
      </c>
      <c r="I302" s="5" t="s">
        <v>22</v>
      </c>
      <c r="J302" s="13" t="s">
        <v>72</v>
      </c>
    </row>
    <row r="303" spans="1:10" ht="20.25" customHeight="1" x14ac:dyDescent="0.25">
      <c r="A303" s="5" t="s">
        <v>520</v>
      </c>
      <c r="B303" s="5">
        <v>1</v>
      </c>
      <c r="C303" s="6">
        <v>46128</v>
      </c>
      <c r="D303" s="16">
        <v>46120</v>
      </c>
      <c r="E303" s="15" t="s">
        <v>16</v>
      </c>
      <c r="F303" s="5" t="s">
        <v>342</v>
      </c>
      <c r="G303" s="5" t="s">
        <v>10</v>
      </c>
      <c r="H303" s="5">
        <v>30</v>
      </c>
      <c r="I303" s="5" t="s">
        <v>22</v>
      </c>
      <c r="J303" s="13" t="s">
        <v>72</v>
      </c>
    </row>
    <row r="304" spans="1:10" ht="19.5" customHeight="1" x14ac:dyDescent="0.25">
      <c r="A304" s="5" t="s">
        <v>521</v>
      </c>
      <c r="B304" s="5">
        <v>1</v>
      </c>
      <c r="C304" s="6">
        <v>46128</v>
      </c>
      <c r="D304" s="16">
        <v>46120</v>
      </c>
      <c r="E304" s="15" t="s">
        <v>16</v>
      </c>
      <c r="F304" s="5" t="s">
        <v>342</v>
      </c>
      <c r="G304" s="5" t="s">
        <v>10</v>
      </c>
      <c r="H304" s="5">
        <v>10</v>
      </c>
      <c r="I304" s="5" t="s">
        <v>22</v>
      </c>
      <c r="J304" s="13" t="s">
        <v>72</v>
      </c>
    </row>
    <row r="305" spans="1:10" ht="19.5" customHeight="1" x14ac:dyDescent="0.25">
      <c r="A305" s="5" t="s">
        <v>519</v>
      </c>
      <c r="B305" s="5">
        <v>1</v>
      </c>
      <c r="C305" s="6">
        <v>46128</v>
      </c>
      <c r="D305" s="16">
        <v>46120</v>
      </c>
      <c r="E305" s="15" t="s">
        <v>16</v>
      </c>
      <c r="F305" s="5" t="s">
        <v>342</v>
      </c>
      <c r="G305" s="5" t="s">
        <v>11</v>
      </c>
      <c r="H305" s="5">
        <v>15</v>
      </c>
      <c r="I305" s="5" t="s">
        <v>22</v>
      </c>
      <c r="J305" s="13" t="s">
        <v>72</v>
      </c>
    </row>
    <row r="306" spans="1:10" ht="19.5" customHeight="1" x14ac:dyDescent="0.25">
      <c r="A306" s="5" t="s">
        <v>523</v>
      </c>
      <c r="B306" s="5">
        <v>1</v>
      </c>
      <c r="C306" s="6">
        <v>46128</v>
      </c>
      <c r="D306" s="16">
        <v>46120</v>
      </c>
      <c r="E306" s="15" t="s">
        <v>16</v>
      </c>
      <c r="F306" s="5" t="s">
        <v>342</v>
      </c>
      <c r="G306" s="5" t="s">
        <v>17</v>
      </c>
      <c r="H306" s="5">
        <v>5</v>
      </c>
      <c r="I306" s="5" t="s">
        <v>22</v>
      </c>
      <c r="J306" s="13" t="s">
        <v>72</v>
      </c>
    </row>
    <row r="307" spans="1:10" ht="19.5" customHeight="1" x14ac:dyDescent="0.25">
      <c r="A307" s="5" t="s">
        <v>522</v>
      </c>
      <c r="B307" s="5">
        <v>1</v>
      </c>
      <c r="C307" s="6">
        <v>46128</v>
      </c>
      <c r="D307" s="16">
        <v>46120</v>
      </c>
      <c r="E307" s="15" t="s">
        <v>16</v>
      </c>
      <c r="F307" s="5" t="s">
        <v>342</v>
      </c>
      <c r="G307" s="5" t="s">
        <v>10</v>
      </c>
      <c r="H307" s="5">
        <v>20</v>
      </c>
      <c r="I307" s="5" t="s">
        <v>22</v>
      </c>
      <c r="J307" s="13" t="s">
        <v>72</v>
      </c>
    </row>
    <row r="308" spans="1:10" ht="19.5" customHeight="1" x14ac:dyDescent="0.25">
      <c r="A308" s="5" t="s">
        <v>517</v>
      </c>
      <c r="B308" s="5">
        <v>1</v>
      </c>
      <c r="C308" s="6">
        <v>46128</v>
      </c>
      <c r="D308" s="16">
        <v>46120</v>
      </c>
      <c r="E308" s="15" t="s">
        <v>16</v>
      </c>
      <c r="F308" s="5" t="s">
        <v>342</v>
      </c>
      <c r="G308" s="5" t="s">
        <v>17</v>
      </c>
      <c r="H308" s="5">
        <v>30</v>
      </c>
      <c r="I308" s="5" t="s">
        <v>22</v>
      </c>
      <c r="J308" s="13" t="s">
        <v>72</v>
      </c>
    </row>
    <row r="309" spans="1:10" ht="19.5" customHeight="1" x14ac:dyDescent="0.25">
      <c r="A309" s="5" t="s">
        <v>514</v>
      </c>
      <c r="B309" s="5">
        <v>1</v>
      </c>
      <c r="C309" s="6">
        <v>46128</v>
      </c>
      <c r="D309" s="16">
        <v>46120</v>
      </c>
      <c r="E309" s="15" t="s">
        <v>16</v>
      </c>
      <c r="F309" s="5" t="s">
        <v>643</v>
      </c>
      <c r="G309" s="5" t="s">
        <v>11</v>
      </c>
      <c r="H309" s="5">
        <v>22</v>
      </c>
      <c r="I309" s="5" t="s">
        <v>20</v>
      </c>
      <c r="J309" s="13" t="s">
        <v>80</v>
      </c>
    </row>
    <row r="310" spans="1:10" ht="19.5" customHeight="1" x14ac:dyDescent="0.25">
      <c r="A310" s="5" t="s">
        <v>512</v>
      </c>
      <c r="B310" s="5">
        <v>1</v>
      </c>
      <c r="C310" s="6">
        <v>46128</v>
      </c>
      <c r="D310" s="16">
        <v>46120</v>
      </c>
      <c r="E310" s="15" t="s">
        <v>16</v>
      </c>
      <c r="F310" s="5" t="s">
        <v>643</v>
      </c>
      <c r="G310" s="5" t="s">
        <v>17</v>
      </c>
      <c r="H310" s="5">
        <v>2</v>
      </c>
      <c r="I310" s="5" t="s">
        <v>20</v>
      </c>
      <c r="J310" s="13" t="s">
        <v>80</v>
      </c>
    </row>
    <row r="311" spans="1:10" ht="19.5" customHeight="1" x14ac:dyDescent="0.25">
      <c r="A311" s="5" t="s">
        <v>513</v>
      </c>
      <c r="B311" s="5">
        <v>1</v>
      </c>
      <c r="C311" s="6">
        <v>46128</v>
      </c>
      <c r="D311" s="16">
        <v>46120</v>
      </c>
      <c r="E311" s="15" t="s">
        <v>16</v>
      </c>
      <c r="F311" s="5" t="s">
        <v>643</v>
      </c>
      <c r="G311" s="5" t="s">
        <v>10</v>
      </c>
      <c r="H311" s="5">
        <v>31</v>
      </c>
      <c r="I311" s="5" t="s">
        <v>20</v>
      </c>
      <c r="J311" s="13" t="s">
        <v>80</v>
      </c>
    </row>
    <row r="312" spans="1:10" ht="19.5" customHeight="1" x14ac:dyDescent="0.25">
      <c r="A312" s="5" t="s">
        <v>515</v>
      </c>
      <c r="B312" s="5">
        <v>1</v>
      </c>
      <c r="C312" s="6">
        <v>46128</v>
      </c>
      <c r="D312" s="16">
        <v>46120</v>
      </c>
      <c r="E312" s="15" t="s">
        <v>16</v>
      </c>
      <c r="F312" s="5" t="s">
        <v>89</v>
      </c>
      <c r="G312" s="5" t="s">
        <v>10</v>
      </c>
      <c r="H312" s="5">
        <v>12</v>
      </c>
      <c r="I312" s="5" t="s">
        <v>67</v>
      </c>
      <c r="J312" s="13" t="s">
        <v>73</v>
      </c>
    </row>
    <row r="313" spans="1:10" ht="19.5" customHeight="1" x14ac:dyDescent="0.25">
      <c r="A313" s="100" t="s">
        <v>664</v>
      </c>
      <c r="C313" s="6"/>
      <c r="D313" s="16"/>
      <c r="E313" s="15"/>
    </row>
    <row r="314" spans="1:10" ht="20.25" customHeight="1" x14ac:dyDescent="0.25">
      <c r="A314" s="5" t="s">
        <v>575</v>
      </c>
      <c r="B314" s="5">
        <v>1</v>
      </c>
      <c r="C314" s="6">
        <v>46129</v>
      </c>
      <c r="D314" s="16">
        <v>46125</v>
      </c>
      <c r="E314" s="15" t="s">
        <v>15</v>
      </c>
      <c r="F314" s="5" t="s">
        <v>299</v>
      </c>
      <c r="G314" s="5" t="s">
        <v>10</v>
      </c>
      <c r="H314" s="5">
        <v>36</v>
      </c>
      <c r="I314" s="5" t="s">
        <v>20</v>
      </c>
      <c r="J314" s="13" t="s">
        <v>68</v>
      </c>
    </row>
    <row r="315" spans="1:10" ht="20.25" customHeight="1" x14ac:dyDescent="0.25">
      <c r="A315" s="5" t="s">
        <v>578</v>
      </c>
      <c r="B315" s="5">
        <v>1</v>
      </c>
      <c r="C315" s="6">
        <v>46129</v>
      </c>
      <c r="D315" s="16">
        <v>46125</v>
      </c>
      <c r="E315" s="15" t="s">
        <v>15</v>
      </c>
      <c r="F315" s="5" t="s">
        <v>299</v>
      </c>
      <c r="G315" s="5" t="s">
        <v>10</v>
      </c>
      <c r="H315" s="5">
        <v>22</v>
      </c>
      <c r="I315" s="5" t="s">
        <v>20</v>
      </c>
      <c r="J315" s="13" t="s">
        <v>68</v>
      </c>
    </row>
    <row r="316" spans="1:10" ht="19.5" customHeight="1" x14ac:dyDescent="0.25">
      <c r="A316" s="5" t="s">
        <v>571</v>
      </c>
      <c r="B316" s="5">
        <v>1</v>
      </c>
      <c r="C316" s="6">
        <v>46129</v>
      </c>
      <c r="D316" s="16">
        <v>46125</v>
      </c>
      <c r="E316" s="15" t="s">
        <v>15</v>
      </c>
      <c r="F316" s="5" t="s">
        <v>644</v>
      </c>
      <c r="G316" s="5" t="s">
        <v>13</v>
      </c>
      <c r="H316" s="5">
        <v>19</v>
      </c>
      <c r="I316" s="5" t="s">
        <v>20</v>
      </c>
      <c r="J316" s="13" t="s">
        <v>68</v>
      </c>
    </row>
    <row r="317" spans="1:10" ht="19.5" customHeight="1" x14ac:dyDescent="0.25">
      <c r="A317" s="5" t="s">
        <v>574</v>
      </c>
      <c r="B317" s="5">
        <v>1</v>
      </c>
      <c r="C317" s="6">
        <v>46129</v>
      </c>
      <c r="D317" s="16">
        <v>46125</v>
      </c>
      <c r="E317" s="15" t="s">
        <v>15</v>
      </c>
      <c r="F317" s="5" t="s">
        <v>299</v>
      </c>
      <c r="G317" s="5" t="s">
        <v>10</v>
      </c>
      <c r="H317" s="5">
        <v>45</v>
      </c>
      <c r="I317" s="5" t="s">
        <v>20</v>
      </c>
      <c r="J317" s="13" t="s">
        <v>68</v>
      </c>
    </row>
    <row r="318" spans="1:10" ht="20.25" customHeight="1" x14ac:dyDescent="0.25">
      <c r="A318" s="5" t="s">
        <v>656</v>
      </c>
      <c r="B318" s="5">
        <v>1</v>
      </c>
      <c r="C318" s="6">
        <v>46129</v>
      </c>
      <c r="D318" s="16">
        <v>46127</v>
      </c>
      <c r="E318" s="15" t="s">
        <v>15</v>
      </c>
      <c r="F318" s="5" t="s">
        <v>299</v>
      </c>
      <c r="G318" s="5" t="s">
        <v>12</v>
      </c>
      <c r="H318" s="5">
        <v>30</v>
      </c>
      <c r="I318" s="5" t="s">
        <v>20</v>
      </c>
      <c r="J318" s="13" t="s">
        <v>68</v>
      </c>
    </row>
    <row r="319" spans="1:10" ht="19.5" customHeight="1" x14ac:dyDescent="0.25">
      <c r="A319" s="5" t="s">
        <v>546</v>
      </c>
      <c r="B319" s="5">
        <v>1</v>
      </c>
      <c r="C319" s="6">
        <v>46129</v>
      </c>
      <c r="D319" s="16">
        <v>46124</v>
      </c>
      <c r="E319" s="15" t="s">
        <v>15</v>
      </c>
      <c r="F319" s="5" t="s">
        <v>299</v>
      </c>
      <c r="G319" s="5" t="s">
        <v>10</v>
      </c>
      <c r="H319" s="5">
        <v>25</v>
      </c>
      <c r="I319" s="5" t="s">
        <v>20</v>
      </c>
      <c r="J319" s="13" t="s">
        <v>68</v>
      </c>
    </row>
    <row r="320" spans="1:10" ht="19.5" customHeight="1" x14ac:dyDescent="0.25">
      <c r="A320" s="5" t="s">
        <v>542</v>
      </c>
      <c r="B320" s="5">
        <v>1</v>
      </c>
      <c r="C320" s="6">
        <v>46129</v>
      </c>
      <c r="D320" s="16">
        <v>46124</v>
      </c>
      <c r="E320" s="15" t="s">
        <v>15</v>
      </c>
      <c r="F320" s="5" t="s">
        <v>299</v>
      </c>
      <c r="G320" s="5" t="s">
        <v>10</v>
      </c>
      <c r="H320" s="5">
        <v>18</v>
      </c>
      <c r="I320" s="5" t="s">
        <v>20</v>
      </c>
      <c r="J320" s="13" t="s">
        <v>68</v>
      </c>
    </row>
    <row r="321" spans="1:10" ht="20.25" customHeight="1" x14ac:dyDescent="0.25">
      <c r="A321" s="5" t="s">
        <v>543</v>
      </c>
      <c r="B321" s="5">
        <v>1</v>
      </c>
      <c r="C321" s="6">
        <v>46129</v>
      </c>
      <c r="D321" s="16">
        <v>46124</v>
      </c>
      <c r="E321" s="15" t="s">
        <v>15</v>
      </c>
      <c r="F321" s="5" t="s">
        <v>299</v>
      </c>
      <c r="G321" s="5" t="s">
        <v>10</v>
      </c>
      <c r="H321" s="5">
        <v>18</v>
      </c>
      <c r="I321" s="5" t="s">
        <v>20</v>
      </c>
      <c r="J321" s="13" t="s">
        <v>68</v>
      </c>
    </row>
    <row r="322" spans="1:10" ht="19.5" customHeight="1" x14ac:dyDescent="0.25">
      <c r="A322" s="5" t="s">
        <v>548</v>
      </c>
      <c r="B322" s="5">
        <v>1</v>
      </c>
      <c r="C322" s="6">
        <v>46129</v>
      </c>
      <c r="D322" s="16">
        <v>46124</v>
      </c>
      <c r="E322" s="15" t="s">
        <v>15</v>
      </c>
      <c r="F322" s="5" t="s">
        <v>299</v>
      </c>
      <c r="G322" s="5" t="s">
        <v>10</v>
      </c>
      <c r="H322" s="5">
        <v>25</v>
      </c>
      <c r="I322" s="5" t="s">
        <v>20</v>
      </c>
      <c r="J322" s="13" t="s">
        <v>68</v>
      </c>
    </row>
    <row r="323" spans="1:10" ht="19.5" customHeight="1" x14ac:dyDescent="0.25">
      <c r="A323" s="5" t="s">
        <v>612</v>
      </c>
      <c r="B323" s="5">
        <v>1</v>
      </c>
      <c r="C323" s="6">
        <v>46129</v>
      </c>
      <c r="D323" s="16">
        <v>46126</v>
      </c>
      <c r="E323" s="15" t="s">
        <v>15</v>
      </c>
      <c r="F323" s="5" t="s">
        <v>299</v>
      </c>
      <c r="G323" s="5" t="s">
        <v>13</v>
      </c>
      <c r="H323" s="5">
        <v>14</v>
      </c>
      <c r="I323" s="5" t="s">
        <v>20</v>
      </c>
      <c r="J323" s="13" t="s">
        <v>68</v>
      </c>
    </row>
    <row r="324" spans="1:10" ht="19.5" customHeight="1" x14ac:dyDescent="0.25">
      <c r="A324" s="5" t="s">
        <v>615</v>
      </c>
      <c r="B324" s="5">
        <v>1</v>
      </c>
      <c r="C324" s="6">
        <v>46129</v>
      </c>
      <c r="D324" s="16">
        <v>46126</v>
      </c>
      <c r="E324" s="15" t="s">
        <v>15</v>
      </c>
      <c r="F324" s="5" t="s">
        <v>299</v>
      </c>
      <c r="G324" s="5" t="s">
        <v>10</v>
      </c>
      <c r="H324" s="5">
        <v>30</v>
      </c>
      <c r="I324" s="5" t="s">
        <v>20</v>
      </c>
      <c r="J324" s="13" t="s">
        <v>68</v>
      </c>
    </row>
    <row r="325" spans="1:10" ht="20.25" customHeight="1" x14ac:dyDescent="0.25">
      <c r="A325" s="5" t="s">
        <v>692</v>
      </c>
      <c r="B325" s="5">
        <v>1</v>
      </c>
      <c r="C325" s="6">
        <v>46129</v>
      </c>
      <c r="D325" s="16">
        <v>46128</v>
      </c>
      <c r="E325" s="15" t="s">
        <v>15</v>
      </c>
      <c r="F325" s="5" t="s">
        <v>299</v>
      </c>
      <c r="G325" s="5" t="s">
        <v>12</v>
      </c>
      <c r="H325" s="5">
        <v>24</v>
      </c>
      <c r="I325" s="5" t="s">
        <v>20</v>
      </c>
      <c r="J325" s="13" t="s">
        <v>68</v>
      </c>
    </row>
    <row r="326" spans="1:10" ht="20.25" customHeight="1" x14ac:dyDescent="0.25">
      <c r="A326" s="5" t="s">
        <v>619</v>
      </c>
      <c r="B326" s="5">
        <v>1</v>
      </c>
      <c r="C326" s="6">
        <v>46129</v>
      </c>
      <c r="D326" s="16">
        <v>46126</v>
      </c>
      <c r="E326" s="15" t="s">
        <v>15</v>
      </c>
      <c r="F326" s="5" t="s">
        <v>299</v>
      </c>
      <c r="G326" s="5" t="s">
        <v>10</v>
      </c>
      <c r="H326" s="5">
        <v>6</v>
      </c>
      <c r="I326" s="5" t="s">
        <v>20</v>
      </c>
      <c r="J326" s="13" t="s">
        <v>68</v>
      </c>
    </row>
    <row r="327" spans="1:10" ht="20.25" customHeight="1" x14ac:dyDescent="0.25">
      <c r="A327" s="5" t="s">
        <v>693</v>
      </c>
      <c r="B327" s="5">
        <v>1</v>
      </c>
      <c r="C327" s="6">
        <v>46129</v>
      </c>
      <c r="D327" s="16">
        <v>46128</v>
      </c>
      <c r="E327" s="15" t="s">
        <v>15</v>
      </c>
      <c r="F327" s="5" t="s">
        <v>299</v>
      </c>
      <c r="G327" s="5" t="s">
        <v>13</v>
      </c>
      <c r="H327" s="5">
        <v>24</v>
      </c>
      <c r="I327" s="5" t="s">
        <v>20</v>
      </c>
      <c r="J327" s="13" t="s">
        <v>68</v>
      </c>
    </row>
    <row r="328" spans="1:10" ht="20.25" customHeight="1" x14ac:dyDescent="0.25">
      <c r="A328" s="5" t="s">
        <v>613</v>
      </c>
      <c r="B328" s="5">
        <v>1</v>
      </c>
      <c r="C328" s="6">
        <v>46129</v>
      </c>
      <c r="D328" s="16">
        <v>46126</v>
      </c>
      <c r="E328" s="15" t="s">
        <v>15</v>
      </c>
      <c r="F328" s="5" t="s">
        <v>299</v>
      </c>
      <c r="G328" s="5" t="s">
        <v>10</v>
      </c>
      <c r="H328" s="5">
        <v>12</v>
      </c>
      <c r="I328" s="5" t="s">
        <v>20</v>
      </c>
      <c r="J328" s="13" t="s">
        <v>68</v>
      </c>
    </row>
    <row r="329" spans="1:10" ht="20.25" customHeight="1" x14ac:dyDescent="0.25">
      <c r="A329" s="5" t="s">
        <v>705</v>
      </c>
      <c r="B329" s="5">
        <v>1</v>
      </c>
      <c r="C329" s="6">
        <v>46129</v>
      </c>
      <c r="D329" s="16">
        <v>46128</v>
      </c>
      <c r="E329" s="15" t="s">
        <v>15</v>
      </c>
      <c r="F329" s="5" t="s">
        <v>645</v>
      </c>
      <c r="G329" s="5" t="s">
        <v>13</v>
      </c>
      <c r="H329" s="5">
        <v>2</v>
      </c>
      <c r="I329" s="5" t="s">
        <v>20</v>
      </c>
      <c r="J329" s="13" t="s">
        <v>68</v>
      </c>
    </row>
    <row r="330" spans="1:10" ht="20.25" customHeight="1" x14ac:dyDescent="0.25">
      <c r="A330" s="5" t="s">
        <v>581</v>
      </c>
      <c r="B330" s="5">
        <v>1</v>
      </c>
      <c r="C330" s="6">
        <v>46129</v>
      </c>
      <c r="D330" s="16">
        <v>46125</v>
      </c>
      <c r="E330" s="15" t="s">
        <v>15</v>
      </c>
      <c r="F330" s="5" t="s">
        <v>645</v>
      </c>
      <c r="G330" s="5" t="s">
        <v>10</v>
      </c>
      <c r="H330" s="5">
        <v>15</v>
      </c>
      <c r="I330" s="5" t="s">
        <v>20</v>
      </c>
      <c r="J330" s="13" t="s">
        <v>68</v>
      </c>
    </row>
    <row r="331" spans="1:10" ht="20.25" customHeight="1" x14ac:dyDescent="0.25">
      <c r="A331" s="5" t="s">
        <v>591</v>
      </c>
      <c r="B331" s="5">
        <v>1</v>
      </c>
      <c r="C331" s="6">
        <v>46129</v>
      </c>
      <c r="D331" s="16">
        <v>46125</v>
      </c>
      <c r="E331" s="15" t="s">
        <v>15</v>
      </c>
      <c r="F331" s="5" t="s">
        <v>645</v>
      </c>
      <c r="G331" s="5" t="s">
        <v>10</v>
      </c>
      <c r="H331" s="5">
        <v>4</v>
      </c>
      <c r="I331" s="5" t="s">
        <v>20</v>
      </c>
      <c r="J331" s="13" t="s">
        <v>68</v>
      </c>
    </row>
    <row r="332" spans="1:10" ht="20.25" customHeight="1" x14ac:dyDescent="0.25">
      <c r="A332" s="5" t="s">
        <v>598</v>
      </c>
      <c r="B332" s="5">
        <v>1</v>
      </c>
      <c r="C332" s="6">
        <v>46129</v>
      </c>
      <c r="D332" s="16">
        <v>46125</v>
      </c>
      <c r="E332" s="15" t="s">
        <v>15</v>
      </c>
      <c r="F332" s="5" t="s">
        <v>645</v>
      </c>
      <c r="G332" s="5" t="s">
        <v>13</v>
      </c>
      <c r="H332" s="5">
        <v>3</v>
      </c>
      <c r="I332" s="5" t="s">
        <v>20</v>
      </c>
      <c r="J332" s="13" t="s">
        <v>68</v>
      </c>
    </row>
    <row r="333" spans="1:10" ht="20.25" customHeight="1" x14ac:dyDescent="0.25">
      <c r="A333" s="5" t="s">
        <v>579</v>
      </c>
      <c r="B333" s="5">
        <v>1</v>
      </c>
      <c r="C333" s="6">
        <v>46129</v>
      </c>
      <c r="D333" s="16">
        <v>46125</v>
      </c>
      <c r="E333" s="15" t="s">
        <v>15</v>
      </c>
      <c r="F333" s="5" t="s">
        <v>645</v>
      </c>
      <c r="G333" s="5" t="s">
        <v>13</v>
      </c>
      <c r="H333" s="5">
        <v>2</v>
      </c>
      <c r="I333" s="5" t="s">
        <v>20</v>
      </c>
      <c r="J333" s="13" t="s">
        <v>68</v>
      </c>
    </row>
    <row r="334" spans="1:10" ht="20.25" customHeight="1" x14ac:dyDescent="0.25">
      <c r="A334" s="5" t="s">
        <v>589</v>
      </c>
      <c r="B334" s="5">
        <v>1</v>
      </c>
      <c r="C334" s="6">
        <v>46129</v>
      </c>
      <c r="D334" s="16">
        <v>46125</v>
      </c>
      <c r="E334" s="15" t="s">
        <v>15</v>
      </c>
      <c r="F334" s="5" t="s">
        <v>645</v>
      </c>
      <c r="G334" s="5" t="s">
        <v>13</v>
      </c>
      <c r="H334" s="5">
        <v>1</v>
      </c>
      <c r="I334" s="5" t="s">
        <v>20</v>
      </c>
      <c r="J334" s="13" t="s">
        <v>68</v>
      </c>
    </row>
    <row r="335" spans="1:10" ht="20.25" customHeight="1" x14ac:dyDescent="0.25">
      <c r="A335" s="5" t="s">
        <v>584</v>
      </c>
      <c r="B335" s="5">
        <v>1</v>
      </c>
      <c r="C335" s="6">
        <v>46129</v>
      </c>
      <c r="D335" s="16">
        <v>46125</v>
      </c>
      <c r="E335" s="15" t="s">
        <v>15</v>
      </c>
      <c r="F335" s="5" t="s">
        <v>646</v>
      </c>
      <c r="G335" s="5" t="s">
        <v>13</v>
      </c>
      <c r="H335" s="5">
        <v>2</v>
      </c>
      <c r="I335" s="5" t="s">
        <v>20</v>
      </c>
      <c r="J335" s="13" t="s">
        <v>68</v>
      </c>
    </row>
    <row r="336" spans="1:10" ht="20.25" customHeight="1" x14ac:dyDescent="0.25">
      <c r="A336" s="5" t="s">
        <v>501</v>
      </c>
      <c r="B336" s="5">
        <v>1</v>
      </c>
      <c r="C336" s="6">
        <v>46129</v>
      </c>
      <c r="D336" s="16">
        <v>46120</v>
      </c>
      <c r="E336" s="15" t="s">
        <v>15</v>
      </c>
      <c r="F336" s="5" t="s">
        <v>342</v>
      </c>
      <c r="G336" s="5" t="s">
        <v>10</v>
      </c>
      <c r="H336" s="5">
        <v>19</v>
      </c>
      <c r="I336" s="5" t="s">
        <v>22</v>
      </c>
      <c r="J336" s="13" t="s">
        <v>72</v>
      </c>
    </row>
    <row r="337" spans="1:10" ht="20.25" customHeight="1" x14ac:dyDescent="0.25">
      <c r="A337" s="5" t="s">
        <v>502</v>
      </c>
      <c r="B337" s="5">
        <v>1</v>
      </c>
      <c r="C337" s="6">
        <v>46129</v>
      </c>
      <c r="D337" s="16">
        <v>46120</v>
      </c>
      <c r="E337" s="15" t="s">
        <v>15</v>
      </c>
      <c r="F337" s="5" t="s">
        <v>342</v>
      </c>
      <c r="G337" s="5" t="s">
        <v>11</v>
      </c>
      <c r="H337" s="5">
        <v>13</v>
      </c>
      <c r="I337" s="5" t="s">
        <v>22</v>
      </c>
      <c r="J337" s="13" t="s">
        <v>72</v>
      </c>
    </row>
    <row r="338" spans="1:10" ht="20.25" customHeight="1" x14ac:dyDescent="0.25">
      <c r="A338" s="5" t="s">
        <v>527</v>
      </c>
      <c r="B338" s="5">
        <v>1</v>
      </c>
      <c r="C338" s="6">
        <v>46129</v>
      </c>
      <c r="D338" s="16">
        <v>46122</v>
      </c>
      <c r="E338" s="15" t="s">
        <v>15</v>
      </c>
      <c r="F338" s="5" t="s">
        <v>342</v>
      </c>
      <c r="G338" s="5" t="s">
        <v>17</v>
      </c>
      <c r="H338" s="5">
        <v>6</v>
      </c>
      <c r="I338" s="5" t="s">
        <v>22</v>
      </c>
      <c r="J338" s="13" t="s">
        <v>72</v>
      </c>
    </row>
    <row r="339" spans="1:10" ht="20.25" customHeight="1" x14ac:dyDescent="0.25">
      <c r="A339" s="5" t="s">
        <v>668</v>
      </c>
      <c r="B339" s="5">
        <v>1</v>
      </c>
      <c r="C339" s="6">
        <v>46129</v>
      </c>
      <c r="D339" s="16">
        <v>46127</v>
      </c>
      <c r="E339" s="15" t="s">
        <v>15</v>
      </c>
      <c r="F339" s="5" t="s">
        <v>647</v>
      </c>
      <c r="G339" s="5" t="s">
        <v>12</v>
      </c>
      <c r="H339" s="5">
        <v>1</v>
      </c>
      <c r="I339" s="5" t="s">
        <v>22</v>
      </c>
      <c r="J339" s="13" t="s">
        <v>72</v>
      </c>
    </row>
    <row r="340" spans="1:10" ht="20.25" customHeight="1" x14ac:dyDescent="0.25">
      <c r="A340" s="5" t="s">
        <v>677</v>
      </c>
      <c r="B340" s="5">
        <v>1</v>
      </c>
      <c r="C340" s="6">
        <v>46129</v>
      </c>
      <c r="D340" s="16">
        <v>46128</v>
      </c>
      <c r="E340" s="15" t="s">
        <v>15</v>
      </c>
      <c r="F340" s="5" t="s">
        <v>648</v>
      </c>
      <c r="G340" s="5" t="s">
        <v>12</v>
      </c>
      <c r="H340" s="5">
        <v>2</v>
      </c>
      <c r="I340" s="5" t="s">
        <v>22</v>
      </c>
      <c r="J340" s="13" t="s">
        <v>72</v>
      </c>
    </row>
    <row r="341" spans="1:10" ht="20.25" customHeight="1" x14ac:dyDescent="0.25">
      <c r="A341" s="5" t="s">
        <v>691</v>
      </c>
      <c r="B341" s="5">
        <v>1</v>
      </c>
      <c r="C341" s="6">
        <v>46129</v>
      </c>
      <c r="D341" s="16">
        <v>46128</v>
      </c>
      <c r="E341" s="15" t="s">
        <v>15</v>
      </c>
      <c r="F341" s="5" t="s">
        <v>89</v>
      </c>
      <c r="G341" s="5" t="s">
        <v>13</v>
      </c>
      <c r="H341" s="5">
        <v>3</v>
      </c>
      <c r="I341" s="5" t="s">
        <v>67</v>
      </c>
      <c r="J341" s="13" t="s">
        <v>73</v>
      </c>
    </row>
    <row r="342" spans="1:10" ht="20.25" customHeight="1" x14ac:dyDescent="0.25">
      <c r="A342" s="5" t="s">
        <v>603</v>
      </c>
      <c r="B342" s="5">
        <v>1</v>
      </c>
      <c r="C342" s="6">
        <v>46129</v>
      </c>
      <c r="D342" s="16">
        <v>46126</v>
      </c>
      <c r="E342" s="15" t="s">
        <v>15</v>
      </c>
      <c r="F342" s="5" t="s">
        <v>89</v>
      </c>
      <c r="G342" s="5" t="s">
        <v>13</v>
      </c>
      <c r="H342" s="5">
        <v>4</v>
      </c>
      <c r="I342" s="5" t="s">
        <v>67</v>
      </c>
      <c r="J342" s="13" t="s">
        <v>73</v>
      </c>
    </row>
    <row r="343" spans="1:10" ht="20.25" customHeight="1" x14ac:dyDescent="0.25">
      <c r="A343" s="100" t="s">
        <v>670</v>
      </c>
      <c r="C343" s="6"/>
      <c r="D343" s="16"/>
      <c r="E343" s="15"/>
    </row>
    <row r="344" spans="1:10" ht="20.25" customHeight="1" x14ac:dyDescent="0.25">
      <c r="A344" s="5" t="s">
        <v>572</v>
      </c>
      <c r="B344" s="5">
        <v>1</v>
      </c>
      <c r="C344" s="6">
        <v>46130</v>
      </c>
      <c r="D344" s="16">
        <v>46125</v>
      </c>
      <c r="E344" s="15" t="s">
        <v>15</v>
      </c>
      <c r="F344" s="5" t="s">
        <v>299</v>
      </c>
      <c r="G344" s="5" t="s">
        <v>17</v>
      </c>
      <c r="H344" s="5">
        <v>27</v>
      </c>
      <c r="I344" s="5" t="s">
        <v>20</v>
      </c>
      <c r="J344" s="13" t="s">
        <v>68</v>
      </c>
    </row>
    <row r="345" spans="1:10" ht="20.25" customHeight="1" x14ac:dyDescent="0.25">
      <c r="A345" s="5" t="s">
        <v>577</v>
      </c>
      <c r="B345" s="5">
        <v>1</v>
      </c>
      <c r="C345" s="6">
        <v>46130</v>
      </c>
      <c r="D345" s="16">
        <v>46125</v>
      </c>
      <c r="E345" s="15" t="s">
        <v>15</v>
      </c>
      <c r="F345" s="5" t="s">
        <v>299</v>
      </c>
      <c r="G345" s="5" t="s">
        <v>17</v>
      </c>
      <c r="H345" s="5">
        <v>11</v>
      </c>
      <c r="I345" s="5" t="s">
        <v>20</v>
      </c>
      <c r="J345" s="13" t="s">
        <v>68</v>
      </c>
    </row>
    <row r="346" spans="1:10" ht="20.25" customHeight="1" x14ac:dyDescent="0.25">
      <c r="A346" s="5" t="s">
        <v>618</v>
      </c>
      <c r="B346" s="5">
        <v>1</v>
      </c>
      <c r="C346" s="6">
        <v>46130</v>
      </c>
      <c r="D346" s="16">
        <v>46126</v>
      </c>
      <c r="E346" s="15" t="s">
        <v>15</v>
      </c>
      <c r="F346" s="5" t="s">
        <v>299</v>
      </c>
      <c r="G346" s="5" t="s">
        <v>10</v>
      </c>
      <c r="H346" s="5">
        <v>30</v>
      </c>
      <c r="I346" s="5" t="s">
        <v>20</v>
      </c>
      <c r="J346" s="13" t="s">
        <v>68</v>
      </c>
    </row>
    <row r="347" spans="1:10" ht="20.25" customHeight="1" x14ac:dyDescent="0.25">
      <c r="A347" s="5" t="s">
        <v>552</v>
      </c>
      <c r="B347" s="5">
        <v>1</v>
      </c>
      <c r="C347" s="6">
        <v>46130</v>
      </c>
      <c r="D347" s="16">
        <v>46124</v>
      </c>
      <c r="E347" s="15" t="s">
        <v>15</v>
      </c>
      <c r="F347" s="5" t="s">
        <v>299</v>
      </c>
      <c r="G347" s="5" t="s">
        <v>17</v>
      </c>
      <c r="H347" s="5">
        <v>3</v>
      </c>
      <c r="I347" s="5" t="s">
        <v>20</v>
      </c>
      <c r="J347" s="13" t="s">
        <v>68</v>
      </c>
    </row>
    <row r="348" spans="1:10" ht="20.25" customHeight="1" x14ac:dyDescent="0.25">
      <c r="A348" s="5" t="s">
        <v>614</v>
      </c>
      <c r="B348" s="5">
        <v>1</v>
      </c>
      <c r="C348" s="6">
        <v>46130</v>
      </c>
      <c r="D348" s="16">
        <v>46126</v>
      </c>
      <c r="E348" s="15" t="s">
        <v>15</v>
      </c>
      <c r="F348" s="5" t="s">
        <v>299</v>
      </c>
      <c r="G348" s="5" t="s">
        <v>10</v>
      </c>
      <c r="H348" s="5">
        <v>6</v>
      </c>
      <c r="I348" s="5" t="s">
        <v>20</v>
      </c>
      <c r="J348" s="13" t="s">
        <v>68</v>
      </c>
    </row>
    <row r="349" spans="1:10" ht="20.25" customHeight="1" x14ac:dyDescent="0.25">
      <c r="A349" s="5" t="s">
        <v>573</v>
      </c>
      <c r="B349" s="5">
        <v>1</v>
      </c>
      <c r="C349" s="6">
        <v>46130</v>
      </c>
      <c r="D349" s="16">
        <v>46125</v>
      </c>
      <c r="E349" s="15" t="s">
        <v>15</v>
      </c>
      <c r="F349" s="5" t="s">
        <v>299</v>
      </c>
      <c r="G349" s="5" t="s">
        <v>10</v>
      </c>
      <c r="H349" s="5">
        <v>15</v>
      </c>
      <c r="I349" s="5" t="s">
        <v>20</v>
      </c>
      <c r="J349" s="13" t="s">
        <v>68</v>
      </c>
    </row>
    <row r="350" spans="1:10" ht="20.25" customHeight="1" x14ac:dyDescent="0.25">
      <c r="A350" s="5" t="s">
        <v>703</v>
      </c>
      <c r="B350" s="5">
        <v>1</v>
      </c>
      <c r="C350" s="6">
        <v>46130</v>
      </c>
      <c r="D350" s="16">
        <v>46128</v>
      </c>
      <c r="E350" s="15" t="s">
        <v>15</v>
      </c>
      <c r="F350" s="5" t="s">
        <v>299</v>
      </c>
      <c r="G350" s="5" t="s">
        <v>12</v>
      </c>
      <c r="H350" s="5">
        <v>12</v>
      </c>
      <c r="I350" s="5" t="s">
        <v>20</v>
      </c>
      <c r="J350" s="13" t="s">
        <v>68</v>
      </c>
    </row>
    <row r="351" spans="1:10" ht="20.25" customHeight="1" x14ac:dyDescent="0.25">
      <c r="A351" s="5" t="s">
        <v>616</v>
      </c>
      <c r="B351" s="5">
        <v>1</v>
      </c>
      <c r="C351" s="6">
        <v>46130</v>
      </c>
      <c r="D351" s="16">
        <v>46126</v>
      </c>
      <c r="E351" s="15" t="s">
        <v>15</v>
      </c>
      <c r="F351" s="5" t="s">
        <v>299</v>
      </c>
      <c r="G351" s="5" t="s">
        <v>10</v>
      </c>
      <c r="H351" s="5">
        <v>15</v>
      </c>
      <c r="I351" s="5" t="s">
        <v>20</v>
      </c>
      <c r="J351" s="13" t="s">
        <v>68</v>
      </c>
    </row>
    <row r="352" spans="1:10" ht="20.25" customHeight="1" x14ac:dyDescent="0.25">
      <c r="A352" s="5" t="s">
        <v>657</v>
      </c>
      <c r="B352" s="5">
        <v>1</v>
      </c>
      <c r="C352" s="6">
        <v>46130</v>
      </c>
      <c r="D352" s="16">
        <v>46127</v>
      </c>
      <c r="E352" s="15" t="s">
        <v>15</v>
      </c>
      <c r="F352" s="5" t="s">
        <v>299</v>
      </c>
      <c r="G352" s="5" t="s">
        <v>17</v>
      </c>
      <c r="H352" s="5">
        <v>14</v>
      </c>
      <c r="I352" s="5" t="s">
        <v>20</v>
      </c>
      <c r="J352" s="13" t="s">
        <v>68</v>
      </c>
    </row>
    <row r="353" spans="1:10" ht="20.25" customHeight="1" x14ac:dyDescent="0.25">
      <c r="A353" s="5" t="s">
        <v>735</v>
      </c>
      <c r="B353" s="5">
        <v>1</v>
      </c>
      <c r="C353" s="6">
        <v>46130</v>
      </c>
      <c r="D353" s="16">
        <v>46129</v>
      </c>
      <c r="E353" s="15" t="s">
        <v>15</v>
      </c>
      <c r="F353" s="5" t="s">
        <v>299</v>
      </c>
      <c r="G353" s="5" t="s">
        <v>13</v>
      </c>
      <c r="H353" s="5">
        <v>30</v>
      </c>
      <c r="I353" s="5" t="s">
        <v>20</v>
      </c>
      <c r="J353" s="13" t="s">
        <v>68</v>
      </c>
    </row>
    <row r="354" spans="1:10" ht="20.25" customHeight="1" x14ac:dyDescent="0.25">
      <c r="A354" s="5" t="s">
        <v>660</v>
      </c>
      <c r="B354" s="5">
        <v>1</v>
      </c>
      <c r="C354" s="6">
        <v>46130</v>
      </c>
      <c r="D354" s="16">
        <v>46127</v>
      </c>
      <c r="E354" s="15" t="s">
        <v>15</v>
      </c>
      <c r="F354" s="5" t="s">
        <v>299</v>
      </c>
      <c r="G354" s="5" t="s">
        <v>13</v>
      </c>
      <c r="H354" s="5">
        <v>18</v>
      </c>
      <c r="I354" s="5" t="s">
        <v>20</v>
      </c>
      <c r="J354" s="13" t="s">
        <v>68</v>
      </c>
    </row>
    <row r="355" spans="1:10" ht="20.25" customHeight="1" x14ac:dyDescent="0.25">
      <c r="A355" s="5" t="s">
        <v>661</v>
      </c>
      <c r="B355" s="5">
        <v>1</v>
      </c>
      <c r="C355" s="6">
        <v>46130</v>
      </c>
      <c r="D355" s="16">
        <v>46127</v>
      </c>
      <c r="E355" s="15" t="s">
        <v>15</v>
      </c>
      <c r="F355" s="5" t="s">
        <v>299</v>
      </c>
      <c r="G355" s="5" t="s">
        <v>10</v>
      </c>
      <c r="H355" s="5">
        <v>18</v>
      </c>
      <c r="I355" s="5" t="s">
        <v>20</v>
      </c>
      <c r="J355" s="13" t="s">
        <v>68</v>
      </c>
    </row>
    <row r="356" spans="1:10" ht="20.25" customHeight="1" x14ac:dyDescent="0.25">
      <c r="A356" s="5" t="s">
        <v>667</v>
      </c>
      <c r="B356" s="5">
        <v>1</v>
      </c>
      <c r="C356" s="6">
        <v>46130</v>
      </c>
      <c r="D356" s="16">
        <v>46127</v>
      </c>
      <c r="E356" s="15" t="s">
        <v>15</v>
      </c>
      <c r="F356" s="5" t="s">
        <v>299</v>
      </c>
      <c r="G356" s="5" t="s">
        <v>13</v>
      </c>
      <c r="H356" s="5">
        <v>1</v>
      </c>
      <c r="I356" s="5" t="s">
        <v>20</v>
      </c>
      <c r="J356" s="13" t="s">
        <v>68</v>
      </c>
    </row>
    <row r="357" spans="1:10" ht="20.25" customHeight="1" x14ac:dyDescent="0.25">
      <c r="A357" s="5" t="s">
        <v>736</v>
      </c>
      <c r="B357" s="5">
        <v>1</v>
      </c>
      <c r="C357" s="6">
        <v>46130</v>
      </c>
      <c r="D357" s="16">
        <v>46129</v>
      </c>
      <c r="E357" s="15" t="s">
        <v>15</v>
      </c>
      <c r="F357" s="5" t="s">
        <v>299</v>
      </c>
      <c r="G357" s="5" t="s">
        <v>12</v>
      </c>
      <c r="H357" s="5">
        <v>21</v>
      </c>
      <c r="I357" s="5" t="s">
        <v>20</v>
      </c>
      <c r="J357" s="13" t="s">
        <v>68</v>
      </c>
    </row>
    <row r="358" spans="1:10" ht="20.25" customHeight="1" x14ac:dyDescent="0.25">
      <c r="A358" s="5" t="s">
        <v>600</v>
      </c>
      <c r="B358" s="5">
        <v>1</v>
      </c>
      <c r="C358" s="6">
        <v>46130</v>
      </c>
      <c r="D358" s="16">
        <v>46125</v>
      </c>
      <c r="E358" s="15" t="s">
        <v>15</v>
      </c>
      <c r="F358" s="5" t="s">
        <v>645</v>
      </c>
      <c r="G358" s="5" t="s">
        <v>10</v>
      </c>
      <c r="H358" s="5">
        <v>12</v>
      </c>
      <c r="I358" t="s">
        <v>185</v>
      </c>
      <c r="J358" s="13" t="s">
        <v>48</v>
      </c>
    </row>
    <row r="359" spans="1:10" ht="20.25" customHeight="1" x14ac:dyDescent="0.25">
      <c r="A359" s="5" t="s">
        <v>716</v>
      </c>
      <c r="B359" s="5">
        <v>1</v>
      </c>
      <c r="C359" s="6">
        <v>46130</v>
      </c>
      <c r="D359" s="16">
        <v>46128</v>
      </c>
      <c r="E359" s="15" t="s">
        <v>15</v>
      </c>
      <c r="F359" s="5" t="s">
        <v>645</v>
      </c>
      <c r="G359" s="5" t="s">
        <v>12</v>
      </c>
      <c r="H359" s="5">
        <v>3</v>
      </c>
      <c r="I359" t="s">
        <v>185</v>
      </c>
      <c r="J359" s="13" t="s">
        <v>48</v>
      </c>
    </row>
    <row r="360" spans="1:10" ht="20.25" customHeight="1" x14ac:dyDescent="0.25">
      <c r="A360" s="5" t="s">
        <v>717</v>
      </c>
      <c r="B360" s="5">
        <v>1</v>
      </c>
      <c r="C360" s="6">
        <v>46130</v>
      </c>
      <c r="D360" s="16">
        <v>46128</v>
      </c>
      <c r="E360" s="15" t="s">
        <v>15</v>
      </c>
      <c r="F360" s="5" t="s">
        <v>645</v>
      </c>
      <c r="G360" s="5" t="s">
        <v>13</v>
      </c>
      <c r="H360" s="5">
        <v>7</v>
      </c>
      <c r="I360" t="s">
        <v>185</v>
      </c>
      <c r="J360" s="13" t="s">
        <v>48</v>
      </c>
    </row>
    <row r="361" spans="1:10" ht="20.25" customHeight="1" x14ac:dyDescent="0.25">
      <c r="A361" s="5" t="s">
        <v>710</v>
      </c>
      <c r="B361" s="5">
        <v>1</v>
      </c>
      <c r="C361" s="6">
        <v>46130</v>
      </c>
      <c r="D361" s="16">
        <v>46128</v>
      </c>
      <c r="E361" s="15" t="s">
        <v>15</v>
      </c>
      <c r="F361" s="5" t="s">
        <v>645</v>
      </c>
      <c r="G361" s="5" t="s">
        <v>12</v>
      </c>
      <c r="H361" s="5">
        <v>3</v>
      </c>
      <c r="I361" t="s">
        <v>185</v>
      </c>
      <c r="J361" s="13" t="s">
        <v>48</v>
      </c>
    </row>
    <row r="362" spans="1:10" ht="20.25" customHeight="1" x14ac:dyDescent="0.25">
      <c r="A362" s="5" t="s">
        <v>704</v>
      </c>
      <c r="B362" s="5">
        <v>1</v>
      </c>
      <c r="C362" s="6">
        <v>46130</v>
      </c>
      <c r="D362" s="16">
        <v>46128</v>
      </c>
      <c r="E362" s="15" t="s">
        <v>15</v>
      </c>
      <c r="F362" s="5" t="s">
        <v>737</v>
      </c>
      <c r="G362" s="5" t="s">
        <v>12</v>
      </c>
      <c r="H362" s="5">
        <v>2</v>
      </c>
      <c r="I362" t="s">
        <v>185</v>
      </c>
      <c r="J362" s="13" t="s">
        <v>48</v>
      </c>
    </row>
    <row r="363" spans="1:10" ht="20.25" customHeight="1" x14ac:dyDescent="0.25">
      <c r="A363" s="5" t="s">
        <v>586</v>
      </c>
      <c r="B363" s="5">
        <v>1</v>
      </c>
      <c r="C363" s="6">
        <v>46130</v>
      </c>
      <c r="D363" s="16">
        <v>46125</v>
      </c>
      <c r="E363" s="15" t="s">
        <v>15</v>
      </c>
      <c r="F363" s="5" t="s">
        <v>646</v>
      </c>
      <c r="G363" s="5" t="s">
        <v>10</v>
      </c>
      <c r="H363" s="5">
        <v>19</v>
      </c>
      <c r="I363" t="s">
        <v>185</v>
      </c>
      <c r="J363" s="13" t="s">
        <v>48</v>
      </c>
    </row>
    <row r="364" spans="1:10" ht="20.25" customHeight="1" x14ac:dyDescent="0.25">
      <c r="A364" s="5" t="s">
        <v>711</v>
      </c>
      <c r="B364" s="5">
        <v>1</v>
      </c>
      <c r="C364" s="6">
        <v>46130</v>
      </c>
      <c r="D364" s="16">
        <v>46125</v>
      </c>
      <c r="E364" s="15" t="s">
        <v>15</v>
      </c>
      <c r="F364" s="5" t="s">
        <v>646</v>
      </c>
      <c r="G364" s="5" t="s">
        <v>13</v>
      </c>
      <c r="H364" s="5">
        <v>12</v>
      </c>
      <c r="I364" t="s">
        <v>185</v>
      </c>
      <c r="J364" s="13" t="s">
        <v>48</v>
      </c>
    </row>
    <row r="365" spans="1:10" ht="20.25" customHeight="1" x14ac:dyDescent="0.25">
      <c r="A365" s="5" t="s">
        <v>734</v>
      </c>
      <c r="B365" s="5">
        <v>1</v>
      </c>
      <c r="C365" s="6">
        <v>46130</v>
      </c>
      <c r="D365" s="16">
        <v>46129</v>
      </c>
      <c r="E365" s="15" t="s">
        <v>15</v>
      </c>
      <c r="F365" s="5" t="s">
        <v>299</v>
      </c>
      <c r="G365" s="5" t="s">
        <v>13</v>
      </c>
      <c r="H365" s="5">
        <v>43</v>
      </c>
      <c r="I365" s="5" t="s">
        <v>20</v>
      </c>
      <c r="J365" s="13" t="s">
        <v>68</v>
      </c>
    </row>
    <row r="366" spans="1:10" ht="20.25" customHeight="1" x14ac:dyDescent="0.25">
      <c r="A366" s="5" t="s">
        <v>740</v>
      </c>
      <c r="B366" s="5">
        <v>1</v>
      </c>
      <c r="C366" s="6">
        <v>46130</v>
      </c>
      <c r="D366" s="16">
        <v>46124</v>
      </c>
      <c r="E366" s="15" t="s">
        <v>15</v>
      </c>
      <c r="F366" s="5" t="s">
        <v>299</v>
      </c>
      <c r="G366" s="5" t="s">
        <v>12</v>
      </c>
      <c r="H366" s="5">
        <v>3</v>
      </c>
      <c r="I366" s="5" t="s">
        <v>20</v>
      </c>
      <c r="J366" s="13" t="s">
        <v>68</v>
      </c>
    </row>
    <row r="367" spans="1:10" ht="20.25" customHeight="1" x14ac:dyDescent="0.25">
      <c r="A367" s="5" t="s">
        <v>733</v>
      </c>
      <c r="B367" s="5">
        <v>1</v>
      </c>
      <c r="C367" s="6">
        <v>46130</v>
      </c>
      <c r="D367" s="16">
        <v>46129</v>
      </c>
      <c r="E367" s="15" t="s">
        <v>15</v>
      </c>
      <c r="F367" s="5" t="s">
        <v>299</v>
      </c>
      <c r="G367" s="5" t="s">
        <v>12</v>
      </c>
      <c r="H367" s="5">
        <v>33</v>
      </c>
      <c r="I367" s="5" t="s">
        <v>20</v>
      </c>
      <c r="J367" s="13" t="s">
        <v>68</v>
      </c>
    </row>
    <row r="368" spans="1:10" ht="20.25" customHeight="1" x14ac:dyDescent="0.25">
      <c r="A368" s="5" t="s">
        <v>741</v>
      </c>
      <c r="B368" s="5">
        <v>1</v>
      </c>
      <c r="C368" s="6">
        <v>46130</v>
      </c>
      <c r="D368" s="16">
        <v>46129</v>
      </c>
      <c r="E368" s="15" t="s">
        <v>15</v>
      </c>
      <c r="F368" s="5" t="s">
        <v>299</v>
      </c>
      <c r="G368" s="5" t="s">
        <v>12</v>
      </c>
      <c r="H368" s="5">
        <v>20</v>
      </c>
      <c r="I368" s="5" t="s">
        <v>20</v>
      </c>
      <c r="J368" s="13" t="s">
        <v>68</v>
      </c>
    </row>
    <row r="369" spans="1:10" ht="20.25" customHeight="1" x14ac:dyDescent="0.25">
      <c r="A369" s="5" t="s">
        <v>533</v>
      </c>
      <c r="B369" s="5">
        <v>1</v>
      </c>
      <c r="C369" s="6">
        <v>46130</v>
      </c>
      <c r="D369" s="16">
        <v>46122</v>
      </c>
      <c r="E369" s="15" t="s">
        <v>16</v>
      </c>
      <c r="F369" s="5" t="s">
        <v>342</v>
      </c>
      <c r="G369" s="5" t="s">
        <v>17</v>
      </c>
      <c r="H369" s="5">
        <v>11</v>
      </c>
      <c r="I369" s="5" t="s">
        <v>22</v>
      </c>
      <c r="J369" s="13" t="s">
        <v>72</v>
      </c>
    </row>
    <row r="370" spans="1:10" ht="20.25" customHeight="1" x14ac:dyDescent="0.25">
      <c r="A370" s="5" t="s">
        <v>566</v>
      </c>
      <c r="B370" s="5">
        <v>1</v>
      </c>
      <c r="C370" s="6">
        <v>46130</v>
      </c>
      <c r="D370" s="16">
        <v>46125</v>
      </c>
      <c r="E370" s="15" t="s">
        <v>16</v>
      </c>
      <c r="F370" s="5" t="s">
        <v>647</v>
      </c>
      <c r="G370" s="5" t="s">
        <v>17</v>
      </c>
      <c r="H370" s="5">
        <v>3</v>
      </c>
      <c r="I370" s="5" t="s">
        <v>22</v>
      </c>
      <c r="J370" s="13" t="s">
        <v>72</v>
      </c>
    </row>
    <row r="371" spans="1:10" ht="20.25" customHeight="1" x14ac:dyDescent="0.25">
      <c r="A371" s="5" t="s">
        <v>535</v>
      </c>
      <c r="B371" s="5">
        <v>1</v>
      </c>
      <c r="C371" s="6">
        <v>46130</v>
      </c>
      <c r="D371" s="16">
        <v>46123</v>
      </c>
      <c r="E371" s="15" t="s">
        <v>16</v>
      </c>
      <c r="F371" s="5" t="s">
        <v>742</v>
      </c>
      <c r="G371" s="5" t="s">
        <v>17</v>
      </c>
      <c r="H371" s="5">
        <v>11</v>
      </c>
      <c r="I371" s="5" t="s">
        <v>22</v>
      </c>
      <c r="J371" s="13" t="s">
        <v>72</v>
      </c>
    </row>
    <row r="372" spans="1:10" ht="20.25" customHeight="1" x14ac:dyDescent="0.25">
      <c r="A372" s="5" t="s">
        <v>528</v>
      </c>
      <c r="B372" s="5">
        <v>1</v>
      </c>
      <c r="C372" s="6">
        <v>46130</v>
      </c>
      <c r="D372" s="16">
        <v>46122</v>
      </c>
      <c r="E372" s="15" t="s">
        <v>16</v>
      </c>
      <c r="F372" s="5" t="s">
        <v>342</v>
      </c>
      <c r="G372" s="5" t="s">
        <v>10</v>
      </c>
      <c r="H372" s="5">
        <v>15</v>
      </c>
      <c r="I372" s="5" t="s">
        <v>22</v>
      </c>
      <c r="J372" s="13" t="s">
        <v>72</v>
      </c>
    </row>
    <row r="373" spans="1:10" ht="20.25" customHeight="1" x14ac:dyDescent="0.25">
      <c r="A373" s="100" t="s">
        <v>676</v>
      </c>
      <c r="C373" s="6"/>
      <c r="D373" s="16"/>
      <c r="E373" s="15"/>
    </row>
    <row r="374" spans="1:10" ht="20.25" customHeight="1" x14ac:dyDescent="0.25">
      <c r="A374" s="5" t="s">
        <v>534</v>
      </c>
      <c r="B374" s="5">
        <v>1</v>
      </c>
      <c r="C374" s="6">
        <v>46132</v>
      </c>
      <c r="D374" s="16">
        <v>46122</v>
      </c>
      <c r="E374" s="15" t="s">
        <v>16</v>
      </c>
      <c r="F374" s="5" t="s">
        <v>342</v>
      </c>
      <c r="G374" s="5" t="s">
        <v>10</v>
      </c>
      <c r="H374" s="5">
        <v>20</v>
      </c>
      <c r="I374" s="5" t="s">
        <v>22</v>
      </c>
      <c r="J374" s="13" t="s">
        <v>72</v>
      </c>
    </row>
    <row r="375" spans="1:10" ht="20.25" customHeight="1" x14ac:dyDescent="0.25">
      <c r="A375" s="5" t="s">
        <v>528</v>
      </c>
      <c r="B375" s="5">
        <v>1</v>
      </c>
      <c r="C375" s="6">
        <v>46132</v>
      </c>
      <c r="D375" s="16">
        <v>46122</v>
      </c>
      <c r="E375" s="15" t="s">
        <v>16</v>
      </c>
      <c r="F375" s="5" t="s">
        <v>342</v>
      </c>
      <c r="G375" s="5" t="s">
        <v>10</v>
      </c>
      <c r="H375" s="5">
        <v>15</v>
      </c>
      <c r="I375" s="5" t="s">
        <v>22</v>
      </c>
      <c r="J375" s="13" t="s">
        <v>72</v>
      </c>
    </row>
    <row r="376" spans="1:10" ht="20.25" customHeight="1" x14ac:dyDescent="0.25">
      <c r="A376" s="5" t="s">
        <v>530</v>
      </c>
      <c r="B376" s="5">
        <v>1</v>
      </c>
      <c r="C376" s="6">
        <v>46132</v>
      </c>
      <c r="D376" s="16">
        <v>46122</v>
      </c>
      <c r="E376" s="15" t="s">
        <v>16</v>
      </c>
      <c r="F376" s="5" t="s">
        <v>342</v>
      </c>
      <c r="G376" s="5" t="s">
        <v>11</v>
      </c>
      <c r="H376" s="5">
        <v>29</v>
      </c>
      <c r="I376" s="5" t="s">
        <v>22</v>
      </c>
      <c r="J376" s="13" t="s">
        <v>72</v>
      </c>
    </row>
    <row r="377" spans="1:10" ht="20.25" customHeight="1" x14ac:dyDescent="0.25">
      <c r="A377" s="5" t="s">
        <v>532</v>
      </c>
      <c r="B377" s="5">
        <v>1</v>
      </c>
      <c r="C377" s="6">
        <v>46132</v>
      </c>
      <c r="D377" s="16">
        <v>46122</v>
      </c>
      <c r="E377" s="15" t="s">
        <v>16</v>
      </c>
      <c r="F377" s="5" t="s">
        <v>342</v>
      </c>
      <c r="G377" s="5" t="s">
        <v>11</v>
      </c>
      <c r="H377" s="5">
        <v>22</v>
      </c>
      <c r="I377" s="5" t="s">
        <v>22</v>
      </c>
      <c r="J377" s="13" t="s">
        <v>72</v>
      </c>
    </row>
    <row r="378" spans="1:10" ht="20.25" customHeight="1" x14ac:dyDescent="0.25">
      <c r="A378" s="5" t="s">
        <v>536</v>
      </c>
      <c r="B378" s="5">
        <v>1</v>
      </c>
      <c r="C378" s="6">
        <v>46132</v>
      </c>
      <c r="D378" s="16">
        <v>46123</v>
      </c>
      <c r="E378" s="15" t="s">
        <v>16</v>
      </c>
      <c r="F378" s="5" t="s">
        <v>742</v>
      </c>
      <c r="G378" s="5" t="s">
        <v>10</v>
      </c>
      <c r="H378" s="5">
        <v>30</v>
      </c>
      <c r="I378" s="5" t="s">
        <v>22</v>
      </c>
      <c r="J378" s="13" t="s">
        <v>72</v>
      </c>
    </row>
    <row r="379" spans="1:10" ht="20.25" customHeight="1" x14ac:dyDescent="0.25">
      <c r="A379" s="5" t="s">
        <v>685</v>
      </c>
      <c r="B379" s="5">
        <v>1</v>
      </c>
      <c r="C379" s="6">
        <v>46132</v>
      </c>
      <c r="D379" s="16">
        <v>46128</v>
      </c>
      <c r="E379" s="15" t="s">
        <v>16</v>
      </c>
      <c r="F379" s="5" t="s">
        <v>648</v>
      </c>
      <c r="G379" s="5" t="s">
        <v>17</v>
      </c>
      <c r="H379" s="5">
        <v>9</v>
      </c>
      <c r="I379" s="5" t="s">
        <v>22</v>
      </c>
      <c r="J379" s="13" t="s">
        <v>72</v>
      </c>
    </row>
    <row r="380" spans="1:10" ht="20.25" customHeight="1" x14ac:dyDescent="0.25">
      <c r="A380" s="5" t="s">
        <v>744</v>
      </c>
      <c r="B380" s="5">
        <v>1</v>
      </c>
      <c r="C380" s="6">
        <v>46132</v>
      </c>
      <c r="D380" s="16">
        <v>46130</v>
      </c>
      <c r="E380" s="15" t="s">
        <v>16</v>
      </c>
      <c r="F380" s="5" t="s">
        <v>648</v>
      </c>
      <c r="G380" s="5" t="s">
        <v>13</v>
      </c>
      <c r="H380" s="5">
        <v>1</v>
      </c>
      <c r="I380" s="5" t="s">
        <v>22</v>
      </c>
      <c r="J380" s="13" t="s">
        <v>72</v>
      </c>
    </row>
    <row r="381" spans="1:10" ht="20.25" customHeight="1" x14ac:dyDescent="0.25">
      <c r="A381" s="5" t="s">
        <v>580</v>
      </c>
      <c r="B381" s="5">
        <v>1</v>
      </c>
      <c r="C381" s="6">
        <v>46132</v>
      </c>
      <c r="D381" s="16">
        <v>46125</v>
      </c>
      <c r="E381" s="15" t="s">
        <v>16</v>
      </c>
      <c r="F381" s="5" t="s">
        <v>645</v>
      </c>
      <c r="G381" s="5" t="s">
        <v>17</v>
      </c>
      <c r="H381" s="5">
        <v>1</v>
      </c>
      <c r="I381" t="s">
        <v>185</v>
      </c>
      <c r="J381" s="13" t="s">
        <v>48</v>
      </c>
    </row>
    <row r="382" spans="1:10" ht="20.25" customHeight="1" x14ac:dyDescent="0.25">
      <c r="A382" s="5" t="s">
        <v>745</v>
      </c>
      <c r="B382" s="5">
        <v>1</v>
      </c>
      <c r="C382" s="6">
        <v>46132</v>
      </c>
      <c r="D382" s="16">
        <v>46129</v>
      </c>
      <c r="E382" s="15" t="s">
        <v>16</v>
      </c>
      <c r="F382" s="5" t="s">
        <v>645</v>
      </c>
      <c r="G382" s="5" t="s">
        <v>12</v>
      </c>
      <c r="H382" s="5">
        <v>4</v>
      </c>
      <c r="I382" t="s">
        <v>185</v>
      </c>
      <c r="J382" s="13" t="s">
        <v>48</v>
      </c>
    </row>
    <row r="383" spans="1:10" ht="20.25" customHeight="1" x14ac:dyDescent="0.25">
      <c r="A383" s="5" t="s">
        <v>601</v>
      </c>
      <c r="B383" s="5">
        <v>1</v>
      </c>
      <c r="C383" s="6">
        <v>46132</v>
      </c>
      <c r="D383" s="16">
        <v>46125</v>
      </c>
      <c r="E383" s="15" t="s">
        <v>16</v>
      </c>
      <c r="F383" s="5" t="s">
        <v>645</v>
      </c>
      <c r="G383" s="5" t="s">
        <v>10</v>
      </c>
      <c r="H383" s="5">
        <v>4</v>
      </c>
      <c r="I383" t="s">
        <v>185</v>
      </c>
      <c r="J383" s="13" t="s">
        <v>48</v>
      </c>
    </row>
    <row r="384" spans="1:10" ht="20.25" customHeight="1" x14ac:dyDescent="0.25">
      <c r="A384" s="5" t="s">
        <v>599</v>
      </c>
      <c r="B384" s="5">
        <v>1</v>
      </c>
      <c r="C384" s="6">
        <v>46132</v>
      </c>
      <c r="D384" s="16">
        <v>46125</v>
      </c>
      <c r="E384" s="15" t="s">
        <v>16</v>
      </c>
      <c r="F384" s="5" t="s">
        <v>645</v>
      </c>
      <c r="G384" s="5" t="s">
        <v>17</v>
      </c>
      <c r="H384" s="5">
        <v>2</v>
      </c>
      <c r="I384" t="s">
        <v>185</v>
      </c>
      <c r="J384" s="13" t="s">
        <v>48</v>
      </c>
    </row>
    <row r="385" spans="1:10" ht="20.25" customHeight="1" x14ac:dyDescent="0.25">
      <c r="A385" s="5" t="s">
        <v>590</v>
      </c>
      <c r="B385" s="5">
        <v>1</v>
      </c>
      <c r="C385" s="6">
        <v>46132</v>
      </c>
      <c r="D385" s="16">
        <v>46125</v>
      </c>
      <c r="E385" s="15" t="s">
        <v>16</v>
      </c>
      <c r="F385" s="5" t="s">
        <v>645</v>
      </c>
      <c r="G385" s="5" t="s">
        <v>17</v>
      </c>
      <c r="H385" s="5">
        <v>2</v>
      </c>
      <c r="I385" t="s">
        <v>185</v>
      </c>
      <c r="J385" s="13" t="s">
        <v>48</v>
      </c>
    </row>
    <row r="386" spans="1:10" ht="20.25" customHeight="1" x14ac:dyDescent="0.25">
      <c r="A386" s="5" t="s">
        <v>746</v>
      </c>
      <c r="B386" s="5">
        <v>1</v>
      </c>
      <c r="C386" s="6">
        <v>46132</v>
      </c>
      <c r="D386" s="16">
        <v>46129</v>
      </c>
      <c r="E386" s="15" t="s">
        <v>16</v>
      </c>
      <c r="F386" s="5" t="s">
        <v>646</v>
      </c>
      <c r="G386" s="5" t="s">
        <v>12</v>
      </c>
      <c r="H386" s="5">
        <v>6</v>
      </c>
      <c r="I386" t="s">
        <v>185</v>
      </c>
      <c r="J386" s="13" t="s">
        <v>48</v>
      </c>
    </row>
    <row r="387" spans="1:10" ht="20.25" customHeight="1" x14ac:dyDescent="0.25">
      <c r="A387" s="5" t="s">
        <v>585</v>
      </c>
      <c r="B387" s="5">
        <v>1</v>
      </c>
      <c r="C387" s="6">
        <v>46132</v>
      </c>
      <c r="D387" s="16">
        <v>46125</v>
      </c>
      <c r="E387" s="15" t="s">
        <v>16</v>
      </c>
      <c r="F387" s="5" t="s">
        <v>646</v>
      </c>
      <c r="G387" s="5" t="s">
        <v>17</v>
      </c>
      <c r="H387" s="5">
        <v>4</v>
      </c>
      <c r="I387" t="s">
        <v>185</v>
      </c>
      <c r="J387" s="13" t="s">
        <v>48</v>
      </c>
    </row>
    <row r="388" spans="1:10" ht="20.25" customHeight="1" x14ac:dyDescent="0.25">
      <c r="A388" s="5" t="s">
        <v>550</v>
      </c>
      <c r="B388" s="5">
        <v>1</v>
      </c>
      <c r="C388" s="6">
        <v>46132</v>
      </c>
      <c r="D388" s="16">
        <v>46124</v>
      </c>
      <c r="E388" s="15" t="s">
        <v>16</v>
      </c>
      <c r="F388" s="5" t="s">
        <v>299</v>
      </c>
      <c r="G388" s="5" t="s">
        <v>10</v>
      </c>
      <c r="H388" s="5">
        <v>5</v>
      </c>
      <c r="I388" s="5" t="s">
        <v>20</v>
      </c>
      <c r="J388" s="13" t="s">
        <v>68</v>
      </c>
    </row>
    <row r="389" spans="1:10" ht="20.25" customHeight="1" x14ac:dyDescent="0.25">
      <c r="A389" s="5" t="s">
        <v>551</v>
      </c>
      <c r="B389" s="5">
        <v>1</v>
      </c>
      <c r="C389" s="6">
        <v>46132</v>
      </c>
      <c r="D389" s="16">
        <v>46124</v>
      </c>
      <c r="E389" s="15" t="s">
        <v>16</v>
      </c>
      <c r="F389" s="5" t="s">
        <v>299</v>
      </c>
      <c r="G389" s="5" t="s">
        <v>11</v>
      </c>
      <c r="H389" s="5">
        <v>3</v>
      </c>
      <c r="I389" s="5" t="s">
        <v>20</v>
      </c>
      <c r="J389" s="13" t="s">
        <v>68</v>
      </c>
    </row>
    <row r="390" spans="1:10" ht="20.25" customHeight="1" x14ac:dyDescent="0.25">
      <c r="A390" s="5" t="s">
        <v>549</v>
      </c>
      <c r="B390" s="5">
        <v>1</v>
      </c>
      <c r="C390" s="6">
        <v>46132</v>
      </c>
      <c r="D390" s="16">
        <v>46124</v>
      </c>
      <c r="E390" s="15" t="s">
        <v>16</v>
      </c>
      <c r="F390" s="5" t="s">
        <v>299</v>
      </c>
      <c r="G390" s="5" t="s">
        <v>17</v>
      </c>
      <c r="H390" s="5">
        <v>3</v>
      </c>
      <c r="I390" s="5" t="s">
        <v>20</v>
      </c>
      <c r="J390" s="13" t="s">
        <v>68</v>
      </c>
    </row>
    <row r="391" spans="1:10" ht="20.25" customHeight="1" x14ac:dyDescent="0.25">
      <c r="A391" s="5" t="s">
        <v>567</v>
      </c>
      <c r="B391" s="5">
        <v>1</v>
      </c>
      <c r="C391" s="6">
        <v>46132</v>
      </c>
      <c r="D391" s="16">
        <v>46125</v>
      </c>
      <c r="E391" s="15" t="s">
        <v>16</v>
      </c>
      <c r="F391" s="5" t="s">
        <v>647</v>
      </c>
      <c r="G391" s="5" t="s">
        <v>10</v>
      </c>
      <c r="H391" s="5">
        <v>11</v>
      </c>
      <c r="I391" s="5" t="s">
        <v>22</v>
      </c>
      <c r="J391" s="13" t="s">
        <v>72</v>
      </c>
    </row>
    <row r="392" spans="1:10" ht="20.25" customHeight="1" x14ac:dyDescent="0.25">
      <c r="A392" s="5" t="s">
        <v>594</v>
      </c>
      <c r="B392" s="5">
        <v>1</v>
      </c>
      <c r="C392" s="6">
        <v>46132</v>
      </c>
      <c r="D392" s="16">
        <v>46125</v>
      </c>
      <c r="E392" s="15" t="s">
        <v>16</v>
      </c>
      <c r="F392" s="5" t="s">
        <v>647</v>
      </c>
      <c r="G392" s="5" t="s">
        <v>17</v>
      </c>
      <c r="H392" s="5">
        <v>2</v>
      </c>
      <c r="I392" s="5" t="s">
        <v>22</v>
      </c>
      <c r="J392" s="13" t="s">
        <v>72</v>
      </c>
    </row>
    <row r="393" spans="1:10" ht="20.25" customHeight="1" x14ac:dyDescent="0.25">
      <c r="A393" s="5" t="s">
        <v>529</v>
      </c>
      <c r="B393" s="5">
        <v>1</v>
      </c>
      <c r="C393" s="6">
        <v>46132</v>
      </c>
      <c r="D393" s="16">
        <v>46122</v>
      </c>
      <c r="E393" s="15" t="s">
        <v>16</v>
      </c>
      <c r="F393" s="5" t="s">
        <v>342</v>
      </c>
      <c r="G393" s="5" t="s">
        <v>10</v>
      </c>
      <c r="H393" s="5">
        <v>21</v>
      </c>
      <c r="I393" s="5" t="s">
        <v>22</v>
      </c>
      <c r="J393" s="13" t="s">
        <v>72</v>
      </c>
    </row>
    <row r="394" spans="1:10" ht="20.25" customHeight="1" x14ac:dyDescent="0.25">
      <c r="A394" s="100" t="s">
        <v>769</v>
      </c>
      <c r="B394" s="5">
        <v>1</v>
      </c>
      <c r="C394" s="6">
        <v>46132</v>
      </c>
      <c r="D394" s="16">
        <v>46122</v>
      </c>
      <c r="E394" s="15" t="s">
        <v>16</v>
      </c>
      <c r="F394" s="5" t="s">
        <v>342</v>
      </c>
      <c r="G394" s="5" t="s">
        <v>10</v>
      </c>
      <c r="H394" s="5">
        <v>13</v>
      </c>
      <c r="I394" s="5" t="s">
        <v>22</v>
      </c>
      <c r="J394" s="13" t="s">
        <v>72</v>
      </c>
    </row>
    <row r="395" spans="1:10" ht="20.25" customHeight="1" x14ac:dyDescent="0.25">
      <c r="A395" s="5" t="s">
        <v>626</v>
      </c>
      <c r="B395" s="5">
        <v>1</v>
      </c>
      <c r="C395" s="6">
        <v>46132</v>
      </c>
      <c r="D395" s="16">
        <v>46126</v>
      </c>
      <c r="E395" s="15" t="s">
        <v>8</v>
      </c>
      <c r="F395" s="5" t="s">
        <v>89</v>
      </c>
      <c r="G395" s="5" t="s">
        <v>17</v>
      </c>
      <c r="H395" s="5">
        <v>1</v>
      </c>
      <c r="I395" s="5" t="s">
        <v>67</v>
      </c>
      <c r="J395" s="13" t="s">
        <v>73</v>
      </c>
    </row>
    <row r="396" spans="1:10" ht="20.25" customHeight="1" x14ac:dyDescent="0.25">
      <c r="A396" s="5" t="s">
        <v>633</v>
      </c>
      <c r="B396" s="5">
        <v>1</v>
      </c>
      <c r="C396" s="6">
        <v>46132</v>
      </c>
      <c r="D396" s="16">
        <v>46126</v>
      </c>
      <c r="E396" s="15" t="s">
        <v>8</v>
      </c>
      <c r="F396" s="5" t="s">
        <v>89</v>
      </c>
      <c r="G396" s="5" t="s">
        <v>10</v>
      </c>
      <c r="H396" s="5">
        <v>30</v>
      </c>
      <c r="I396" s="5" t="s">
        <v>67</v>
      </c>
      <c r="J396" s="13" t="s">
        <v>73</v>
      </c>
    </row>
    <row r="397" spans="1:10" ht="20.25" customHeight="1" x14ac:dyDescent="0.25">
      <c r="A397" s="5" t="s">
        <v>747</v>
      </c>
      <c r="B397" s="5">
        <v>1</v>
      </c>
      <c r="C397" s="6">
        <v>46132</v>
      </c>
      <c r="D397" s="16">
        <v>46129</v>
      </c>
      <c r="E397" s="15" t="s">
        <v>8</v>
      </c>
      <c r="F397" s="5" t="s">
        <v>89</v>
      </c>
      <c r="G397" s="5" t="s">
        <v>12</v>
      </c>
      <c r="H397" s="5">
        <v>4</v>
      </c>
      <c r="I397" s="5" t="s">
        <v>67</v>
      </c>
      <c r="J397" s="13" t="s">
        <v>73</v>
      </c>
    </row>
    <row r="398" spans="1:10" ht="20.25" customHeight="1" x14ac:dyDescent="0.25">
      <c r="A398" s="5" t="s">
        <v>516</v>
      </c>
      <c r="B398" s="5">
        <v>1</v>
      </c>
      <c r="C398" s="6">
        <v>46132</v>
      </c>
      <c r="D398" s="16">
        <v>46120</v>
      </c>
      <c r="E398" s="15" t="s">
        <v>8</v>
      </c>
      <c r="F398" s="5" t="s">
        <v>89</v>
      </c>
      <c r="G398" s="5" t="s">
        <v>11</v>
      </c>
      <c r="H398" s="5">
        <v>14</v>
      </c>
      <c r="I398" s="5" t="s">
        <v>67</v>
      </c>
      <c r="J398" s="13" t="s">
        <v>73</v>
      </c>
    </row>
    <row r="399" spans="1:10" ht="20.25" customHeight="1" x14ac:dyDescent="0.25">
      <c r="A399" s="5" t="s">
        <v>553</v>
      </c>
      <c r="B399" s="5">
        <v>1</v>
      </c>
      <c r="C399" s="6">
        <v>46132</v>
      </c>
      <c r="D399" s="16">
        <v>46124</v>
      </c>
      <c r="E399" s="15" t="s">
        <v>8</v>
      </c>
      <c r="F399" s="5" t="s">
        <v>89</v>
      </c>
      <c r="G399" s="5" t="s">
        <v>13</v>
      </c>
      <c r="H399" s="5">
        <v>2</v>
      </c>
      <c r="I399" s="5" t="s">
        <v>67</v>
      </c>
      <c r="J399" s="13" t="s">
        <v>73</v>
      </c>
    </row>
    <row r="400" spans="1:10" ht="20.25" customHeight="1" x14ac:dyDescent="0.25">
      <c r="A400" s="5" t="s">
        <v>525</v>
      </c>
      <c r="B400" s="5">
        <v>1</v>
      </c>
      <c r="C400" s="6">
        <v>46132</v>
      </c>
      <c r="D400" s="16">
        <v>46120</v>
      </c>
      <c r="E400" s="15" t="s">
        <v>8</v>
      </c>
      <c r="F400" s="5" t="s">
        <v>89</v>
      </c>
      <c r="G400" s="5" t="s">
        <v>10</v>
      </c>
      <c r="H400" s="5">
        <v>8</v>
      </c>
      <c r="I400" s="5" t="s">
        <v>67</v>
      </c>
      <c r="J400" s="13" t="s">
        <v>73</v>
      </c>
    </row>
    <row r="401" spans="1:10" ht="20.25" customHeight="1" x14ac:dyDescent="0.25">
      <c r="A401" s="5" t="s">
        <v>627</v>
      </c>
      <c r="B401" s="5">
        <v>1</v>
      </c>
      <c r="C401" s="6">
        <v>46132</v>
      </c>
      <c r="D401" s="16">
        <v>46126</v>
      </c>
      <c r="E401" s="15" t="s">
        <v>8</v>
      </c>
      <c r="F401" s="5" t="s">
        <v>89</v>
      </c>
      <c r="G401" s="5" t="s">
        <v>10</v>
      </c>
      <c r="H401" s="5">
        <v>8</v>
      </c>
      <c r="I401" s="5" t="s">
        <v>67</v>
      </c>
      <c r="J401" s="13" t="s">
        <v>73</v>
      </c>
    </row>
    <row r="402" spans="1:10" ht="20.25" customHeight="1" x14ac:dyDescent="0.25">
      <c r="A402" s="5" t="s">
        <v>606</v>
      </c>
      <c r="B402" s="5">
        <v>1</v>
      </c>
      <c r="C402" s="6">
        <v>46132</v>
      </c>
      <c r="D402" s="16">
        <v>46126</v>
      </c>
      <c r="E402" s="15" t="s">
        <v>8</v>
      </c>
      <c r="F402" s="5" t="s">
        <v>89</v>
      </c>
      <c r="G402" s="5" t="s">
        <v>11</v>
      </c>
      <c r="H402" s="5">
        <v>25</v>
      </c>
      <c r="I402" s="5" t="s">
        <v>67</v>
      </c>
      <c r="J402" s="13" t="s">
        <v>73</v>
      </c>
    </row>
    <row r="403" spans="1:10" ht="20.25" customHeight="1" x14ac:dyDescent="0.25">
      <c r="A403" s="5" t="s">
        <v>604</v>
      </c>
      <c r="B403" s="5">
        <v>1</v>
      </c>
      <c r="C403" s="6">
        <v>46132</v>
      </c>
      <c r="D403" s="16">
        <v>46126</v>
      </c>
      <c r="E403" s="15" t="s">
        <v>8</v>
      </c>
      <c r="F403" s="5" t="s">
        <v>89</v>
      </c>
      <c r="G403" s="5" t="s">
        <v>17</v>
      </c>
      <c r="H403" s="5">
        <v>14</v>
      </c>
      <c r="I403" s="5" t="s">
        <v>67</v>
      </c>
      <c r="J403" s="13" t="s">
        <v>73</v>
      </c>
    </row>
    <row r="404" spans="1:10" ht="20.25" customHeight="1" x14ac:dyDescent="0.25">
      <c r="B404" s="5">
        <v>1</v>
      </c>
      <c r="C404" s="6">
        <v>46132</v>
      </c>
      <c r="D404" s="16">
        <v>46126</v>
      </c>
      <c r="E404" s="15" t="s">
        <v>8</v>
      </c>
      <c r="F404" s="5" t="s">
        <v>89</v>
      </c>
      <c r="G404" s="5" t="s">
        <v>10</v>
      </c>
      <c r="H404" s="5">
        <v>18</v>
      </c>
      <c r="I404" s="5" t="s">
        <v>67</v>
      </c>
      <c r="J404" s="13" t="s">
        <v>73</v>
      </c>
    </row>
    <row r="405" spans="1:10" ht="20.25" customHeight="1" x14ac:dyDescent="0.25">
      <c r="A405" s="5" t="s">
        <v>751</v>
      </c>
      <c r="B405" s="5">
        <v>1</v>
      </c>
      <c r="C405" s="6">
        <v>46132</v>
      </c>
      <c r="D405" s="16">
        <v>46129</v>
      </c>
      <c r="E405" s="15" t="s">
        <v>8</v>
      </c>
      <c r="F405" s="5" t="s">
        <v>89</v>
      </c>
      <c r="G405" s="5" t="s">
        <v>12</v>
      </c>
      <c r="H405" s="5">
        <v>10</v>
      </c>
      <c r="I405" s="5" t="s">
        <v>67</v>
      </c>
      <c r="J405" s="13" t="s">
        <v>73</v>
      </c>
    </row>
    <row r="406" spans="1:10" ht="20.25" customHeight="1" x14ac:dyDescent="0.25">
      <c r="A406" s="5" t="s">
        <v>652</v>
      </c>
      <c r="B406" s="5">
        <v>1</v>
      </c>
      <c r="C406" s="6">
        <v>46132</v>
      </c>
      <c r="D406" s="16">
        <v>46126</v>
      </c>
      <c r="E406" s="15" t="s">
        <v>8</v>
      </c>
      <c r="F406" s="5" t="s">
        <v>89</v>
      </c>
      <c r="G406" s="5" t="s">
        <v>17</v>
      </c>
      <c r="H406" s="5">
        <v>9</v>
      </c>
      <c r="I406" s="5" t="s">
        <v>67</v>
      </c>
      <c r="J406" s="13" t="s">
        <v>73</v>
      </c>
    </row>
    <row r="407" spans="1:10" ht="20.25" customHeight="1" x14ac:dyDescent="0.25">
      <c r="A407" s="5" t="s">
        <v>561</v>
      </c>
      <c r="B407" s="5">
        <v>1</v>
      </c>
      <c r="C407" s="6">
        <v>46132</v>
      </c>
      <c r="D407" s="16">
        <v>46125</v>
      </c>
      <c r="E407" s="15" t="s">
        <v>8</v>
      </c>
      <c r="F407" s="5" t="s">
        <v>89</v>
      </c>
      <c r="G407" s="5" t="s">
        <v>10</v>
      </c>
      <c r="H407" s="5">
        <v>9</v>
      </c>
      <c r="I407" s="5" t="s">
        <v>67</v>
      </c>
      <c r="J407" s="13" t="s">
        <v>73</v>
      </c>
    </row>
    <row r="408" spans="1:10" ht="20.25" customHeight="1" x14ac:dyDescent="0.25">
      <c r="A408" s="5" t="s">
        <v>653</v>
      </c>
      <c r="B408" s="5">
        <v>1</v>
      </c>
      <c r="C408" s="6">
        <v>46132</v>
      </c>
      <c r="D408" s="16">
        <v>46126</v>
      </c>
      <c r="E408" s="15" t="s">
        <v>8</v>
      </c>
      <c r="F408" s="5" t="s">
        <v>89</v>
      </c>
      <c r="G408" s="5" t="s">
        <v>10</v>
      </c>
      <c r="H408" s="5">
        <v>26</v>
      </c>
      <c r="I408" s="5" t="s">
        <v>67</v>
      </c>
      <c r="J408" s="13" t="s">
        <v>73</v>
      </c>
    </row>
    <row r="409" spans="1:10" ht="20.25" customHeight="1" x14ac:dyDescent="0.25">
      <c r="A409" s="5" t="s">
        <v>630</v>
      </c>
      <c r="B409" s="5">
        <v>1</v>
      </c>
      <c r="C409" s="6">
        <v>46132</v>
      </c>
      <c r="D409" s="16">
        <v>46126</v>
      </c>
      <c r="E409" s="15" t="s">
        <v>8</v>
      </c>
      <c r="F409" s="5" t="s">
        <v>89</v>
      </c>
      <c r="G409" s="5" t="s">
        <v>10</v>
      </c>
      <c r="H409" s="5">
        <v>18</v>
      </c>
      <c r="I409" s="5" t="s">
        <v>67</v>
      </c>
      <c r="J409" s="13" t="s">
        <v>73</v>
      </c>
    </row>
    <row r="410" spans="1:10" ht="20.25" customHeight="1" x14ac:dyDescent="0.25">
      <c r="A410" s="5" t="s">
        <v>554</v>
      </c>
      <c r="B410" s="5">
        <v>1</v>
      </c>
      <c r="C410" s="6">
        <v>46132</v>
      </c>
      <c r="D410" s="16">
        <v>46124</v>
      </c>
      <c r="E410" s="15" t="s">
        <v>8</v>
      </c>
      <c r="F410" s="5" t="s">
        <v>89</v>
      </c>
      <c r="G410" s="5" t="s">
        <v>17</v>
      </c>
      <c r="H410" s="5">
        <v>4</v>
      </c>
      <c r="I410" s="5" t="s">
        <v>67</v>
      </c>
      <c r="J410" s="13" t="s">
        <v>73</v>
      </c>
    </row>
    <row r="411" spans="1:10" ht="20.25" customHeight="1" x14ac:dyDescent="0.25">
      <c r="B411" s="5">
        <v>1</v>
      </c>
      <c r="C411" s="6">
        <v>46132</v>
      </c>
      <c r="D411" s="16">
        <v>46128</v>
      </c>
      <c r="E411" s="15" t="s">
        <v>8</v>
      </c>
      <c r="F411" s="5" t="s">
        <v>89</v>
      </c>
      <c r="G411" s="5" t="s">
        <v>12</v>
      </c>
      <c r="H411" s="5">
        <v>12</v>
      </c>
      <c r="I411" s="5" t="s">
        <v>67</v>
      </c>
      <c r="J411" s="13" t="s">
        <v>73</v>
      </c>
    </row>
    <row r="412" spans="1:10" ht="20.25" customHeight="1" x14ac:dyDescent="0.25">
      <c r="A412" s="5" t="s">
        <v>623</v>
      </c>
      <c r="B412" s="5">
        <v>1</v>
      </c>
      <c r="C412" s="6">
        <v>46132</v>
      </c>
      <c r="D412" s="16">
        <v>46126</v>
      </c>
      <c r="E412" s="15" t="s">
        <v>8</v>
      </c>
      <c r="F412" s="5" t="s">
        <v>643</v>
      </c>
      <c r="G412" s="5" t="s">
        <v>10</v>
      </c>
      <c r="H412" s="5">
        <v>9</v>
      </c>
      <c r="I412" s="5" t="s">
        <v>20</v>
      </c>
      <c r="J412" s="13" t="s">
        <v>80</v>
      </c>
    </row>
    <row r="413" spans="1:10" ht="20.25" customHeight="1" x14ac:dyDescent="0.25">
      <c r="A413" s="5" t="s">
        <v>635</v>
      </c>
      <c r="B413" s="5">
        <v>1</v>
      </c>
      <c r="C413" s="6">
        <v>46133</v>
      </c>
      <c r="D413" s="16">
        <v>46127</v>
      </c>
      <c r="E413" s="15" t="s">
        <v>16</v>
      </c>
      <c r="F413" s="5" t="s">
        <v>647</v>
      </c>
      <c r="G413" s="5" t="s">
        <v>10</v>
      </c>
      <c r="H413" s="5">
        <v>30</v>
      </c>
      <c r="I413" s="5" t="s">
        <v>22</v>
      </c>
      <c r="J413" s="13" t="s">
        <v>72</v>
      </c>
    </row>
    <row r="414" spans="1:10" ht="20.25" customHeight="1" x14ac:dyDescent="0.25">
      <c r="A414" s="5" t="s">
        <v>538</v>
      </c>
      <c r="B414" s="5">
        <v>1</v>
      </c>
      <c r="C414" s="6">
        <v>46133</v>
      </c>
      <c r="D414" s="16">
        <v>46123</v>
      </c>
      <c r="E414" s="15" t="s">
        <v>16</v>
      </c>
      <c r="F414" s="5" t="s">
        <v>742</v>
      </c>
      <c r="G414" s="5" t="s">
        <v>11</v>
      </c>
      <c r="H414" s="5">
        <v>30</v>
      </c>
      <c r="I414" s="5" t="s">
        <v>22</v>
      </c>
      <c r="J414" s="13" t="s">
        <v>72</v>
      </c>
    </row>
    <row r="415" spans="1:10" ht="20.25" customHeight="1" x14ac:dyDescent="0.25">
      <c r="A415" s="5" t="s">
        <v>672</v>
      </c>
      <c r="B415" s="5">
        <v>1</v>
      </c>
      <c r="C415" s="6">
        <v>46133</v>
      </c>
      <c r="D415" s="16">
        <v>46127</v>
      </c>
      <c r="E415" s="15" t="s">
        <v>16</v>
      </c>
      <c r="F415" s="5" t="s">
        <v>647</v>
      </c>
      <c r="G415" s="5" t="s">
        <v>17</v>
      </c>
      <c r="H415" s="5">
        <v>3</v>
      </c>
      <c r="I415" s="5" t="s">
        <v>22</v>
      </c>
      <c r="J415" s="13" t="s">
        <v>72</v>
      </c>
    </row>
    <row r="416" spans="1:10" ht="20.25" customHeight="1" x14ac:dyDescent="0.25">
      <c r="A416" s="5" t="s">
        <v>679</v>
      </c>
      <c r="B416" s="5">
        <v>1</v>
      </c>
      <c r="C416" s="6">
        <v>46133</v>
      </c>
      <c r="D416" s="16">
        <v>46128</v>
      </c>
      <c r="E416" s="15" t="s">
        <v>16</v>
      </c>
      <c r="F416" s="5" t="s">
        <v>648</v>
      </c>
      <c r="G416" s="5" t="s">
        <v>17</v>
      </c>
      <c r="H416" s="5">
        <v>6</v>
      </c>
      <c r="I416" s="5" t="s">
        <v>22</v>
      </c>
      <c r="J416" s="13" t="s">
        <v>72</v>
      </c>
    </row>
    <row r="417" spans="1:10" ht="20.25" customHeight="1" x14ac:dyDescent="0.25">
      <c r="A417" s="5" t="s">
        <v>753</v>
      </c>
      <c r="B417" s="5">
        <v>1</v>
      </c>
      <c r="C417" s="6">
        <v>46133</v>
      </c>
      <c r="D417" s="16">
        <v>46132</v>
      </c>
      <c r="E417" s="15" t="s">
        <v>16</v>
      </c>
      <c r="F417" s="5" t="s">
        <v>648</v>
      </c>
      <c r="G417" s="5" t="s">
        <v>12</v>
      </c>
      <c r="H417" s="5">
        <v>1</v>
      </c>
      <c r="I417" s="5" t="s">
        <v>22</v>
      </c>
      <c r="J417" s="13" t="s">
        <v>72</v>
      </c>
    </row>
    <row r="418" spans="1:10" ht="20.25" customHeight="1" x14ac:dyDescent="0.25">
      <c r="A418" s="5" t="s">
        <v>540</v>
      </c>
      <c r="B418" s="5">
        <v>1</v>
      </c>
      <c r="C418" s="6">
        <v>46133</v>
      </c>
      <c r="D418" s="16">
        <v>46123</v>
      </c>
      <c r="E418" s="15" t="s">
        <v>16</v>
      </c>
      <c r="F418" s="5" t="s">
        <v>742</v>
      </c>
      <c r="G418" s="5" t="s">
        <v>11</v>
      </c>
      <c r="H418" s="5">
        <v>19</v>
      </c>
      <c r="I418" s="5" t="s">
        <v>22</v>
      </c>
      <c r="J418" s="13" t="s">
        <v>72</v>
      </c>
    </row>
    <row r="419" spans="1:10" ht="20.25" customHeight="1" x14ac:dyDescent="0.25">
      <c r="A419" s="5" t="s">
        <v>595</v>
      </c>
      <c r="B419" s="5">
        <v>1</v>
      </c>
      <c r="C419" s="6">
        <v>46133</v>
      </c>
      <c r="D419" s="16">
        <v>46125</v>
      </c>
      <c r="E419" s="15" t="s">
        <v>16</v>
      </c>
      <c r="F419" s="5" t="s">
        <v>647</v>
      </c>
      <c r="G419" s="5" t="s">
        <v>10</v>
      </c>
      <c r="H419" s="5">
        <v>10</v>
      </c>
      <c r="I419" s="5" t="s">
        <v>22</v>
      </c>
      <c r="J419" s="13" t="s">
        <v>72</v>
      </c>
    </row>
    <row r="420" spans="1:10" ht="20.25" customHeight="1" x14ac:dyDescent="0.25">
      <c r="A420" s="5" t="s">
        <v>755</v>
      </c>
      <c r="B420" s="5">
        <v>1</v>
      </c>
      <c r="C420" s="6">
        <v>46133</v>
      </c>
      <c r="D420" s="16">
        <v>46132</v>
      </c>
      <c r="E420" s="15" t="s">
        <v>16</v>
      </c>
      <c r="F420" s="5" t="s">
        <v>648</v>
      </c>
      <c r="G420" s="5" t="s">
        <v>13</v>
      </c>
      <c r="H420" s="5">
        <v>2</v>
      </c>
      <c r="I420" s="5" t="s">
        <v>22</v>
      </c>
      <c r="J420" s="13" t="s">
        <v>72</v>
      </c>
    </row>
    <row r="421" spans="1:10" ht="20.25" customHeight="1" x14ac:dyDescent="0.25">
      <c r="A421" s="5" t="s">
        <v>639</v>
      </c>
      <c r="B421" s="5">
        <v>1</v>
      </c>
      <c r="C421" s="6">
        <v>46133</v>
      </c>
      <c r="D421" s="16">
        <v>46127</v>
      </c>
      <c r="E421" s="15" t="s">
        <v>16</v>
      </c>
      <c r="F421" s="5" t="s">
        <v>742</v>
      </c>
      <c r="G421" s="5" t="s">
        <v>10</v>
      </c>
      <c r="H421" s="5">
        <v>15</v>
      </c>
      <c r="I421" s="5" t="s">
        <v>22</v>
      </c>
      <c r="J421" s="13" t="s">
        <v>72</v>
      </c>
    </row>
    <row r="422" spans="1:10" ht="20.25" customHeight="1" x14ac:dyDescent="0.25">
      <c r="A422" s="5" t="s">
        <v>723</v>
      </c>
      <c r="B422" s="5">
        <v>1</v>
      </c>
      <c r="C422" s="6">
        <v>46133</v>
      </c>
      <c r="D422" s="16">
        <v>46128</v>
      </c>
      <c r="E422" s="15" t="s">
        <v>16</v>
      </c>
      <c r="F422" s="5" t="s">
        <v>645</v>
      </c>
      <c r="G422" s="5" t="s">
        <v>17</v>
      </c>
      <c r="H422" s="5">
        <v>2</v>
      </c>
      <c r="I422" t="s">
        <v>185</v>
      </c>
      <c r="J422" s="13" t="s">
        <v>48</v>
      </c>
    </row>
    <row r="423" spans="1:10" ht="20.25" customHeight="1" x14ac:dyDescent="0.25">
      <c r="A423" s="5" t="s">
        <v>756</v>
      </c>
      <c r="B423" s="5">
        <v>1</v>
      </c>
      <c r="C423" s="6">
        <v>46133</v>
      </c>
      <c r="D423" s="16">
        <v>46127</v>
      </c>
      <c r="E423" s="15" t="s">
        <v>16</v>
      </c>
      <c r="F423" s="5" t="s">
        <v>648</v>
      </c>
      <c r="G423" s="5" t="s">
        <v>12</v>
      </c>
      <c r="H423" s="5">
        <v>1</v>
      </c>
      <c r="I423" s="5" t="s">
        <v>22</v>
      </c>
      <c r="J423" s="13" t="s">
        <v>72</v>
      </c>
    </row>
    <row r="424" spans="1:10" ht="20.25" customHeight="1" x14ac:dyDescent="0.25">
      <c r="A424" s="5" t="s">
        <v>744</v>
      </c>
      <c r="B424" s="5">
        <v>1</v>
      </c>
      <c r="C424" s="6">
        <v>46133</v>
      </c>
      <c r="D424" s="16">
        <v>46130</v>
      </c>
      <c r="E424" s="15" t="s">
        <v>16</v>
      </c>
      <c r="F424" s="5" t="s">
        <v>648</v>
      </c>
      <c r="G424" s="5" t="s">
        <v>13</v>
      </c>
      <c r="H424" s="5">
        <v>1</v>
      </c>
      <c r="I424" s="5" t="s">
        <v>22</v>
      </c>
      <c r="J424" s="13" t="s">
        <v>72</v>
      </c>
    </row>
    <row r="425" spans="1:10" ht="20.25" customHeight="1" x14ac:dyDescent="0.25">
      <c r="A425" s="5" t="s">
        <v>632</v>
      </c>
      <c r="B425" s="5">
        <v>1</v>
      </c>
      <c r="C425" s="6">
        <v>46133</v>
      </c>
      <c r="D425" s="16">
        <v>46126</v>
      </c>
      <c r="E425" s="15" t="s">
        <v>8</v>
      </c>
      <c r="F425" s="5" t="s">
        <v>89</v>
      </c>
      <c r="G425" s="5" t="s">
        <v>13</v>
      </c>
      <c r="H425" s="5">
        <v>4</v>
      </c>
      <c r="I425" s="5" t="s">
        <v>67</v>
      </c>
      <c r="J425" s="13" t="s">
        <v>73</v>
      </c>
    </row>
    <row r="426" spans="1:10" ht="20.25" customHeight="1" x14ac:dyDescent="0.25">
      <c r="A426" s="5" t="s">
        <v>655</v>
      </c>
      <c r="B426" s="5">
        <v>1</v>
      </c>
      <c r="C426" s="6">
        <v>46133</v>
      </c>
      <c r="D426" s="16">
        <v>46126</v>
      </c>
      <c r="E426" s="15" t="s">
        <v>8</v>
      </c>
      <c r="F426" s="5" t="s">
        <v>89</v>
      </c>
      <c r="G426" s="5" t="s">
        <v>12</v>
      </c>
      <c r="H426" s="5">
        <v>1</v>
      </c>
      <c r="I426" s="5" t="s">
        <v>67</v>
      </c>
      <c r="J426" s="13" t="s">
        <v>73</v>
      </c>
    </row>
    <row r="427" spans="1:10" ht="20.25" customHeight="1" x14ac:dyDescent="0.25">
      <c r="A427" s="5" t="s">
        <v>557</v>
      </c>
      <c r="B427" s="5">
        <v>1</v>
      </c>
      <c r="C427" s="6">
        <v>46133</v>
      </c>
      <c r="D427" s="16">
        <v>46125</v>
      </c>
      <c r="E427" s="15" t="s">
        <v>8</v>
      </c>
      <c r="F427" s="5" t="s">
        <v>89</v>
      </c>
      <c r="G427" s="5" t="s">
        <v>13</v>
      </c>
      <c r="H427" s="5">
        <v>13</v>
      </c>
      <c r="I427" s="5" t="s">
        <v>67</v>
      </c>
      <c r="J427" s="13" t="s">
        <v>73</v>
      </c>
    </row>
    <row r="428" spans="1:10" ht="20.25" customHeight="1" x14ac:dyDescent="0.25">
      <c r="A428" s="5" t="s">
        <v>526</v>
      </c>
      <c r="B428" s="5">
        <v>1</v>
      </c>
      <c r="C428" s="6">
        <v>46133</v>
      </c>
      <c r="D428" s="16">
        <v>46120</v>
      </c>
      <c r="E428" s="15" t="s">
        <v>8</v>
      </c>
      <c r="F428" s="5" t="s">
        <v>89</v>
      </c>
      <c r="G428" s="5" t="s">
        <v>11</v>
      </c>
      <c r="H428" s="5">
        <v>4</v>
      </c>
      <c r="I428" s="5" t="s">
        <v>67</v>
      </c>
      <c r="J428" s="13" t="s">
        <v>73</v>
      </c>
    </row>
    <row r="429" spans="1:10" ht="20.25" customHeight="1" x14ac:dyDescent="0.25">
      <c r="A429" s="5" t="s">
        <v>555</v>
      </c>
      <c r="B429" s="5">
        <v>1</v>
      </c>
      <c r="C429" s="6">
        <v>46133</v>
      </c>
      <c r="D429" s="16">
        <v>46124</v>
      </c>
      <c r="E429" s="15" t="s">
        <v>8</v>
      </c>
      <c r="F429" s="5" t="s">
        <v>89</v>
      </c>
      <c r="G429" s="5" t="s">
        <v>10</v>
      </c>
      <c r="H429" s="5">
        <v>34</v>
      </c>
      <c r="I429" s="5" t="s">
        <v>67</v>
      </c>
      <c r="J429" s="13" t="s">
        <v>73</v>
      </c>
    </row>
    <row r="430" spans="1:10" ht="20.25" customHeight="1" x14ac:dyDescent="0.25">
      <c r="A430" s="5" t="s">
        <v>562</v>
      </c>
      <c r="B430" s="5">
        <v>1</v>
      </c>
      <c r="C430" s="6">
        <v>46133</v>
      </c>
      <c r="D430" s="16">
        <v>46125</v>
      </c>
      <c r="E430" s="15" t="s">
        <v>8</v>
      </c>
      <c r="F430" s="5" t="s">
        <v>89</v>
      </c>
      <c r="G430" s="5" t="s">
        <v>10</v>
      </c>
      <c r="H430" s="5">
        <v>30</v>
      </c>
      <c r="I430" s="5" t="s">
        <v>67</v>
      </c>
      <c r="J430" s="13" t="s">
        <v>73</v>
      </c>
    </row>
    <row r="431" spans="1:10" ht="20.25" customHeight="1" x14ac:dyDescent="0.25">
      <c r="A431" s="5" t="s">
        <v>561</v>
      </c>
      <c r="B431" s="5">
        <v>1</v>
      </c>
      <c r="C431" s="6">
        <v>46133</v>
      </c>
      <c r="D431" s="16">
        <v>46125</v>
      </c>
      <c r="E431" s="15" t="s">
        <v>8</v>
      </c>
      <c r="F431" s="5" t="s">
        <v>89</v>
      </c>
      <c r="G431" s="5" t="s">
        <v>10</v>
      </c>
      <c r="H431" s="5">
        <v>21</v>
      </c>
      <c r="I431" s="5" t="s">
        <v>67</v>
      </c>
      <c r="J431" s="13" t="s">
        <v>73</v>
      </c>
    </row>
    <row r="432" spans="1:10" ht="20.25" customHeight="1" x14ac:dyDescent="0.25">
      <c r="A432" s="5" t="s">
        <v>563</v>
      </c>
      <c r="B432" s="5">
        <v>1</v>
      </c>
      <c r="C432" s="6">
        <v>46133</v>
      </c>
      <c r="D432" s="16">
        <v>46125</v>
      </c>
      <c r="E432" s="15" t="s">
        <v>8</v>
      </c>
      <c r="F432" s="5" t="s">
        <v>89</v>
      </c>
      <c r="G432" s="5" t="s">
        <v>10</v>
      </c>
      <c r="H432" s="5">
        <v>39</v>
      </c>
      <c r="I432" s="5" t="s">
        <v>67</v>
      </c>
      <c r="J432" s="13" t="s">
        <v>73</v>
      </c>
    </row>
    <row r="433" spans="1:10" ht="20.25" customHeight="1" x14ac:dyDescent="0.25">
      <c r="A433" s="5" t="s">
        <v>565</v>
      </c>
      <c r="B433" s="5">
        <v>1</v>
      </c>
      <c r="C433" s="6">
        <v>46133</v>
      </c>
      <c r="D433" s="16">
        <v>46125</v>
      </c>
      <c r="E433" s="15" t="s">
        <v>8</v>
      </c>
      <c r="F433" s="5" t="s">
        <v>89</v>
      </c>
      <c r="G433" s="5" t="s">
        <v>10</v>
      </c>
      <c r="H433" s="5">
        <v>33</v>
      </c>
      <c r="I433" s="5" t="s">
        <v>67</v>
      </c>
      <c r="J433" s="13" t="s">
        <v>73</v>
      </c>
    </row>
    <row r="434" spans="1:10" ht="20.25" customHeight="1" x14ac:dyDescent="0.25">
      <c r="A434" s="5" t="s">
        <v>559</v>
      </c>
      <c r="B434" s="5">
        <v>1</v>
      </c>
      <c r="C434" s="6">
        <v>46133</v>
      </c>
      <c r="D434" s="16">
        <v>46125</v>
      </c>
      <c r="E434" s="15" t="s">
        <v>8</v>
      </c>
      <c r="F434" s="5" t="s">
        <v>89</v>
      </c>
      <c r="G434" s="5" t="s">
        <v>10</v>
      </c>
      <c r="H434" s="5">
        <v>30</v>
      </c>
      <c r="I434" s="5" t="s">
        <v>67</v>
      </c>
      <c r="J434" s="13" t="s">
        <v>73</v>
      </c>
    </row>
    <row r="435" spans="1:10" ht="20.25" customHeight="1" x14ac:dyDescent="0.25">
      <c r="A435" s="5" t="s">
        <v>560</v>
      </c>
      <c r="B435" s="5">
        <v>1</v>
      </c>
      <c r="C435" s="6">
        <v>46133</v>
      </c>
      <c r="D435" s="16">
        <v>46125</v>
      </c>
      <c r="E435" s="15" t="s">
        <v>8</v>
      </c>
      <c r="F435" s="5" t="s">
        <v>89</v>
      </c>
      <c r="G435" s="5" t="s">
        <v>11</v>
      </c>
      <c r="H435" s="5">
        <v>30</v>
      </c>
      <c r="I435" s="5" t="s">
        <v>67</v>
      </c>
      <c r="J435" s="13" t="s">
        <v>73</v>
      </c>
    </row>
    <row r="436" spans="1:10" ht="20.25" customHeight="1" x14ac:dyDescent="0.25">
      <c r="A436" s="5" t="s">
        <v>556</v>
      </c>
      <c r="B436" s="5">
        <v>1</v>
      </c>
      <c r="C436" s="6">
        <v>46133</v>
      </c>
      <c r="D436" s="16">
        <v>46124</v>
      </c>
      <c r="E436" s="15" t="s">
        <v>8</v>
      </c>
      <c r="F436" s="5" t="s">
        <v>89</v>
      </c>
      <c r="G436" s="5" t="s">
        <v>10</v>
      </c>
      <c r="H436" s="5">
        <v>19</v>
      </c>
      <c r="I436" s="5" t="s">
        <v>67</v>
      </c>
      <c r="J436" s="13" t="s">
        <v>73</v>
      </c>
    </row>
    <row r="437" spans="1:10" ht="20.25" customHeight="1" x14ac:dyDescent="0.25">
      <c r="A437" s="100" t="s">
        <v>770</v>
      </c>
      <c r="C437" s="6"/>
      <c r="D437" s="16"/>
      <c r="E437" s="15"/>
    </row>
    <row r="438" spans="1:10" ht="20.25" customHeight="1" x14ac:dyDescent="0.25">
      <c r="A438" s="5" t="s">
        <v>501</v>
      </c>
      <c r="C438" s="6"/>
      <c r="D438" s="16"/>
      <c r="E438" s="15"/>
    </row>
    <row r="439" spans="1:10" ht="20.25" customHeight="1" x14ac:dyDescent="0.25">
      <c r="A439" s="5" t="s">
        <v>502</v>
      </c>
      <c r="C439" s="6"/>
      <c r="D439" s="16"/>
      <c r="E439" s="15"/>
    </row>
    <row r="440" spans="1:10" ht="20.25" customHeight="1" x14ac:dyDescent="0.25">
      <c r="A440" s="5" t="s">
        <v>758</v>
      </c>
      <c r="C440" s="6"/>
      <c r="D440" s="16"/>
      <c r="E440" s="15"/>
    </row>
    <row r="441" spans="1:10" ht="20.25" customHeight="1" x14ac:dyDescent="0.25">
      <c r="A441" s="5" t="s">
        <v>524</v>
      </c>
      <c r="C441" s="6"/>
      <c r="D441" s="16"/>
      <c r="E441" s="15"/>
    </row>
    <row r="442" spans="1:10" ht="20.25" customHeight="1" x14ac:dyDescent="0.25">
      <c r="A442" s="5" t="s">
        <v>659</v>
      </c>
      <c r="C442" s="6"/>
      <c r="D442" s="16"/>
      <c r="E442" s="15"/>
    </row>
    <row r="443" spans="1:10" ht="20.25" customHeight="1" x14ac:dyDescent="0.25">
      <c r="A443" s="5" t="s">
        <v>759</v>
      </c>
      <c r="C443" s="6"/>
      <c r="D443" s="16"/>
      <c r="E443" s="15"/>
    </row>
    <row r="444" spans="1:10" ht="20.25" customHeight="1" x14ac:dyDescent="0.25">
      <c r="A444" s="5" t="s">
        <v>662</v>
      </c>
      <c r="B444" s="5">
        <v>1</v>
      </c>
      <c r="C444" s="6">
        <v>46134</v>
      </c>
      <c r="D444" s="16">
        <v>46127</v>
      </c>
      <c r="E444" s="15" t="s">
        <v>15</v>
      </c>
      <c r="F444" s="5" t="s">
        <v>299</v>
      </c>
      <c r="G444" s="5" t="s">
        <v>11</v>
      </c>
      <c r="H444" s="5">
        <v>24</v>
      </c>
      <c r="I444" s="5" t="s">
        <v>20</v>
      </c>
      <c r="J444" s="13" t="s">
        <v>68</v>
      </c>
    </row>
    <row r="445" spans="1:10" ht="20.25" customHeight="1" x14ac:dyDescent="0.25">
      <c r="A445" s="5" t="s">
        <v>663</v>
      </c>
      <c r="B445" s="5">
        <v>1</v>
      </c>
      <c r="C445" s="6">
        <v>46134</v>
      </c>
      <c r="D445" s="16">
        <v>46127</v>
      </c>
      <c r="E445" s="15" t="s">
        <v>15</v>
      </c>
      <c r="F445" s="5" t="s">
        <v>299</v>
      </c>
      <c r="G445" s="5" t="s">
        <v>11</v>
      </c>
      <c r="H445" s="5">
        <v>24</v>
      </c>
      <c r="I445" s="5" t="s">
        <v>20</v>
      </c>
      <c r="J445" s="13" t="s">
        <v>68</v>
      </c>
    </row>
    <row r="446" spans="1:10" ht="20.25" customHeight="1" x14ac:dyDescent="0.25">
      <c r="A446" s="5" t="s">
        <v>760</v>
      </c>
      <c r="B446" s="5">
        <v>1</v>
      </c>
      <c r="C446" s="6">
        <v>46134</v>
      </c>
      <c r="D446" s="16">
        <v>46131</v>
      </c>
      <c r="E446" s="15" t="s">
        <v>15</v>
      </c>
      <c r="F446" s="5" t="s">
        <v>299</v>
      </c>
      <c r="G446" s="5" t="s">
        <v>13</v>
      </c>
      <c r="H446" s="5">
        <v>3</v>
      </c>
      <c r="I446" s="5" t="s">
        <v>20</v>
      </c>
      <c r="J446" s="13" t="s">
        <v>68</v>
      </c>
    </row>
    <row r="447" spans="1:10" ht="20.25" customHeight="1" x14ac:dyDescent="0.25">
      <c r="A447" s="5" t="s">
        <v>659</v>
      </c>
      <c r="B447" s="5">
        <v>1</v>
      </c>
      <c r="C447" s="6">
        <v>46134</v>
      </c>
      <c r="D447" s="16">
        <v>46127</v>
      </c>
      <c r="E447" s="15" t="s">
        <v>15</v>
      </c>
      <c r="F447" s="5" t="s">
        <v>299</v>
      </c>
      <c r="G447" s="5" t="s">
        <v>11</v>
      </c>
      <c r="H447" s="5">
        <v>11</v>
      </c>
      <c r="I447" s="5" t="s">
        <v>20</v>
      </c>
      <c r="J447" s="13" t="s">
        <v>68</v>
      </c>
    </row>
    <row r="448" spans="1:10" ht="20.25" customHeight="1" x14ac:dyDescent="0.25">
      <c r="A448" s="5" t="s">
        <v>666</v>
      </c>
      <c r="B448" s="5">
        <v>1</v>
      </c>
      <c r="C448" s="6">
        <v>46134</v>
      </c>
      <c r="D448" s="16">
        <v>46127</v>
      </c>
      <c r="E448" s="15" t="s">
        <v>15</v>
      </c>
      <c r="F448" s="5" t="s">
        <v>299</v>
      </c>
      <c r="G448" s="5" t="s">
        <v>17</v>
      </c>
      <c r="H448" s="5">
        <v>3</v>
      </c>
      <c r="I448" s="5" t="s">
        <v>20</v>
      </c>
      <c r="J448" s="13" t="s">
        <v>68</v>
      </c>
    </row>
    <row r="449" spans="1:10" ht="20.25" customHeight="1" x14ac:dyDescent="0.25">
      <c r="A449" s="5" t="s">
        <v>761</v>
      </c>
      <c r="B449" s="5">
        <v>1</v>
      </c>
      <c r="C449" s="6">
        <v>46134</v>
      </c>
      <c r="D449" s="16">
        <v>46129</v>
      </c>
      <c r="E449" s="15" t="s">
        <v>15</v>
      </c>
      <c r="F449" s="5" t="s">
        <v>299</v>
      </c>
      <c r="G449" s="5" t="s">
        <v>12</v>
      </c>
      <c r="H449" s="5">
        <v>19</v>
      </c>
      <c r="I449" s="5" t="s">
        <v>20</v>
      </c>
      <c r="J449" s="13" t="s">
        <v>68</v>
      </c>
    </row>
    <row r="450" spans="1:10" ht="20.25" customHeight="1" x14ac:dyDescent="0.25">
      <c r="A450" s="5" t="s">
        <v>698</v>
      </c>
      <c r="B450" s="5">
        <v>1</v>
      </c>
      <c r="C450" s="6">
        <v>46134</v>
      </c>
      <c r="D450" s="16">
        <v>46128</v>
      </c>
      <c r="E450" s="15" t="s">
        <v>15</v>
      </c>
      <c r="F450" s="5" t="s">
        <v>299</v>
      </c>
      <c r="G450" s="5" t="s">
        <v>10</v>
      </c>
      <c r="H450" s="5">
        <v>39</v>
      </c>
      <c r="I450" s="5" t="s">
        <v>20</v>
      </c>
      <c r="J450" s="13" t="s">
        <v>68</v>
      </c>
    </row>
    <row r="451" spans="1:10" ht="20.25" customHeight="1" x14ac:dyDescent="0.25">
      <c r="A451" s="5" t="s">
        <v>695</v>
      </c>
      <c r="B451" s="5">
        <v>1</v>
      </c>
      <c r="C451" s="6">
        <v>46134</v>
      </c>
      <c r="D451" s="16">
        <v>46128</v>
      </c>
      <c r="E451" s="15" t="s">
        <v>15</v>
      </c>
      <c r="F451" s="5" t="s">
        <v>299</v>
      </c>
      <c r="G451" s="5" t="s">
        <v>10</v>
      </c>
      <c r="H451" s="5">
        <v>21</v>
      </c>
      <c r="I451" s="5" t="s">
        <v>20</v>
      </c>
      <c r="J451" s="13" t="s">
        <v>68</v>
      </c>
    </row>
    <row r="452" spans="1:10" ht="20.25" customHeight="1" x14ac:dyDescent="0.25">
      <c r="A452" s="5" t="s">
        <v>547</v>
      </c>
      <c r="B452" s="5">
        <v>1</v>
      </c>
      <c r="C452" s="6">
        <v>46134</v>
      </c>
      <c r="D452" s="16">
        <v>46124</v>
      </c>
      <c r="E452" s="15" t="s">
        <v>15</v>
      </c>
      <c r="F452" s="5" t="s">
        <v>299</v>
      </c>
      <c r="G452" s="5" t="s">
        <v>11</v>
      </c>
      <c r="H452" s="5">
        <v>2</v>
      </c>
      <c r="I452" s="5" t="s">
        <v>20</v>
      </c>
      <c r="J452" s="13" t="s">
        <v>68</v>
      </c>
    </row>
    <row r="453" spans="1:10" ht="20.25" customHeight="1" x14ac:dyDescent="0.25">
      <c r="A453" s="5" t="s">
        <v>617</v>
      </c>
      <c r="B453" s="5">
        <v>1</v>
      </c>
      <c r="C453" s="6">
        <v>46134</v>
      </c>
      <c r="D453" s="16">
        <v>46126</v>
      </c>
      <c r="E453" s="15" t="s">
        <v>15</v>
      </c>
      <c r="F453" s="5" t="s">
        <v>299</v>
      </c>
      <c r="G453" s="5" t="s">
        <v>17</v>
      </c>
      <c r="H453" s="5">
        <v>16</v>
      </c>
      <c r="I453" s="5" t="s">
        <v>20</v>
      </c>
      <c r="J453" s="13" t="s">
        <v>68</v>
      </c>
    </row>
    <row r="454" spans="1:10" ht="20.25" customHeight="1" x14ac:dyDescent="0.25">
      <c r="A454" s="5" t="s">
        <v>694</v>
      </c>
      <c r="B454" s="5">
        <v>1</v>
      </c>
      <c r="C454" s="6">
        <v>46134</v>
      </c>
      <c r="D454" s="16">
        <v>46128</v>
      </c>
      <c r="E454" s="15" t="s">
        <v>15</v>
      </c>
      <c r="F454" s="5" t="s">
        <v>299</v>
      </c>
      <c r="G454" s="5" t="s">
        <v>10</v>
      </c>
      <c r="H454" s="5">
        <v>9</v>
      </c>
      <c r="I454" s="5" t="s">
        <v>20</v>
      </c>
      <c r="J454" s="13" t="s">
        <v>68</v>
      </c>
    </row>
    <row r="455" spans="1:10" ht="20.25" customHeight="1" x14ac:dyDescent="0.25">
      <c r="A455" s="5" t="s">
        <v>699</v>
      </c>
      <c r="B455" s="5">
        <v>1</v>
      </c>
      <c r="C455" s="6">
        <v>46134</v>
      </c>
      <c r="D455" s="16">
        <v>46128</v>
      </c>
      <c r="E455" s="15" t="s">
        <v>15</v>
      </c>
      <c r="F455" s="5" t="s">
        <v>299</v>
      </c>
      <c r="G455" s="5" t="s">
        <v>10</v>
      </c>
      <c r="H455" s="5">
        <v>9</v>
      </c>
      <c r="I455" s="5" t="s">
        <v>20</v>
      </c>
      <c r="J455" s="13" t="s">
        <v>68</v>
      </c>
    </row>
    <row r="456" spans="1:10" ht="20.25" customHeight="1" x14ac:dyDescent="0.25">
      <c r="A456" s="5" t="s">
        <v>762</v>
      </c>
      <c r="B456" s="5">
        <v>1</v>
      </c>
      <c r="C456" s="6">
        <v>46134</v>
      </c>
      <c r="D456" s="16">
        <v>46129</v>
      </c>
      <c r="E456" s="15" t="s">
        <v>15</v>
      </c>
      <c r="F456" s="5" t="s">
        <v>299</v>
      </c>
      <c r="G456" s="5" t="s">
        <v>13</v>
      </c>
      <c r="H456" s="5">
        <v>2</v>
      </c>
      <c r="I456" s="5" t="s">
        <v>20</v>
      </c>
      <c r="J456" s="13" t="s">
        <v>68</v>
      </c>
    </row>
    <row r="457" spans="1:10" ht="20.25" customHeight="1" x14ac:dyDescent="0.25">
      <c r="A457" s="5" t="s">
        <v>665</v>
      </c>
      <c r="B457" s="5">
        <v>1</v>
      </c>
      <c r="C457" s="6">
        <v>46134</v>
      </c>
      <c r="D457" s="16">
        <v>46127</v>
      </c>
      <c r="E457" s="15" t="s">
        <v>15</v>
      </c>
      <c r="F457" s="5" t="s">
        <v>299</v>
      </c>
      <c r="G457" s="5" t="s">
        <v>11</v>
      </c>
      <c r="H457" s="5">
        <v>16</v>
      </c>
      <c r="I457" s="5" t="s">
        <v>20</v>
      </c>
      <c r="J457" s="13" t="s">
        <v>68</v>
      </c>
    </row>
    <row r="458" spans="1:10" ht="20.25" customHeight="1" x14ac:dyDescent="0.25">
      <c r="A458" s="5" t="s">
        <v>763</v>
      </c>
      <c r="B458" s="5">
        <v>1</v>
      </c>
      <c r="C458" s="6">
        <v>46134</v>
      </c>
      <c r="D458" s="16">
        <v>46131</v>
      </c>
      <c r="E458" s="15" t="s">
        <v>15</v>
      </c>
      <c r="F458" s="5" t="s">
        <v>299</v>
      </c>
      <c r="G458" s="5" t="s">
        <v>12</v>
      </c>
      <c r="H458" s="5">
        <v>37</v>
      </c>
      <c r="I458" s="5" t="s">
        <v>20</v>
      </c>
      <c r="J458" s="13" t="s">
        <v>68</v>
      </c>
    </row>
    <row r="459" spans="1:10" ht="20.25" customHeight="1" x14ac:dyDescent="0.25">
      <c r="A459" s="5" t="s">
        <v>658</v>
      </c>
      <c r="B459" s="5">
        <v>1</v>
      </c>
      <c r="C459" s="6">
        <v>46134</v>
      </c>
      <c r="D459" s="16">
        <v>46127</v>
      </c>
      <c r="E459" s="15" t="s">
        <v>15</v>
      </c>
      <c r="F459" s="5" t="s">
        <v>299</v>
      </c>
      <c r="G459" s="5" t="s">
        <v>10</v>
      </c>
      <c r="H459" s="5">
        <v>60</v>
      </c>
      <c r="I459" s="5" t="s">
        <v>20</v>
      </c>
      <c r="J459" s="13" t="s">
        <v>68</v>
      </c>
    </row>
    <row r="460" spans="1:10" ht="20.25" customHeight="1" x14ac:dyDescent="0.25">
      <c r="A460" s="5" t="s">
        <v>629</v>
      </c>
      <c r="B460" s="5">
        <v>1</v>
      </c>
      <c r="C460" s="6">
        <v>46134</v>
      </c>
      <c r="D460" s="16">
        <v>46126</v>
      </c>
      <c r="E460" s="15" t="s">
        <v>8</v>
      </c>
      <c r="F460" s="5" t="s">
        <v>89</v>
      </c>
      <c r="G460" s="5" t="s">
        <v>10</v>
      </c>
      <c r="H460" s="5">
        <v>15</v>
      </c>
      <c r="I460" s="5" t="s">
        <v>67</v>
      </c>
      <c r="J460" s="13" t="s">
        <v>73</v>
      </c>
    </row>
    <row r="461" spans="1:10" ht="20.25" customHeight="1" x14ac:dyDescent="0.25">
      <c r="A461" s="5" t="s">
        <v>558</v>
      </c>
      <c r="B461" s="5">
        <v>1</v>
      </c>
      <c r="C461" s="6">
        <v>46134</v>
      </c>
      <c r="D461" s="16">
        <v>46125</v>
      </c>
      <c r="E461" s="15" t="s">
        <v>8</v>
      </c>
      <c r="F461" s="5" t="s">
        <v>89</v>
      </c>
      <c r="G461" s="5" t="s">
        <v>13</v>
      </c>
      <c r="H461" s="5">
        <v>15</v>
      </c>
      <c r="I461" s="5" t="s">
        <v>67</v>
      </c>
      <c r="J461" s="13" t="s">
        <v>73</v>
      </c>
    </row>
    <row r="462" spans="1:10" ht="20.25" customHeight="1" x14ac:dyDescent="0.25">
      <c r="A462" s="5" t="s">
        <v>689</v>
      </c>
      <c r="B462" s="5">
        <v>1</v>
      </c>
      <c r="C462" s="6">
        <v>46134</v>
      </c>
      <c r="D462" s="16">
        <v>46128</v>
      </c>
      <c r="E462" s="15" t="s">
        <v>8</v>
      </c>
      <c r="F462" s="5" t="s">
        <v>89</v>
      </c>
      <c r="G462" s="5" t="s">
        <v>17</v>
      </c>
      <c r="H462" s="5">
        <v>9</v>
      </c>
      <c r="I462" s="5" t="s">
        <v>67</v>
      </c>
      <c r="J462" s="13" t="s">
        <v>73</v>
      </c>
    </row>
    <row r="463" spans="1:10" ht="20.25" customHeight="1" x14ac:dyDescent="0.25">
      <c r="A463" s="5" t="s">
        <v>607</v>
      </c>
      <c r="B463" s="5">
        <v>1</v>
      </c>
      <c r="C463" s="6">
        <v>46134</v>
      </c>
      <c r="D463" s="16">
        <v>46126</v>
      </c>
      <c r="E463" s="15" t="s">
        <v>8</v>
      </c>
      <c r="F463" s="5" t="s">
        <v>89</v>
      </c>
      <c r="G463" s="5" t="s">
        <v>10</v>
      </c>
      <c r="H463" s="5">
        <v>22</v>
      </c>
      <c r="I463" s="5" t="s">
        <v>67</v>
      </c>
      <c r="J463" s="13" t="s">
        <v>73</v>
      </c>
    </row>
    <row r="464" spans="1:10" ht="20.25" customHeight="1" x14ac:dyDescent="0.25">
      <c r="A464" s="5" t="s">
        <v>582</v>
      </c>
      <c r="B464" s="5">
        <v>1</v>
      </c>
      <c r="C464" s="6">
        <v>46134</v>
      </c>
      <c r="D464" s="16">
        <v>46125</v>
      </c>
      <c r="E464" s="15" t="s">
        <v>16</v>
      </c>
      <c r="F464" s="5" t="s">
        <v>645</v>
      </c>
      <c r="G464" s="5" t="s">
        <v>10</v>
      </c>
      <c r="H464" s="5">
        <v>5</v>
      </c>
      <c r="I464" t="s">
        <v>185</v>
      </c>
      <c r="J464" s="13" t="s">
        <v>48</v>
      </c>
    </row>
    <row r="465" spans="1:10" ht="20.25" customHeight="1" x14ac:dyDescent="0.25">
      <c r="A465" s="5" t="s">
        <v>592</v>
      </c>
      <c r="B465" s="5">
        <v>1</v>
      </c>
      <c r="C465" s="6">
        <v>46134</v>
      </c>
      <c r="D465" s="16">
        <v>46125</v>
      </c>
      <c r="E465" s="15" t="s">
        <v>16</v>
      </c>
      <c r="F465" s="5" t="s">
        <v>645</v>
      </c>
      <c r="G465" s="5" t="s">
        <v>10</v>
      </c>
      <c r="H465" s="5">
        <v>2</v>
      </c>
      <c r="I465" t="s">
        <v>185</v>
      </c>
      <c r="J465" s="13" t="s">
        <v>48</v>
      </c>
    </row>
    <row r="466" spans="1:10" ht="20.25" customHeight="1" x14ac:dyDescent="0.25">
      <c r="A466" s="5" t="s">
        <v>587</v>
      </c>
      <c r="B466" s="5">
        <v>1</v>
      </c>
      <c r="C466" s="6">
        <v>46134</v>
      </c>
      <c r="D466" s="16">
        <v>46125</v>
      </c>
      <c r="E466" s="15" t="s">
        <v>16</v>
      </c>
      <c r="F466" s="5" t="s">
        <v>646</v>
      </c>
      <c r="G466" s="5" t="s">
        <v>10</v>
      </c>
      <c r="H466" s="5">
        <v>5</v>
      </c>
      <c r="I466" t="s">
        <v>185</v>
      </c>
      <c r="J466" s="13" t="s">
        <v>48</v>
      </c>
    </row>
    <row r="467" spans="1:10" ht="20.25" customHeight="1" x14ac:dyDescent="0.25">
      <c r="A467" s="5" t="s">
        <v>622</v>
      </c>
      <c r="B467" s="5">
        <v>1</v>
      </c>
      <c r="C467" s="6">
        <v>46134</v>
      </c>
      <c r="D467" s="16">
        <v>46126</v>
      </c>
      <c r="E467" s="15" t="s">
        <v>16</v>
      </c>
      <c r="F467" s="5" t="s">
        <v>89</v>
      </c>
      <c r="G467" s="5" t="s">
        <v>10</v>
      </c>
      <c r="H467" s="5">
        <v>2</v>
      </c>
      <c r="I467" s="5" t="s">
        <v>67</v>
      </c>
      <c r="J467" s="13" t="s">
        <v>73</v>
      </c>
    </row>
    <row r="468" spans="1:10" ht="20.25" customHeight="1" x14ac:dyDescent="0.25">
      <c r="A468" s="5" t="s">
        <v>625</v>
      </c>
      <c r="B468" s="5">
        <v>1</v>
      </c>
      <c r="C468" s="6">
        <v>46134</v>
      </c>
      <c r="D468" s="16">
        <v>46126</v>
      </c>
      <c r="E468" s="15" t="s">
        <v>16</v>
      </c>
      <c r="F468" s="5" t="s">
        <v>643</v>
      </c>
      <c r="G468" s="5" t="s">
        <v>10</v>
      </c>
      <c r="H468" s="5">
        <v>3</v>
      </c>
      <c r="I468" s="5" t="s">
        <v>20</v>
      </c>
      <c r="J468" s="13" t="s">
        <v>80</v>
      </c>
    </row>
    <row r="469" spans="1:10" ht="20.25" customHeight="1" x14ac:dyDescent="0.25">
      <c r="A469" s="5" t="s">
        <v>628</v>
      </c>
      <c r="B469" s="5">
        <v>1</v>
      </c>
      <c r="C469" s="6">
        <v>46134</v>
      </c>
      <c r="D469" s="16">
        <v>46126</v>
      </c>
      <c r="E469" s="15" t="s">
        <v>16</v>
      </c>
      <c r="F469" s="5" t="s">
        <v>89</v>
      </c>
      <c r="G469" s="5" t="s">
        <v>10</v>
      </c>
      <c r="H469" s="5">
        <v>3</v>
      </c>
      <c r="I469" s="5" t="s">
        <v>67</v>
      </c>
      <c r="J469" s="13" t="s">
        <v>73</v>
      </c>
    </row>
    <row r="470" spans="1:10" ht="20.25" customHeight="1" x14ac:dyDescent="0.25">
      <c r="A470" s="5" t="s">
        <v>634</v>
      </c>
      <c r="B470" s="5">
        <v>1</v>
      </c>
      <c r="C470" s="6">
        <v>46134</v>
      </c>
      <c r="D470" s="16">
        <v>46126</v>
      </c>
      <c r="E470" s="15" t="s">
        <v>16</v>
      </c>
      <c r="F470" s="5" t="s">
        <v>89</v>
      </c>
      <c r="G470" s="5" t="s">
        <v>10</v>
      </c>
      <c r="H470" s="5">
        <v>16</v>
      </c>
      <c r="I470" s="5" t="s">
        <v>67</v>
      </c>
      <c r="J470" s="13" t="s">
        <v>73</v>
      </c>
    </row>
    <row r="471" spans="1:10" ht="20.25" customHeight="1" x14ac:dyDescent="0.25">
      <c r="A471" s="5" t="s">
        <v>764</v>
      </c>
      <c r="B471" s="5">
        <v>1</v>
      </c>
      <c r="C471" s="6">
        <v>46134</v>
      </c>
      <c r="D471" s="16">
        <v>46126</v>
      </c>
      <c r="E471" s="15" t="s">
        <v>16</v>
      </c>
      <c r="F471" s="5" t="s">
        <v>89</v>
      </c>
      <c r="G471" s="5" t="s">
        <v>10</v>
      </c>
      <c r="H471" s="5">
        <v>13</v>
      </c>
      <c r="I471" s="5" t="s">
        <v>67</v>
      </c>
      <c r="J471" s="13" t="s">
        <v>73</v>
      </c>
    </row>
    <row r="472" spans="1:10" ht="20.25" customHeight="1" x14ac:dyDescent="0.25">
      <c r="C472" s="6"/>
      <c r="D472" s="16"/>
      <c r="E472" s="15"/>
    </row>
    <row r="473" spans="1:10" ht="20.25" customHeight="1" x14ac:dyDescent="0.25">
      <c r="A473" s="5" t="s">
        <v>766</v>
      </c>
      <c r="B473" s="5">
        <v>1</v>
      </c>
      <c r="C473" s="6">
        <v>46135</v>
      </c>
      <c r="D473" s="16">
        <v>46131</v>
      </c>
      <c r="E473" s="15" t="s">
        <v>15</v>
      </c>
      <c r="F473" s="5" t="s">
        <v>299</v>
      </c>
      <c r="G473" s="5" t="s">
        <v>13</v>
      </c>
      <c r="H473" s="5">
        <v>5</v>
      </c>
      <c r="I473" s="5" t="s">
        <v>20</v>
      </c>
      <c r="J473" s="13" t="s">
        <v>68</v>
      </c>
    </row>
    <row r="474" spans="1:10" ht="20.25" customHeight="1" x14ac:dyDescent="0.25">
      <c r="A474" s="5" t="s">
        <v>767</v>
      </c>
      <c r="B474" s="5">
        <v>1</v>
      </c>
      <c r="C474" s="6">
        <v>46135</v>
      </c>
      <c r="D474" s="16">
        <v>46131</v>
      </c>
      <c r="E474" s="15" t="s">
        <v>15</v>
      </c>
      <c r="F474" s="5" t="s">
        <v>299</v>
      </c>
      <c r="G474" s="5" t="s">
        <v>13</v>
      </c>
      <c r="H474" s="5">
        <v>27</v>
      </c>
      <c r="I474" s="5" t="s">
        <v>20</v>
      </c>
      <c r="J474" s="13" t="s">
        <v>68</v>
      </c>
    </row>
    <row r="475" spans="1:10" ht="20.25" customHeight="1" x14ac:dyDescent="0.25">
      <c r="A475" s="5" t="s">
        <v>762</v>
      </c>
      <c r="B475" s="5">
        <v>1</v>
      </c>
      <c r="C475" s="6">
        <v>46135</v>
      </c>
      <c r="D475" s="16">
        <v>46129</v>
      </c>
      <c r="E475" s="15" t="s">
        <v>15</v>
      </c>
      <c r="F475" s="5" t="s">
        <v>299</v>
      </c>
      <c r="G475" s="5" t="s">
        <v>13</v>
      </c>
      <c r="H475" s="5">
        <v>27</v>
      </c>
      <c r="I475" s="5" t="s">
        <v>20</v>
      </c>
      <c r="J475" s="13" t="s">
        <v>68</v>
      </c>
    </row>
    <row r="476" spans="1:10" ht="20.25" customHeight="1" x14ac:dyDescent="0.25">
      <c r="A476" s="5" t="s">
        <v>769</v>
      </c>
      <c r="B476" s="5">
        <v>1</v>
      </c>
      <c r="C476" s="6">
        <v>46135</v>
      </c>
      <c r="D476" s="16">
        <v>46129</v>
      </c>
      <c r="E476" s="15" t="s">
        <v>15</v>
      </c>
      <c r="F476" s="5" t="s">
        <v>299</v>
      </c>
      <c r="G476" s="5" t="s">
        <v>13</v>
      </c>
      <c r="H476" s="5">
        <v>17</v>
      </c>
      <c r="I476" s="5" t="s">
        <v>20</v>
      </c>
      <c r="J476" s="13" t="s">
        <v>68</v>
      </c>
    </row>
    <row r="477" spans="1:10" ht="20.25" customHeight="1" x14ac:dyDescent="0.25">
      <c r="A477" s="5" t="s">
        <v>760</v>
      </c>
      <c r="B477" s="5">
        <v>1</v>
      </c>
      <c r="C477" s="6">
        <v>46135</v>
      </c>
      <c r="D477" s="16">
        <v>46131</v>
      </c>
      <c r="E477" s="15" t="s">
        <v>15</v>
      </c>
      <c r="F477" s="5" t="s">
        <v>299</v>
      </c>
      <c r="G477" s="5" t="s">
        <v>13</v>
      </c>
      <c r="H477" s="5">
        <v>17</v>
      </c>
      <c r="I477" s="5" t="s">
        <v>20</v>
      </c>
      <c r="J477" s="13" t="s">
        <v>68</v>
      </c>
    </row>
    <row r="478" spans="1:10" ht="20.25" customHeight="1" x14ac:dyDescent="0.25">
      <c r="A478" s="5" t="s">
        <v>664</v>
      </c>
      <c r="B478" s="5">
        <v>1</v>
      </c>
      <c r="C478" s="6">
        <v>46135</v>
      </c>
      <c r="D478" s="16">
        <v>46127</v>
      </c>
      <c r="E478" s="15" t="s">
        <v>15</v>
      </c>
      <c r="F478" s="5" t="s">
        <v>299</v>
      </c>
      <c r="G478" s="5" t="s">
        <v>10</v>
      </c>
      <c r="H478" s="5">
        <v>34</v>
      </c>
      <c r="I478" s="5" t="s">
        <v>20</v>
      </c>
      <c r="J478" s="13" t="s">
        <v>68</v>
      </c>
    </row>
    <row r="479" spans="1:10" ht="20.25" customHeight="1" x14ac:dyDescent="0.25">
      <c r="A479" s="5" t="s">
        <v>700</v>
      </c>
      <c r="B479" s="5">
        <v>1</v>
      </c>
      <c r="C479" s="6">
        <v>46135</v>
      </c>
      <c r="D479" s="16">
        <v>46128</v>
      </c>
      <c r="E479" s="15" t="s">
        <v>15</v>
      </c>
      <c r="F479" s="5" t="s">
        <v>299</v>
      </c>
      <c r="G479" s="5" t="s">
        <v>17</v>
      </c>
      <c r="H479" s="5">
        <v>13</v>
      </c>
      <c r="I479" s="5" t="s">
        <v>20</v>
      </c>
      <c r="J479" s="13" t="s">
        <v>68</v>
      </c>
    </row>
    <row r="480" spans="1:10" ht="20.25" customHeight="1" x14ac:dyDescent="0.25">
      <c r="A480" s="5" t="s">
        <v>696</v>
      </c>
      <c r="B480" s="5">
        <v>1</v>
      </c>
      <c r="C480" s="6">
        <v>46135</v>
      </c>
      <c r="D480" s="16">
        <v>46130</v>
      </c>
      <c r="E480" s="15" t="s">
        <v>15</v>
      </c>
      <c r="F480" s="5" t="s">
        <v>299</v>
      </c>
      <c r="G480" s="5" t="s">
        <v>11</v>
      </c>
      <c r="H480" s="5">
        <v>15</v>
      </c>
      <c r="I480" s="5" t="s">
        <v>20</v>
      </c>
      <c r="J480" s="13" t="s">
        <v>68</v>
      </c>
    </row>
    <row r="481" spans="1:10" ht="20.25" customHeight="1" x14ac:dyDescent="0.25">
      <c r="A481" s="5" t="s">
        <v>771</v>
      </c>
      <c r="B481" s="5">
        <v>1</v>
      </c>
      <c r="C481" s="6">
        <v>46135</v>
      </c>
      <c r="D481" s="16">
        <v>46129</v>
      </c>
      <c r="E481" s="15" t="s">
        <v>15</v>
      </c>
      <c r="F481" s="5" t="s">
        <v>299</v>
      </c>
      <c r="G481" s="5" t="s">
        <v>10</v>
      </c>
      <c r="H481" s="5">
        <v>28</v>
      </c>
      <c r="I481" s="5" t="s">
        <v>20</v>
      </c>
      <c r="J481" s="13" t="s">
        <v>68</v>
      </c>
    </row>
    <row r="482" spans="1:10" ht="20.25" customHeight="1" x14ac:dyDescent="0.25">
      <c r="A482" s="5" t="s">
        <v>697</v>
      </c>
      <c r="B482" s="5">
        <v>1</v>
      </c>
      <c r="C482" s="6">
        <v>46135</v>
      </c>
      <c r="D482" s="16">
        <v>46128</v>
      </c>
      <c r="E482" s="15" t="s">
        <v>15</v>
      </c>
      <c r="F482" s="5" t="s">
        <v>299</v>
      </c>
      <c r="G482" s="5" t="s">
        <v>11</v>
      </c>
      <c r="H482" s="5">
        <v>39</v>
      </c>
      <c r="I482" s="5" t="s">
        <v>20</v>
      </c>
      <c r="J482" s="13" t="s">
        <v>68</v>
      </c>
    </row>
    <row r="483" spans="1:10" ht="20.25" customHeight="1" x14ac:dyDescent="0.25">
      <c r="A483" s="5" t="s">
        <v>772</v>
      </c>
      <c r="B483" s="5">
        <v>1</v>
      </c>
      <c r="C483" s="6">
        <v>46135</v>
      </c>
      <c r="D483" s="16">
        <v>46131</v>
      </c>
      <c r="E483" s="15" t="s">
        <v>15</v>
      </c>
      <c r="F483" s="5" t="s">
        <v>299</v>
      </c>
      <c r="G483" s="5" t="s">
        <v>10</v>
      </c>
      <c r="H483" s="5">
        <v>11</v>
      </c>
      <c r="I483" s="5" t="s">
        <v>20</v>
      </c>
      <c r="J483" s="13" t="s">
        <v>68</v>
      </c>
    </row>
    <row r="484" spans="1:10" ht="20.25" customHeight="1" x14ac:dyDescent="0.25">
      <c r="A484" s="5" t="s">
        <v>773</v>
      </c>
      <c r="B484" s="5">
        <v>1</v>
      </c>
      <c r="C484" s="6">
        <v>46135</v>
      </c>
      <c r="D484" s="16">
        <v>46129</v>
      </c>
      <c r="E484" s="15" t="s">
        <v>15</v>
      </c>
      <c r="F484" s="5" t="s">
        <v>299</v>
      </c>
      <c r="G484" s="5" t="s">
        <v>10</v>
      </c>
      <c r="H484" s="5">
        <v>36</v>
      </c>
      <c r="I484" s="5" t="s">
        <v>20</v>
      </c>
      <c r="J484" s="13" t="s">
        <v>68</v>
      </c>
    </row>
    <row r="485" spans="1:10" ht="20.25" customHeight="1" x14ac:dyDescent="0.25">
      <c r="A485" s="5" t="s">
        <v>702</v>
      </c>
      <c r="B485" s="5">
        <v>1</v>
      </c>
      <c r="C485" s="6">
        <v>46135</v>
      </c>
      <c r="D485" s="16">
        <v>46128</v>
      </c>
      <c r="E485" s="15" t="s">
        <v>15</v>
      </c>
      <c r="F485" s="5" t="s">
        <v>299</v>
      </c>
      <c r="G485" s="5" t="s">
        <v>11</v>
      </c>
      <c r="H485" s="5">
        <v>37</v>
      </c>
      <c r="I485" s="5" t="s">
        <v>20</v>
      </c>
      <c r="J485" s="13" t="s">
        <v>68</v>
      </c>
    </row>
    <row r="486" spans="1:10" ht="20.25" customHeight="1" x14ac:dyDescent="0.25">
      <c r="A486" s="5" t="s">
        <v>701</v>
      </c>
      <c r="B486" s="5">
        <v>1</v>
      </c>
      <c r="C486" s="6">
        <v>46135</v>
      </c>
      <c r="D486" s="16">
        <v>46128</v>
      </c>
      <c r="E486" s="15" t="s">
        <v>15</v>
      </c>
      <c r="F486" s="5" t="s">
        <v>299</v>
      </c>
      <c r="G486" s="5" t="s">
        <v>10</v>
      </c>
      <c r="H486" s="5">
        <v>27</v>
      </c>
      <c r="I486" s="5" t="s">
        <v>20</v>
      </c>
      <c r="J486" s="13" t="s">
        <v>68</v>
      </c>
    </row>
    <row r="487" spans="1:10" ht="20.25" customHeight="1" x14ac:dyDescent="0.25">
      <c r="A487" s="5" t="s">
        <v>774</v>
      </c>
      <c r="B487" s="5">
        <v>1</v>
      </c>
      <c r="C487" s="6">
        <v>46135</v>
      </c>
      <c r="D487" s="16">
        <v>46129</v>
      </c>
      <c r="E487" s="15" t="s">
        <v>15</v>
      </c>
      <c r="F487" s="5" t="s">
        <v>299</v>
      </c>
      <c r="G487" s="5" t="s">
        <v>17</v>
      </c>
      <c r="H487" s="5">
        <v>10</v>
      </c>
      <c r="I487" s="5" t="s">
        <v>20</v>
      </c>
      <c r="J487" s="13" t="s">
        <v>68</v>
      </c>
    </row>
    <row r="488" spans="1:10" ht="20.25" customHeight="1" x14ac:dyDescent="0.25">
      <c r="A488" s="5" t="s">
        <v>775</v>
      </c>
      <c r="B488" s="5">
        <v>1</v>
      </c>
      <c r="C488" s="6">
        <v>46135</v>
      </c>
      <c r="D488" s="16">
        <v>46129</v>
      </c>
      <c r="E488" s="15" t="s">
        <v>15</v>
      </c>
      <c r="F488" s="5" t="s">
        <v>299</v>
      </c>
      <c r="G488" s="5" t="s">
        <v>11</v>
      </c>
      <c r="H488" s="5">
        <v>26</v>
      </c>
      <c r="I488" s="5" t="s">
        <v>20</v>
      </c>
      <c r="J488" s="13" t="s">
        <v>68</v>
      </c>
    </row>
    <row r="489" spans="1:10" ht="20.25" customHeight="1" x14ac:dyDescent="0.25">
      <c r="A489" s="5" t="s">
        <v>776</v>
      </c>
      <c r="B489" s="5">
        <v>1</v>
      </c>
      <c r="C489" s="6">
        <v>46135</v>
      </c>
      <c r="D489" s="16">
        <v>46129</v>
      </c>
      <c r="E489" s="15" t="s">
        <v>15</v>
      </c>
      <c r="F489" s="5" t="s">
        <v>299</v>
      </c>
      <c r="G489" s="5" t="s">
        <v>17</v>
      </c>
      <c r="H489" s="5">
        <v>14</v>
      </c>
      <c r="I489" s="5" t="s">
        <v>20</v>
      </c>
      <c r="J489" s="13" t="s">
        <v>68</v>
      </c>
    </row>
    <row r="490" spans="1:10" ht="20.25" customHeight="1" x14ac:dyDescent="0.25">
      <c r="A490" s="5" t="s">
        <v>770</v>
      </c>
      <c r="B490" s="5">
        <v>1</v>
      </c>
      <c r="C490" s="6">
        <v>46135</v>
      </c>
      <c r="D490" s="16">
        <v>46131</v>
      </c>
      <c r="E490" s="15" t="s">
        <v>15</v>
      </c>
      <c r="F490" s="5" t="s">
        <v>299</v>
      </c>
      <c r="G490" s="5" t="s">
        <v>17</v>
      </c>
      <c r="H490" s="5">
        <v>30</v>
      </c>
      <c r="I490" s="5" t="s">
        <v>20</v>
      </c>
      <c r="J490" s="13" t="s">
        <v>68</v>
      </c>
    </row>
    <row r="491" spans="1:10" ht="20.25" customHeight="1" x14ac:dyDescent="0.25">
      <c r="A491" s="5" t="s">
        <v>777</v>
      </c>
      <c r="B491" s="5">
        <v>1</v>
      </c>
      <c r="C491" s="6">
        <v>46135</v>
      </c>
      <c r="D491" s="16">
        <v>46129</v>
      </c>
      <c r="E491" s="15" t="s">
        <v>15</v>
      </c>
      <c r="F491" s="5" t="s">
        <v>299</v>
      </c>
      <c r="G491" s="5" t="s">
        <v>10</v>
      </c>
      <c r="H491" s="5">
        <v>6</v>
      </c>
      <c r="I491" s="5" t="s">
        <v>20</v>
      </c>
      <c r="J491" s="13" t="s">
        <v>68</v>
      </c>
    </row>
    <row r="492" spans="1:10" ht="20.25" customHeight="1" x14ac:dyDescent="0.25">
      <c r="C492" s="6"/>
      <c r="D492" s="16"/>
      <c r="E492" s="15"/>
    </row>
    <row r="493" spans="1:10" ht="20.25" customHeight="1" x14ac:dyDescent="0.25">
      <c r="A493" s="100" t="s">
        <v>325</v>
      </c>
      <c r="C493" s="6"/>
      <c r="D493" s="6"/>
    </row>
    <row r="494" spans="1:10" ht="20.25" customHeight="1" x14ac:dyDescent="0.25">
      <c r="A494" s="100" t="s">
        <v>326</v>
      </c>
      <c r="C494" s="6"/>
      <c r="D494" s="6"/>
    </row>
    <row r="495" spans="1:10" ht="20.25" customHeight="1" x14ac:dyDescent="0.25">
      <c r="A495" s="100" t="s">
        <v>327</v>
      </c>
      <c r="C495" s="6"/>
      <c r="D495" s="6"/>
    </row>
    <row r="496" spans="1:10" ht="20.25" customHeight="1" x14ac:dyDescent="0.25">
      <c r="A496" s="100" t="s">
        <v>328</v>
      </c>
      <c r="C496" s="6"/>
      <c r="D496" s="6"/>
    </row>
    <row r="497" spans="1:10" ht="20.25" customHeight="1" x14ac:dyDescent="0.25">
      <c r="A497" s="100" t="s">
        <v>329</v>
      </c>
      <c r="C497" s="6"/>
      <c r="D497" s="6"/>
    </row>
    <row r="498" spans="1:10" ht="20.25" customHeight="1" x14ac:dyDescent="0.25">
      <c r="A498" s="100" t="s">
        <v>330</v>
      </c>
      <c r="C498" s="6"/>
      <c r="D498" s="6"/>
    </row>
    <row r="499" spans="1:10" ht="20.25" customHeight="1" x14ac:dyDescent="0.25">
      <c r="A499" s="100" t="s">
        <v>331</v>
      </c>
      <c r="C499" s="6"/>
      <c r="D499" s="6"/>
    </row>
    <row r="500" spans="1:10" ht="20.25" customHeight="1" x14ac:dyDescent="0.25">
      <c r="A500" s="100" t="s">
        <v>332</v>
      </c>
      <c r="C500" s="6"/>
      <c r="D500" s="6"/>
    </row>
    <row r="501" spans="1:10" ht="20.25" customHeight="1" x14ac:dyDescent="0.25">
      <c r="A501" s="100" t="s">
        <v>333</v>
      </c>
      <c r="C501" s="6"/>
      <c r="D501" s="6"/>
    </row>
    <row r="502" spans="1:10" ht="20.25" customHeight="1" x14ac:dyDescent="0.25">
      <c r="A502" s="100" t="s">
        <v>357</v>
      </c>
      <c r="C502" s="6"/>
      <c r="D502" s="6"/>
    </row>
    <row r="503" spans="1:10" ht="20.25" customHeight="1" x14ac:dyDescent="0.25">
      <c r="A503" s="5" t="s">
        <v>358</v>
      </c>
      <c r="B503" s="5">
        <v>1</v>
      </c>
      <c r="C503" s="6">
        <v>46120</v>
      </c>
      <c r="D503" s="6">
        <v>46111</v>
      </c>
      <c r="E503" s="5" t="s">
        <v>15</v>
      </c>
      <c r="F503" s="5" t="s">
        <v>299</v>
      </c>
      <c r="G503" s="5" t="s">
        <v>10</v>
      </c>
      <c r="H503" s="5">
        <v>30</v>
      </c>
      <c r="I503" s="5" t="s">
        <v>20</v>
      </c>
      <c r="J503" s="13" t="s">
        <v>68</v>
      </c>
    </row>
    <row r="504" spans="1:10" ht="20.25" customHeight="1" x14ac:dyDescent="0.25">
      <c r="A504" s="5" t="s">
        <v>332</v>
      </c>
      <c r="B504" s="5">
        <v>1</v>
      </c>
      <c r="C504" s="6">
        <v>46120</v>
      </c>
      <c r="D504" s="6">
        <v>46111</v>
      </c>
      <c r="E504" s="5" t="s">
        <v>15</v>
      </c>
      <c r="F504" s="5" t="s">
        <v>299</v>
      </c>
      <c r="G504" s="5" t="s">
        <v>10</v>
      </c>
      <c r="H504" s="5">
        <v>30</v>
      </c>
      <c r="I504" s="5" t="s">
        <v>20</v>
      </c>
      <c r="J504" s="13" t="s">
        <v>68</v>
      </c>
    </row>
    <row r="505" spans="1:10" ht="20.25" customHeight="1" x14ac:dyDescent="0.25">
      <c r="A505" s="5" t="s">
        <v>381</v>
      </c>
      <c r="B505" s="5">
        <v>1</v>
      </c>
      <c r="C505" s="6">
        <v>46120</v>
      </c>
      <c r="D505" s="6">
        <v>46111</v>
      </c>
      <c r="E505" s="5" t="s">
        <v>15</v>
      </c>
      <c r="F505" s="5" t="s">
        <v>299</v>
      </c>
      <c r="G505" s="5" t="s">
        <v>10</v>
      </c>
      <c r="H505" s="5">
        <v>29</v>
      </c>
      <c r="I505" s="5" t="s">
        <v>20</v>
      </c>
      <c r="J505" s="13" t="s">
        <v>68</v>
      </c>
    </row>
    <row r="506" spans="1:10" ht="20.25" customHeight="1" x14ac:dyDescent="0.25">
      <c r="A506" s="5" t="s">
        <v>380</v>
      </c>
      <c r="B506" s="5">
        <v>1</v>
      </c>
      <c r="C506" s="6">
        <v>46120</v>
      </c>
      <c r="D506" s="6">
        <v>46111</v>
      </c>
      <c r="E506" s="5" t="s">
        <v>15</v>
      </c>
      <c r="F506" s="5" t="s">
        <v>299</v>
      </c>
      <c r="G506" s="5" t="s">
        <v>10</v>
      </c>
      <c r="H506" s="5">
        <v>20</v>
      </c>
      <c r="I506" s="5" t="s">
        <v>20</v>
      </c>
      <c r="J506" s="13" t="s">
        <v>68</v>
      </c>
    </row>
    <row r="507" spans="1:10" ht="20.25" customHeight="1" x14ac:dyDescent="0.25">
      <c r="A507" s="5" t="s">
        <v>371</v>
      </c>
      <c r="B507" s="5">
        <v>1</v>
      </c>
      <c r="C507" s="6">
        <v>46120</v>
      </c>
      <c r="D507" s="6">
        <v>46113</v>
      </c>
      <c r="E507" s="5" t="s">
        <v>15</v>
      </c>
      <c r="F507" s="5" t="s">
        <v>359</v>
      </c>
      <c r="G507" s="5" t="s">
        <v>10</v>
      </c>
      <c r="H507" s="5">
        <v>33</v>
      </c>
      <c r="I507" s="5" t="s">
        <v>20</v>
      </c>
      <c r="J507" s="13" t="s">
        <v>68</v>
      </c>
    </row>
    <row r="508" spans="1:10" ht="20.25" customHeight="1" x14ac:dyDescent="0.25">
      <c r="A508" s="5" t="s">
        <v>365</v>
      </c>
      <c r="B508" s="5">
        <v>1</v>
      </c>
      <c r="C508" s="6">
        <v>46120</v>
      </c>
      <c r="D508" s="6">
        <v>46113</v>
      </c>
      <c r="E508" s="5" t="s">
        <v>15</v>
      </c>
      <c r="F508" s="5" t="s">
        <v>359</v>
      </c>
      <c r="G508" s="5" t="s">
        <v>10</v>
      </c>
      <c r="H508" s="5">
        <v>27</v>
      </c>
      <c r="I508" s="5" t="s">
        <v>20</v>
      </c>
      <c r="J508" s="13" t="s">
        <v>68</v>
      </c>
    </row>
    <row r="509" spans="1:10" ht="20.25" customHeight="1" x14ac:dyDescent="0.25">
      <c r="A509" s="5" t="s">
        <v>366</v>
      </c>
      <c r="B509" s="5">
        <v>1</v>
      </c>
      <c r="C509" s="6">
        <v>46120</v>
      </c>
      <c r="D509" s="6">
        <v>46113</v>
      </c>
      <c r="E509" s="5" t="s">
        <v>15</v>
      </c>
      <c r="F509" s="5" t="s">
        <v>359</v>
      </c>
      <c r="G509" s="5" t="s">
        <v>10</v>
      </c>
      <c r="H509" s="5">
        <v>12</v>
      </c>
      <c r="I509" s="5" t="s">
        <v>20</v>
      </c>
      <c r="J509" s="13" t="s">
        <v>68</v>
      </c>
    </row>
    <row r="510" spans="1:10" ht="20.25" customHeight="1" x14ac:dyDescent="0.25">
      <c r="A510" s="5" t="s">
        <v>384</v>
      </c>
      <c r="B510" s="5">
        <v>1</v>
      </c>
      <c r="C510" s="6">
        <v>46120</v>
      </c>
      <c r="D510" s="6">
        <v>46112</v>
      </c>
      <c r="E510" s="5" t="s">
        <v>15</v>
      </c>
      <c r="F510" s="5" t="s">
        <v>367</v>
      </c>
      <c r="G510" s="5" t="s">
        <v>10</v>
      </c>
      <c r="H510" s="5">
        <v>29</v>
      </c>
      <c r="I510" s="5" t="s">
        <v>20</v>
      </c>
      <c r="J510" s="13" t="s">
        <v>68</v>
      </c>
    </row>
    <row r="511" spans="1:10" ht="20.25" customHeight="1" x14ac:dyDescent="0.25">
      <c r="A511" s="5" t="s">
        <v>383</v>
      </c>
      <c r="B511" s="5">
        <v>1</v>
      </c>
      <c r="C511" s="6">
        <v>46120</v>
      </c>
      <c r="D511" s="6">
        <v>46112</v>
      </c>
      <c r="E511" s="5" t="s">
        <v>15</v>
      </c>
      <c r="F511" s="5" t="s">
        <v>367</v>
      </c>
      <c r="G511" s="5" t="s">
        <v>10</v>
      </c>
      <c r="H511" s="5">
        <v>17</v>
      </c>
      <c r="I511" s="5" t="s">
        <v>20</v>
      </c>
      <c r="J511" s="13" t="s">
        <v>68</v>
      </c>
    </row>
    <row r="512" spans="1:10" ht="20.25" customHeight="1" x14ac:dyDescent="0.25">
      <c r="A512" s="5" t="s">
        <v>385</v>
      </c>
      <c r="B512" s="5">
        <v>1</v>
      </c>
      <c r="C512" s="6">
        <v>46120</v>
      </c>
      <c r="D512" s="6">
        <v>46112</v>
      </c>
      <c r="E512" s="5" t="s">
        <v>15</v>
      </c>
      <c r="F512" s="5" t="s">
        <v>367</v>
      </c>
      <c r="G512" s="5" t="s">
        <v>10</v>
      </c>
      <c r="H512" s="5">
        <v>30</v>
      </c>
      <c r="I512" s="5" t="s">
        <v>20</v>
      </c>
      <c r="J512" s="13" t="s">
        <v>68</v>
      </c>
    </row>
    <row r="513" spans="1:10" ht="20.25" customHeight="1" x14ac:dyDescent="0.25">
      <c r="A513" s="5" t="s">
        <v>368</v>
      </c>
      <c r="B513" s="5">
        <v>1</v>
      </c>
      <c r="C513" s="6">
        <v>46120</v>
      </c>
      <c r="D513" s="6">
        <v>46114</v>
      </c>
      <c r="E513" s="5" t="s">
        <v>15</v>
      </c>
      <c r="F513" s="5" t="s">
        <v>369</v>
      </c>
      <c r="G513" s="5" t="s">
        <v>10</v>
      </c>
      <c r="H513" s="5">
        <v>16</v>
      </c>
      <c r="I513" s="5" t="s">
        <v>20</v>
      </c>
      <c r="J513" s="13" t="s">
        <v>68</v>
      </c>
    </row>
    <row r="514" spans="1:10" ht="20.25" customHeight="1" x14ac:dyDescent="0.25">
      <c r="A514" s="5" t="s">
        <v>370</v>
      </c>
      <c r="B514" s="5">
        <v>1</v>
      </c>
      <c r="C514" s="6">
        <v>46120</v>
      </c>
      <c r="D514" s="6">
        <v>46116</v>
      </c>
      <c r="E514" s="5" t="s">
        <v>15</v>
      </c>
      <c r="F514" s="5" t="s">
        <v>369</v>
      </c>
      <c r="G514" s="5" t="s">
        <v>10</v>
      </c>
      <c r="H514" s="5">
        <v>6</v>
      </c>
      <c r="I514" s="5" t="s">
        <v>20</v>
      </c>
      <c r="J514" s="13" t="s">
        <v>68</v>
      </c>
    </row>
    <row r="515" spans="1:10" ht="20.25" customHeight="1" x14ac:dyDescent="0.25">
      <c r="A515" s="5" t="s">
        <v>470</v>
      </c>
      <c r="B515" s="5">
        <v>1</v>
      </c>
      <c r="C515" s="6">
        <v>46123</v>
      </c>
      <c r="D515" s="6">
        <v>46113</v>
      </c>
      <c r="E515" s="5" t="s">
        <v>16</v>
      </c>
      <c r="F515" s="5" t="s">
        <v>342</v>
      </c>
      <c r="G515" s="5" t="s">
        <v>17</v>
      </c>
      <c r="H515" s="5">
        <v>8</v>
      </c>
      <c r="I515" s="5" t="s">
        <v>22</v>
      </c>
      <c r="J515" s="13" t="s">
        <v>72</v>
      </c>
    </row>
    <row r="516" spans="1:10" ht="20.25" customHeight="1" x14ac:dyDescent="0.25">
      <c r="A516" s="5" t="s">
        <v>768</v>
      </c>
    </row>
    <row r="517" spans="1:10" ht="20.25" customHeight="1" x14ac:dyDescent="0.25">
      <c r="A517" s="100" t="s">
        <v>605</v>
      </c>
    </row>
    <row r="518" spans="1:10" ht="20.25" customHeight="1" x14ac:dyDescent="0.25">
      <c r="A518" s="100" t="s">
        <v>724</v>
      </c>
    </row>
    <row r="519" spans="1:10" ht="20.25" customHeight="1" x14ac:dyDescent="0.25">
      <c r="A519" s="5" t="s">
        <v>720</v>
      </c>
      <c r="B519" s="5">
        <v>1</v>
      </c>
      <c r="C519" s="6">
        <v>46136</v>
      </c>
      <c r="D519" s="16">
        <v>46128</v>
      </c>
      <c r="E519" s="15" t="s">
        <v>15</v>
      </c>
      <c r="F519" s="5" t="s">
        <v>645</v>
      </c>
      <c r="G519" s="5" t="s">
        <v>10</v>
      </c>
      <c r="H519" s="5">
        <v>6</v>
      </c>
      <c r="I519" t="s">
        <v>185</v>
      </c>
      <c r="J519" s="13" t="s">
        <v>48</v>
      </c>
    </row>
    <row r="520" spans="1:10" ht="20.25" customHeight="1" x14ac:dyDescent="0.25">
      <c r="A520" s="5" t="s">
        <v>706</v>
      </c>
      <c r="B520" s="5">
        <v>1</v>
      </c>
      <c r="C520" s="6">
        <v>46136</v>
      </c>
      <c r="D520" s="16">
        <v>46128</v>
      </c>
      <c r="E520" s="15" t="s">
        <v>15</v>
      </c>
      <c r="F520" s="5" t="s">
        <v>645</v>
      </c>
      <c r="G520" s="5" t="s">
        <v>10</v>
      </c>
      <c r="H520" s="5">
        <v>2</v>
      </c>
      <c r="I520" t="s">
        <v>185</v>
      </c>
      <c r="J520" s="13" t="s">
        <v>48</v>
      </c>
    </row>
    <row r="521" spans="1:10" ht="20.25" customHeight="1" x14ac:dyDescent="0.25">
      <c r="A521" s="5" t="s">
        <v>722</v>
      </c>
      <c r="B521" s="5">
        <v>1</v>
      </c>
      <c r="C521" s="6">
        <v>46136</v>
      </c>
      <c r="D521" s="16">
        <v>46128</v>
      </c>
      <c r="E521" s="15" t="s">
        <v>15</v>
      </c>
      <c r="F521" s="5" t="s">
        <v>645</v>
      </c>
      <c r="G521" s="5" t="s">
        <v>10</v>
      </c>
      <c r="H521" s="5">
        <v>4</v>
      </c>
      <c r="I521" t="s">
        <v>185</v>
      </c>
      <c r="J521" s="13" t="s">
        <v>48</v>
      </c>
    </row>
    <row r="522" spans="1:10" ht="20.25" customHeight="1" x14ac:dyDescent="0.25">
      <c r="A522" s="5" t="s">
        <v>778</v>
      </c>
      <c r="B522" s="5">
        <v>1</v>
      </c>
      <c r="C522" s="6">
        <v>46136</v>
      </c>
      <c r="D522" s="16">
        <v>46129</v>
      </c>
      <c r="E522" s="15" t="s">
        <v>15</v>
      </c>
      <c r="F522" s="5" t="s">
        <v>645</v>
      </c>
      <c r="G522" s="5" t="s">
        <v>10</v>
      </c>
      <c r="H522" s="5">
        <v>10</v>
      </c>
      <c r="I522" t="s">
        <v>185</v>
      </c>
      <c r="J522" s="13" t="s">
        <v>48</v>
      </c>
    </row>
    <row r="523" spans="1:10" ht="20.25" customHeight="1" x14ac:dyDescent="0.25">
      <c r="A523" s="5" t="s">
        <v>780</v>
      </c>
      <c r="B523" s="5">
        <v>1</v>
      </c>
      <c r="C523" s="6">
        <v>46136</v>
      </c>
      <c r="D523" s="16">
        <v>46129</v>
      </c>
      <c r="E523" s="15" t="s">
        <v>15</v>
      </c>
      <c r="F523" s="5" t="s">
        <v>646</v>
      </c>
      <c r="G523" s="5" t="s">
        <v>10</v>
      </c>
      <c r="H523" s="5">
        <v>5</v>
      </c>
      <c r="I523" t="s">
        <v>185</v>
      </c>
      <c r="J523" s="13" t="s">
        <v>48</v>
      </c>
    </row>
    <row r="524" spans="1:10" ht="20.25" customHeight="1" x14ac:dyDescent="0.25">
      <c r="A524" s="5" t="s">
        <v>779</v>
      </c>
      <c r="B524" s="5">
        <v>1</v>
      </c>
      <c r="C524" s="6">
        <v>46136</v>
      </c>
      <c r="D524" s="16">
        <v>46129</v>
      </c>
      <c r="E524" s="15" t="s">
        <v>15</v>
      </c>
      <c r="F524" s="5" t="s">
        <v>646</v>
      </c>
      <c r="G524" s="5" t="s">
        <v>10</v>
      </c>
      <c r="H524" s="5">
        <v>17</v>
      </c>
      <c r="I524" t="s">
        <v>185</v>
      </c>
      <c r="J524" s="13" t="s">
        <v>48</v>
      </c>
    </row>
    <row r="525" spans="1:10" ht="20.25" customHeight="1" x14ac:dyDescent="0.25">
      <c r="A525" s="5" t="s">
        <v>781</v>
      </c>
      <c r="B525" s="5">
        <v>1</v>
      </c>
      <c r="C525" s="6">
        <v>46136</v>
      </c>
      <c r="D525" s="16">
        <v>46129</v>
      </c>
      <c r="E525" s="15" t="s">
        <v>15</v>
      </c>
      <c r="F525" s="5" t="s">
        <v>646</v>
      </c>
      <c r="G525" s="5" t="s">
        <v>10</v>
      </c>
      <c r="H525" s="5">
        <v>10</v>
      </c>
      <c r="I525" t="s">
        <v>185</v>
      </c>
      <c r="J525" s="13" t="s">
        <v>48</v>
      </c>
    </row>
    <row r="526" spans="1:10" ht="20.25" customHeight="1" x14ac:dyDescent="0.25">
      <c r="A526" s="5" t="s">
        <v>712</v>
      </c>
      <c r="B526" s="5">
        <v>1</v>
      </c>
      <c r="C526" s="6">
        <v>46136</v>
      </c>
      <c r="D526" s="16">
        <v>46128</v>
      </c>
      <c r="E526" s="15" t="s">
        <v>15</v>
      </c>
      <c r="F526" s="5" t="s">
        <v>646</v>
      </c>
      <c r="G526" s="5" t="s">
        <v>10</v>
      </c>
      <c r="H526" s="5">
        <v>16</v>
      </c>
      <c r="I526" t="s">
        <v>185</v>
      </c>
      <c r="J526" s="13" t="s">
        <v>48</v>
      </c>
    </row>
    <row r="527" spans="1:10" ht="20.25" customHeight="1" x14ac:dyDescent="0.25">
      <c r="A527" s="5" t="s">
        <v>782</v>
      </c>
      <c r="B527" s="5">
        <v>1</v>
      </c>
      <c r="C527" s="6">
        <v>46136</v>
      </c>
      <c r="D527" s="16">
        <v>46136</v>
      </c>
      <c r="E527" s="15" t="s">
        <v>15</v>
      </c>
      <c r="F527" s="5" t="s">
        <v>367</v>
      </c>
      <c r="G527" s="5" t="s">
        <v>12</v>
      </c>
      <c r="H527" s="5">
        <v>20</v>
      </c>
      <c r="I527" s="5" t="s">
        <v>20</v>
      </c>
      <c r="J527" s="13" t="s">
        <v>68</v>
      </c>
    </row>
    <row r="528" spans="1:10" ht="20.25" customHeight="1" x14ac:dyDescent="0.25">
      <c r="A528" s="5" t="s">
        <v>718</v>
      </c>
      <c r="B528" s="5">
        <v>1</v>
      </c>
      <c r="C528" s="6">
        <v>46136</v>
      </c>
      <c r="D528" s="16">
        <v>46128</v>
      </c>
      <c r="E528" s="15" t="s">
        <v>16</v>
      </c>
      <c r="F528" s="5" t="s">
        <v>645</v>
      </c>
      <c r="G528" s="5" t="s">
        <v>17</v>
      </c>
      <c r="H528" s="5">
        <v>7</v>
      </c>
      <c r="I528" t="s">
        <v>185</v>
      </c>
      <c r="J528" s="13" t="s">
        <v>48</v>
      </c>
    </row>
    <row r="529" spans="1:10" ht="20.25" customHeight="1" x14ac:dyDescent="0.25">
      <c r="A529" s="5" t="s">
        <v>722</v>
      </c>
      <c r="B529" s="5">
        <v>1</v>
      </c>
      <c r="C529" s="6">
        <v>46136</v>
      </c>
      <c r="D529" s="16">
        <v>46128</v>
      </c>
      <c r="E529" s="15" t="s">
        <v>16</v>
      </c>
      <c r="F529" s="5" t="s">
        <v>645</v>
      </c>
      <c r="G529" s="5" t="s">
        <v>10</v>
      </c>
      <c r="H529" s="5">
        <v>4</v>
      </c>
      <c r="I529" t="s">
        <v>185</v>
      </c>
      <c r="J529" s="13" t="s">
        <v>48</v>
      </c>
    </row>
    <row r="530" spans="1:10" ht="20.25" customHeight="1" x14ac:dyDescent="0.25">
      <c r="A530" s="5" t="s">
        <v>709</v>
      </c>
      <c r="B530" s="5">
        <v>1</v>
      </c>
      <c r="C530" s="6">
        <v>46136</v>
      </c>
      <c r="D530" s="16">
        <v>46128</v>
      </c>
      <c r="E530" s="15" t="s">
        <v>16</v>
      </c>
      <c r="F530" s="5" t="s">
        <v>645</v>
      </c>
      <c r="G530" s="5" t="s">
        <v>17</v>
      </c>
      <c r="H530" s="5">
        <v>2</v>
      </c>
      <c r="I530" t="s">
        <v>185</v>
      </c>
      <c r="J530" s="13" t="s">
        <v>48</v>
      </c>
    </row>
    <row r="531" spans="1:10" ht="20.25" customHeight="1" x14ac:dyDescent="0.25">
      <c r="A531" s="5" t="s">
        <v>539</v>
      </c>
      <c r="B531" s="5">
        <v>1</v>
      </c>
      <c r="C531" s="6">
        <v>46136</v>
      </c>
      <c r="D531" s="16">
        <v>46123</v>
      </c>
      <c r="E531" s="15" t="s">
        <v>16</v>
      </c>
      <c r="F531" s="5" t="s">
        <v>742</v>
      </c>
      <c r="G531" s="5" t="s">
        <v>10</v>
      </c>
      <c r="H531" s="5">
        <v>11</v>
      </c>
      <c r="I531" s="5" t="s">
        <v>22</v>
      </c>
      <c r="J531" s="13" t="s">
        <v>72</v>
      </c>
    </row>
    <row r="532" spans="1:10" ht="20.25" customHeight="1" x14ac:dyDescent="0.25">
      <c r="A532" s="5" t="s">
        <v>708</v>
      </c>
      <c r="B532" s="5">
        <v>1</v>
      </c>
      <c r="C532" s="6">
        <v>46136</v>
      </c>
      <c r="D532" s="16">
        <v>46128</v>
      </c>
      <c r="E532" s="15" t="s">
        <v>16</v>
      </c>
      <c r="F532" s="5" t="s">
        <v>645</v>
      </c>
      <c r="G532" s="5" t="s">
        <v>11</v>
      </c>
      <c r="H532" s="5">
        <v>2</v>
      </c>
      <c r="I532" t="s">
        <v>185</v>
      </c>
      <c r="J532" s="13" t="s">
        <v>48</v>
      </c>
    </row>
    <row r="533" spans="1:10" ht="20.25" customHeight="1" x14ac:dyDescent="0.25">
      <c r="A533" s="5" t="s">
        <v>714</v>
      </c>
      <c r="B533" s="5">
        <v>1</v>
      </c>
      <c r="C533" s="6">
        <v>46136</v>
      </c>
      <c r="D533" s="16">
        <v>46128</v>
      </c>
      <c r="E533" s="15" t="s">
        <v>16</v>
      </c>
      <c r="F533" s="5" t="s">
        <v>646</v>
      </c>
      <c r="G533" s="5" t="s">
        <v>10</v>
      </c>
      <c r="H533" s="5">
        <v>3</v>
      </c>
      <c r="I533" t="s">
        <v>185</v>
      </c>
      <c r="J533" s="13" t="s">
        <v>48</v>
      </c>
    </row>
    <row r="534" spans="1:10" ht="20.25" customHeight="1" x14ac:dyDescent="0.25">
      <c r="A534" s="5" t="s">
        <v>783</v>
      </c>
      <c r="B534" s="5">
        <v>1</v>
      </c>
      <c r="C534" s="6">
        <v>46136</v>
      </c>
      <c r="D534" s="16">
        <v>46128</v>
      </c>
      <c r="E534" s="15" t="s">
        <v>16</v>
      </c>
      <c r="F534" s="5" t="s">
        <v>646</v>
      </c>
      <c r="G534" s="5" t="s">
        <v>10</v>
      </c>
      <c r="H534" s="5">
        <v>6</v>
      </c>
      <c r="I534" t="s">
        <v>185</v>
      </c>
      <c r="J534" s="13" t="s">
        <v>48</v>
      </c>
    </row>
    <row r="535" spans="1:10" ht="20.25" customHeight="1" x14ac:dyDescent="0.25">
      <c r="A535" s="5" t="s">
        <v>784</v>
      </c>
      <c r="B535" s="5">
        <v>1</v>
      </c>
      <c r="C535" s="6">
        <v>46136</v>
      </c>
      <c r="D535" s="16">
        <v>46129</v>
      </c>
      <c r="E535" s="15" t="s">
        <v>16</v>
      </c>
      <c r="F535" s="5" t="s">
        <v>648</v>
      </c>
      <c r="G535" s="5" t="s">
        <v>17</v>
      </c>
      <c r="H535" s="5">
        <v>27</v>
      </c>
      <c r="I535" s="5" t="s">
        <v>22</v>
      </c>
      <c r="J535" s="13" t="s">
        <v>72</v>
      </c>
    </row>
    <row r="536" spans="1:10" ht="20.25" customHeight="1" x14ac:dyDescent="0.25">
      <c r="A536" s="5" t="s">
        <v>785</v>
      </c>
      <c r="B536" s="5">
        <v>1</v>
      </c>
      <c r="C536" s="6">
        <v>46136</v>
      </c>
      <c r="D536" s="16">
        <v>46129</v>
      </c>
      <c r="E536" s="15" t="s">
        <v>16</v>
      </c>
      <c r="F536" s="5" t="s">
        <v>648</v>
      </c>
      <c r="G536" s="5" t="s">
        <v>10</v>
      </c>
      <c r="H536" s="5">
        <v>8</v>
      </c>
      <c r="I536" s="5" t="s">
        <v>22</v>
      </c>
      <c r="J536" s="13" t="s">
        <v>72</v>
      </c>
    </row>
    <row r="537" spans="1:10" ht="20.25" customHeight="1" x14ac:dyDescent="0.25">
      <c r="A537" s="5" t="s">
        <v>786</v>
      </c>
      <c r="B537" s="5">
        <v>1</v>
      </c>
      <c r="C537" s="6">
        <v>46136</v>
      </c>
      <c r="D537" s="16">
        <v>46129</v>
      </c>
      <c r="E537" s="15" t="s">
        <v>16</v>
      </c>
      <c r="F537" s="5" t="s">
        <v>648</v>
      </c>
      <c r="G537" s="5" t="s">
        <v>10</v>
      </c>
      <c r="H537" s="5">
        <v>3</v>
      </c>
      <c r="I537" s="5" t="s">
        <v>22</v>
      </c>
      <c r="J537" s="13" t="s">
        <v>72</v>
      </c>
    </row>
    <row r="538" spans="1:10" ht="20.25" customHeight="1" x14ac:dyDescent="0.25">
      <c r="A538" s="5" t="s">
        <v>569</v>
      </c>
      <c r="B538" s="5">
        <v>1</v>
      </c>
      <c r="C538" s="6">
        <v>46136</v>
      </c>
      <c r="D538" s="16">
        <v>46125</v>
      </c>
      <c r="E538" s="15" t="s">
        <v>16</v>
      </c>
      <c r="F538" s="5" t="s">
        <v>647</v>
      </c>
      <c r="G538" s="5" t="s">
        <v>11</v>
      </c>
      <c r="H538" s="5">
        <v>13</v>
      </c>
      <c r="I538" s="5" t="s">
        <v>22</v>
      </c>
      <c r="J538" s="13" t="s">
        <v>72</v>
      </c>
    </row>
    <row r="539" spans="1:10" ht="20.25" customHeight="1" x14ac:dyDescent="0.25">
      <c r="A539" s="5" t="s">
        <v>674</v>
      </c>
      <c r="B539" s="5">
        <v>1</v>
      </c>
      <c r="C539" s="6">
        <v>46136</v>
      </c>
      <c r="D539" s="16">
        <v>46127</v>
      </c>
      <c r="E539" s="15" t="s">
        <v>16</v>
      </c>
      <c r="F539" s="5" t="s">
        <v>647</v>
      </c>
      <c r="G539" s="5" t="s">
        <v>10</v>
      </c>
      <c r="H539" s="5">
        <v>6</v>
      </c>
      <c r="I539" s="5" t="s">
        <v>22</v>
      </c>
      <c r="J539" s="13" t="s">
        <v>72</v>
      </c>
    </row>
    <row r="540" spans="1:10" ht="20.25" customHeight="1" x14ac:dyDescent="0.25">
      <c r="A540" s="5" t="s">
        <v>681</v>
      </c>
      <c r="B540" s="5">
        <v>1</v>
      </c>
      <c r="C540" s="6">
        <v>46136</v>
      </c>
      <c r="D540" s="16">
        <v>46128</v>
      </c>
      <c r="E540" s="15" t="s">
        <v>16</v>
      </c>
      <c r="F540" s="5" t="s">
        <v>648</v>
      </c>
      <c r="G540" s="5" t="s">
        <v>10</v>
      </c>
      <c r="H540" s="5">
        <v>9</v>
      </c>
      <c r="I540" s="5" t="s">
        <v>22</v>
      </c>
      <c r="J540" s="13" t="s">
        <v>72</v>
      </c>
    </row>
    <row r="541" spans="1:10" ht="20.25" customHeight="1" x14ac:dyDescent="0.25">
      <c r="A541" s="5" t="s">
        <v>669</v>
      </c>
      <c r="B541" s="5">
        <v>1</v>
      </c>
      <c r="C541" s="6">
        <v>46136</v>
      </c>
      <c r="D541" s="16">
        <v>46127</v>
      </c>
      <c r="E541" s="15" t="s">
        <v>16</v>
      </c>
      <c r="F541" s="5" t="s">
        <v>647</v>
      </c>
      <c r="G541" s="5" t="s">
        <v>17</v>
      </c>
      <c r="H541" s="5">
        <v>9</v>
      </c>
      <c r="I541" s="5" t="s">
        <v>22</v>
      </c>
      <c r="J541" s="13" t="s">
        <v>72</v>
      </c>
    </row>
    <row r="542" spans="1:10" ht="20.25" customHeight="1" x14ac:dyDescent="0.25">
      <c r="A542" s="5" t="s">
        <v>671</v>
      </c>
      <c r="B542" s="5">
        <v>1</v>
      </c>
      <c r="C542" s="6">
        <v>46136</v>
      </c>
      <c r="D542" s="16">
        <v>46127</v>
      </c>
      <c r="E542" s="15" t="s">
        <v>16</v>
      </c>
      <c r="F542" s="5" t="s">
        <v>647</v>
      </c>
      <c r="G542" s="5" t="s">
        <v>11</v>
      </c>
      <c r="H542" s="5">
        <v>11</v>
      </c>
      <c r="I542" s="5" t="s">
        <v>22</v>
      </c>
      <c r="J542" s="13" t="s">
        <v>72</v>
      </c>
    </row>
    <row r="543" spans="1:10" ht="20.25" customHeight="1" x14ac:dyDescent="0.25">
      <c r="A543" s="5" t="s">
        <v>676</v>
      </c>
      <c r="B543" s="5">
        <v>1</v>
      </c>
      <c r="C543" s="6">
        <v>46136</v>
      </c>
      <c r="D543" s="16">
        <v>46127</v>
      </c>
      <c r="E543" s="15" t="s">
        <v>16</v>
      </c>
      <c r="F543" s="5" t="s">
        <v>647</v>
      </c>
      <c r="G543" s="5" t="s">
        <v>11</v>
      </c>
      <c r="H543" s="5">
        <v>4</v>
      </c>
      <c r="I543" s="5" t="s">
        <v>22</v>
      </c>
      <c r="J543" s="13" t="s">
        <v>72</v>
      </c>
    </row>
    <row r="544" spans="1:10" ht="20.25" customHeight="1" x14ac:dyDescent="0.25">
      <c r="A544" s="5" t="s">
        <v>683</v>
      </c>
      <c r="B544" s="5">
        <v>1</v>
      </c>
      <c r="C544" s="6">
        <v>46136</v>
      </c>
      <c r="D544" s="16">
        <v>46128</v>
      </c>
      <c r="E544" s="15" t="s">
        <v>16</v>
      </c>
      <c r="F544" s="5" t="s">
        <v>648</v>
      </c>
      <c r="G544" s="5" t="s">
        <v>11</v>
      </c>
      <c r="H544" s="5">
        <v>6</v>
      </c>
      <c r="I544" s="5" t="s">
        <v>22</v>
      </c>
      <c r="J544" s="13" t="s">
        <v>72</v>
      </c>
    </row>
    <row r="545" spans="1:10" ht="20.25" customHeight="1" x14ac:dyDescent="0.25">
      <c r="A545" s="5" t="s">
        <v>597</v>
      </c>
      <c r="B545" s="5">
        <v>1</v>
      </c>
      <c r="C545" s="6">
        <v>46136</v>
      </c>
      <c r="D545" s="16">
        <v>46125</v>
      </c>
      <c r="E545" s="15" t="s">
        <v>16</v>
      </c>
      <c r="F545" s="5" t="s">
        <v>647</v>
      </c>
      <c r="G545" s="5" t="s">
        <v>11</v>
      </c>
      <c r="H545" s="5">
        <v>10</v>
      </c>
      <c r="I545" s="5" t="s">
        <v>22</v>
      </c>
      <c r="J545" s="13" t="s">
        <v>72</v>
      </c>
    </row>
    <row r="546" spans="1:10" ht="20.25" customHeight="1" x14ac:dyDescent="0.25">
      <c r="A546" s="5" t="s">
        <v>583</v>
      </c>
      <c r="B546" s="5">
        <v>1</v>
      </c>
      <c r="C546" s="6">
        <v>46136</v>
      </c>
      <c r="D546" s="16">
        <v>46125</v>
      </c>
      <c r="E546" s="15" t="s">
        <v>16</v>
      </c>
      <c r="F546" s="5" t="s">
        <v>645</v>
      </c>
      <c r="G546" s="5" t="s">
        <v>11</v>
      </c>
      <c r="H546" s="5">
        <v>1</v>
      </c>
      <c r="I546" t="s">
        <v>185</v>
      </c>
      <c r="J546" s="13" t="s">
        <v>48</v>
      </c>
    </row>
    <row r="547" spans="1:10" ht="20.25" customHeight="1" x14ac:dyDescent="0.25">
      <c r="A547" s="5" t="s">
        <v>602</v>
      </c>
      <c r="B547" s="5">
        <v>1</v>
      </c>
      <c r="C547" s="6">
        <v>46136</v>
      </c>
      <c r="D547" s="16">
        <v>46125</v>
      </c>
      <c r="E547" s="15" t="s">
        <v>16</v>
      </c>
      <c r="F547" s="5" t="s">
        <v>645</v>
      </c>
      <c r="G547" s="5" t="s">
        <v>11</v>
      </c>
      <c r="H547" s="5">
        <v>2</v>
      </c>
      <c r="I547" t="s">
        <v>185</v>
      </c>
      <c r="J547" s="13" t="s">
        <v>48</v>
      </c>
    </row>
    <row r="548" spans="1:10" ht="20.25" customHeight="1" x14ac:dyDescent="0.25">
      <c r="A548" s="5" t="s">
        <v>593</v>
      </c>
      <c r="B548" s="5">
        <v>1</v>
      </c>
      <c r="C548" s="6">
        <v>46136</v>
      </c>
      <c r="D548" s="16">
        <v>46125</v>
      </c>
      <c r="E548" s="15" t="s">
        <v>16</v>
      </c>
      <c r="F548" s="5" t="s">
        <v>645</v>
      </c>
      <c r="G548" s="5" t="s">
        <v>11</v>
      </c>
      <c r="H548" s="5">
        <v>2</v>
      </c>
      <c r="I548" t="s">
        <v>185</v>
      </c>
      <c r="J548" s="13" t="s">
        <v>48</v>
      </c>
    </row>
    <row r="549" spans="1:10" ht="20.25" customHeight="1" x14ac:dyDescent="0.25">
      <c r="A549" s="5" t="s">
        <v>588</v>
      </c>
      <c r="B549" s="5">
        <v>1</v>
      </c>
      <c r="C549" s="6">
        <v>46136</v>
      </c>
      <c r="D549" s="16">
        <v>46125</v>
      </c>
      <c r="E549" s="15" t="s">
        <v>16</v>
      </c>
      <c r="F549" s="5" t="s">
        <v>646</v>
      </c>
      <c r="G549" s="5" t="s">
        <v>11</v>
      </c>
      <c r="H549" s="5">
        <v>3</v>
      </c>
      <c r="I549" t="s">
        <v>185</v>
      </c>
      <c r="J549" s="13" t="s">
        <v>48</v>
      </c>
    </row>
    <row r="550" spans="1:10" ht="20.25" customHeight="1" x14ac:dyDescent="0.25">
      <c r="A550" s="5" t="s">
        <v>531</v>
      </c>
      <c r="B550" s="5">
        <v>1</v>
      </c>
      <c r="C550" s="6">
        <v>46136</v>
      </c>
      <c r="D550" s="16">
        <v>46122</v>
      </c>
      <c r="E550" s="15" t="s">
        <v>8</v>
      </c>
      <c r="F550" s="5" t="s">
        <v>342</v>
      </c>
      <c r="G550" s="5" t="s">
        <v>10</v>
      </c>
      <c r="H550" s="5">
        <v>12</v>
      </c>
      <c r="I550" s="5" t="s">
        <v>22</v>
      </c>
      <c r="J550" s="13" t="s">
        <v>72</v>
      </c>
    </row>
    <row r="551" spans="1:10" ht="20.25" customHeight="1" x14ac:dyDescent="0.25">
      <c r="A551" s="5" t="s">
        <v>596</v>
      </c>
      <c r="B551" s="5">
        <v>1</v>
      </c>
      <c r="C551" s="6">
        <v>46136</v>
      </c>
      <c r="D551" s="16">
        <v>46125</v>
      </c>
      <c r="E551" s="15" t="s">
        <v>8</v>
      </c>
      <c r="F551" s="5" t="s">
        <v>647</v>
      </c>
      <c r="G551" s="5" t="s">
        <v>10</v>
      </c>
      <c r="H551" s="5">
        <v>8</v>
      </c>
      <c r="I551" s="5" t="s">
        <v>22</v>
      </c>
      <c r="J551" s="13" t="s">
        <v>72</v>
      </c>
    </row>
    <row r="552" spans="1:10" ht="20.25" customHeight="1" x14ac:dyDescent="0.25">
      <c r="A552" s="5" t="s">
        <v>669</v>
      </c>
      <c r="B552" s="5">
        <v>1</v>
      </c>
      <c r="C552" s="6">
        <v>46136</v>
      </c>
      <c r="D552" s="16">
        <v>46127</v>
      </c>
      <c r="E552" s="15" t="s">
        <v>8</v>
      </c>
      <c r="F552" s="5" t="s">
        <v>647</v>
      </c>
      <c r="G552" s="5" t="s">
        <v>17</v>
      </c>
      <c r="H552" s="5">
        <v>6</v>
      </c>
      <c r="I552" s="5" t="s">
        <v>22</v>
      </c>
      <c r="J552" s="13" t="s">
        <v>72</v>
      </c>
    </row>
    <row r="553" spans="1:10" ht="20.25" customHeight="1" x14ac:dyDescent="0.25">
      <c r="A553" s="5" t="s">
        <v>537</v>
      </c>
      <c r="B553" s="5">
        <v>1</v>
      </c>
      <c r="C553" s="6">
        <v>46136</v>
      </c>
      <c r="D553" s="16">
        <v>46123</v>
      </c>
      <c r="E553" s="15" t="s">
        <v>8</v>
      </c>
      <c r="F553" s="5" t="s">
        <v>742</v>
      </c>
      <c r="G553" s="5" t="s">
        <v>10</v>
      </c>
      <c r="H553" s="5">
        <v>24</v>
      </c>
      <c r="I553" s="5" t="s">
        <v>22</v>
      </c>
      <c r="J553" s="13" t="s">
        <v>72</v>
      </c>
    </row>
    <row r="554" spans="1:10" ht="20.25" customHeight="1" x14ac:dyDescent="0.25">
      <c r="A554" s="5" t="s">
        <v>788</v>
      </c>
      <c r="B554" s="5">
        <v>1</v>
      </c>
      <c r="C554" s="6">
        <v>46136</v>
      </c>
      <c r="D554" s="16">
        <v>46125</v>
      </c>
      <c r="E554" s="15" t="s">
        <v>8</v>
      </c>
      <c r="F554" s="5" t="s">
        <v>647</v>
      </c>
      <c r="G554" s="5" t="s">
        <v>17</v>
      </c>
      <c r="H554" s="5">
        <v>10</v>
      </c>
      <c r="I554" s="5" t="s">
        <v>22</v>
      </c>
      <c r="J554" s="13" t="s">
        <v>72</v>
      </c>
    </row>
    <row r="555" spans="1:10" ht="20.25" customHeight="1" x14ac:dyDescent="0.25">
      <c r="A555" s="5" t="s">
        <v>636</v>
      </c>
      <c r="B555" s="5">
        <v>1</v>
      </c>
      <c r="C555" s="6">
        <v>46136</v>
      </c>
      <c r="D555" s="16">
        <v>46127</v>
      </c>
      <c r="E555" s="15" t="s">
        <v>8</v>
      </c>
      <c r="F555" s="5" t="s">
        <v>647</v>
      </c>
      <c r="G555" s="5" t="s">
        <v>10</v>
      </c>
      <c r="H555" s="5">
        <v>12</v>
      </c>
      <c r="I555" s="5" t="s">
        <v>22</v>
      </c>
      <c r="J555" s="13" t="s">
        <v>72</v>
      </c>
    </row>
    <row r="556" spans="1:10" ht="20.25" customHeight="1" x14ac:dyDescent="0.25">
      <c r="A556" s="5" t="s">
        <v>624</v>
      </c>
      <c r="B556" s="5">
        <v>1</v>
      </c>
      <c r="C556" s="6">
        <v>46136</v>
      </c>
      <c r="D556" s="16">
        <v>46126</v>
      </c>
      <c r="E556" s="15" t="s">
        <v>8</v>
      </c>
      <c r="F556" s="5" t="s">
        <v>643</v>
      </c>
      <c r="G556" s="5" t="s">
        <v>11</v>
      </c>
      <c r="H556" s="5">
        <v>10</v>
      </c>
      <c r="I556" s="5" t="s">
        <v>20</v>
      </c>
      <c r="J556" s="13" t="s">
        <v>80</v>
      </c>
    </row>
    <row r="557" spans="1:10" ht="20.25" customHeight="1" x14ac:dyDescent="0.25">
      <c r="A557" s="5" t="s">
        <v>621</v>
      </c>
      <c r="B557" s="5">
        <v>1</v>
      </c>
      <c r="C557" s="6">
        <v>46136</v>
      </c>
      <c r="D557" s="16">
        <v>46126</v>
      </c>
      <c r="E557" s="15" t="s">
        <v>8</v>
      </c>
      <c r="F557" s="5" t="s">
        <v>789</v>
      </c>
      <c r="G557" s="5" t="s">
        <v>11</v>
      </c>
      <c r="H557" s="5">
        <v>17</v>
      </c>
      <c r="I557" s="5" t="s">
        <v>20</v>
      </c>
      <c r="J557" s="13" t="s">
        <v>80</v>
      </c>
    </row>
    <row r="558" spans="1:10" ht="20.25" customHeight="1" x14ac:dyDescent="0.25">
      <c r="A558" s="5" t="s">
        <v>620</v>
      </c>
      <c r="B558" s="5">
        <v>1</v>
      </c>
      <c r="C558" s="6">
        <v>46136</v>
      </c>
      <c r="D558" s="16">
        <v>46126</v>
      </c>
      <c r="E558" s="15" t="s">
        <v>8</v>
      </c>
      <c r="F558" s="5" t="s">
        <v>789</v>
      </c>
      <c r="G558" s="5" t="s">
        <v>10</v>
      </c>
      <c r="H558" s="5">
        <v>12</v>
      </c>
      <c r="I558" s="5" t="s">
        <v>20</v>
      </c>
      <c r="J558" s="13" t="s">
        <v>80</v>
      </c>
    </row>
    <row r="559" spans="1:10" ht="20.25" customHeight="1" x14ac:dyDescent="0.25">
      <c r="A559" s="5" t="s">
        <v>678</v>
      </c>
      <c r="B559" s="5">
        <v>1</v>
      </c>
      <c r="C559" s="6">
        <v>46136</v>
      </c>
      <c r="D559" s="16">
        <v>46128</v>
      </c>
      <c r="E559" s="15" t="s">
        <v>8</v>
      </c>
      <c r="F559" s="5" t="s">
        <v>648</v>
      </c>
      <c r="G559" s="5" t="s">
        <v>13</v>
      </c>
      <c r="H559" s="5">
        <v>9</v>
      </c>
      <c r="I559" s="5" t="s">
        <v>22</v>
      </c>
      <c r="J559" s="13" t="s">
        <v>72</v>
      </c>
    </row>
    <row r="560" spans="1:10" ht="20.25" customHeight="1" x14ac:dyDescent="0.25">
      <c r="A560" s="5" t="s">
        <v>675</v>
      </c>
      <c r="B560" s="5">
        <v>1</v>
      </c>
      <c r="C560" s="6">
        <v>46136</v>
      </c>
      <c r="D560" s="16">
        <v>46127</v>
      </c>
      <c r="E560" s="15" t="s">
        <v>8</v>
      </c>
      <c r="F560" s="5" t="s">
        <v>647</v>
      </c>
      <c r="G560" s="5" t="s">
        <v>11</v>
      </c>
      <c r="H560" s="5">
        <v>2</v>
      </c>
      <c r="I560" s="5" t="s">
        <v>22</v>
      </c>
      <c r="J560" s="13" t="s">
        <v>72</v>
      </c>
    </row>
    <row r="561" spans="1:10" ht="20.25" customHeight="1" x14ac:dyDescent="0.25">
      <c r="A561" s="5" t="s">
        <v>673</v>
      </c>
      <c r="B561" s="5">
        <v>1</v>
      </c>
      <c r="C561" s="6">
        <v>46136</v>
      </c>
      <c r="D561" s="16">
        <v>46127</v>
      </c>
      <c r="E561" s="15" t="s">
        <v>8</v>
      </c>
      <c r="F561" s="5" t="s">
        <v>647</v>
      </c>
      <c r="G561" s="5" t="s">
        <v>10</v>
      </c>
      <c r="H561" s="5">
        <v>3</v>
      </c>
      <c r="I561" s="5" t="s">
        <v>22</v>
      </c>
      <c r="J561" s="13" t="s">
        <v>72</v>
      </c>
    </row>
    <row r="562" spans="1:10" ht="20.25" customHeight="1" x14ac:dyDescent="0.25">
      <c r="A562" s="5" t="s">
        <v>680</v>
      </c>
      <c r="B562" s="5">
        <v>1</v>
      </c>
      <c r="C562" s="6">
        <v>46136</v>
      </c>
      <c r="D562" s="16">
        <v>46128</v>
      </c>
      <c r="E562" s="15" t="s">
        <v>8</v>
      </c>
      <c r="F562" s="5" t="s">
        <v>648</v>
      </c>
      <c r="G562" s="5" t="s">
        <v>10</v>
      </c>
      <c r="H562" s="5">
        <v>22</v>
      </c>
      <c r="I562" s="5" t="s">
        <v>22</v>
      </c>
      <c r="J562" s="13" t="s">
        <v>72</v>
      </c>
    </row>
    <row r="563" spans="1:10" ht="20.25" customHeight="1" x14ac:dyDescent="0.25">
      <c r="A563" s="5" t="s">
        <v>670</v>
      </c>
      <c r="B563" s="5">
        <v>1</v>
      </c>
      <c r="C563" s="6">
        <v>46136</v>
      </c>
      <c r="D563" s="16">
        <v>46127</v>
      </c>
      <c r="E563" s="15" t="s">
        <v>8</v>
      </c>
      <c r="F563" s="5" t="s">
        <v>647</v>
      </c>
      <c r="G563" s="5" t="s">
        <v>10</v>
      </c>
      <c r="H563" s="5">
        <v>13</v>
      </c>
      <c r="I563" s="5" t="s">
        <v>22</v>
      </c>
      <c r="J563" s="13" t="s">
        <v>72</v>
      </c>
    </row>
    <row r="564" spans="1:10" ht="20.25" customHeight="1" x14ac:dyDescent="0.25">
      <c r="A564" s="5" t="s">
        <v>654</v>
      </c>
      <c r="B564" s="5">
        <v>1</v>
      </c>
      <c r="C564" s="6">
        <v>46136</v>
      </c>
      <c r="D564" s="16">
        <v>46129</v>
      </c>
      <c r="E564" s="15" t="s">
        <v>8</v>
      </c>
      <c r="F564" s="5" t="s">
        <v>89</v>
      </c>
      <c r="G564" s="5" t="s">
        <v>11</v>
      </c>
      <c r="H564" s="5">
        <v>3</v>
      </c>
      <c r="I564" s="5" t="s">
        <v>67</v>
      </c>
      <c r="J564" s="13" t="s">
        <v>73</v>
      </c>
    </row>
    <row r="565" spans="1:10" ht="20.25" customHeight="1" x14ac:dyDescent="0.25">
      <c r="A565" s="5" t="s">
        <v>790</v>
      </c>
      <c r="B565" s="5">
        <v>1</v>
      </c>
      <c r="C565" s="6">
        <v>46136</v>
      </c>
      <c r="D565" s="16">
        <v>46127</v>
      </c>
      <c r="E565" s="15" t="s">
        <v>8</v>
      </c>
      <c r="F565" s="5" t="s">
        <v>89</v>
      </c>
      <c r="G565" s="5" t="s">
        <v>10</v>
      </c>
      <c r="H565" s="5">
        <v>1</v>
      </c>
      <c r="I565" s="5" t="s">
        <v>67</v>
      </c>
      <c r="J565" s="13" t="s">
        <v>73</v>
      </c>
    </row>
    <row r="566" spans="1:10" ht="20.25" customHeight="1" x14ac:dyDescent="0.25">
      <c r="A566" s="5" t="s">
        <v>726</v>
      </c>
      <c r="B566" s="5">
        <v>1</v>
      </c>
      <c r="C566" s="6">
        <v>46136</v>
      </c>
      <c r="D566" s="16">
        <v>46129</v>
      </c>
      <c r="E566" s="15" t="s">
        <v>8</v>
      </c>
      <c r="F566" s="5" t="s">
        <v>89</v>
      </c>
      <c r="G566" s="5" t="s">
        <v>11</v>
      </c>
      <c r="H566" s="5">
        <v>24</v>
      </c>
      <c r="I566" s="5" t="s">
        <v>67</v>
      </c>
      <c r="J566" s="13" t="s">
        <v>73</v>
      </c>
    </row>
    <row r="567" spans="1:10" ht="20.25" customHeight="1" x14ac:dyDescent="0.25">
      <c r="A567" s="5" t="s">
        <v>791</v>
      </c>
      <c r="B567" s="5">
        <v>1</v>
      </c>
      <c r="C567" s="6">
        <v>46136</v>
      </c>
      <c r="D567" s="16">
        <v>46125</v>
      </c>
      <c r="E567" s="15" t="s">
        <v>8</v>
      </c>
      <c r="F567" s="5" t="s">
        <v>89</v>
      </c>
      <c r="G567" s="5" t="s">
        <v>10</v>
      </c>
      <c r="H567" s="5">
        <v>14</v>
      </c>
      <c r="I567" s="5" t="s">
        <v>67</v>
      </c>
      <c r="J567" s="13" t="s">
        <v>73</v>
      </c>
    </row>
    <row r="568" spans="1:10" ht="20.25" customHeight="1" x14ac:dyDescent="0.25">
      <c r="A568" s="100" t="s">
        <v>707</v>
      </c>
      <c r="C568" s="6"/>
      <c r="D568" s="16"/>
      <c r="E568" s="15"/>
    </row>
    <row r="569" spans="1:10" ht="20.25" customHeight="1" x14ac:dyDescent="0.25">
      <c r="A569" s="100" t="s">
        <v>713</v>
      </c>
      <c r="C569" s="6"/>
      <c r="D569" s="16"/>
      <c r="E569" s="15"/>
    </row>
    <row r="570" spans="1:10" ht="20.25" customHeight="1" x14ac:dyDescent="0.25">
      <c r="A570" s="100" t="s">
        <v>794</v>
      </c>
      <c r="C570" s="6"/>
      <c r="D570" s="16"/>
      <c r="E570" s="15"/>
    </row>
    <row r="571" spans="1:10" ht="20.25" customHeight="1" x14ac:dyDescent="0.25">
      <c r="A571" s="100" t="s">
        <v>795</v>
      </c>
      <c r="C571" s="6"/>
      <c r="D571" s="16"/>
      <c r="E571" s="15"/>
    </row>
    <row r="572" spans="1:10" ht="20.25" customHeight="1" x14ac:dyDescent="0.25">
      <c r="A572" s="100" t="s">
        <v>568</v>
      </c>
      <c r="C572" s="6"/>
      <c r="D572" s="16"/>
      <c r="E572" s="15"/>
    </row>
    <row r="573" spans="1:10" ht="20.25" customHeight="1" x14ac:dyDescent="0.25">
      <c r="A573" s="5" t="s">
        <v>796</v>
      </c>
      <c r="B573" s="5">
        <v>2</v>
      </c>
      <c r="C573" s="6">
        <v>46137</v>
      </c>
      <c r="D573" s="16">
        <v>46136</v>
      </c>
      <c r="E573" s="15" t="s">
        <v>15</v>
      </c>
      <c r="F573" s="5" t="s">
        <v>367</v>
      </c>
      <c r="G573" s="5" t="s">
        <v>12</v>
      </c>
      <c r="H573" s="5">
        <v>63</v>
      </c>
      <c r="I573" s="5" t="s">
        <v>20</v>
      </c>
      <c r="J573" s="13" t="s">
        <v>68</v>
      </c>
    </row>
    <row r="574" spans="1:10" ht="20.25" customHeight="1" x14ac:dyDescent="0.25">
      <c r="A574" s="5" t="s">
        <v>797</v>
      </c>
      <c r="B574" s="5">
        <v>2</v>
      </c>
      <c r="C574" s="6">
        <v>46137</v>
      </c>
      <c r="D574" s="16">
        <v>46136</v>
      </c>
      <c r="E574" s="15" t="s">
        <v>15</v>
      </c>
      <c r="F574" s="5" t="s">
        <v>367</v>
      </c>
      <c r="G574" s="5" t="s">
        <v>12</v>
      </c>
      <c r="H574" s="5">
        <v>36</v>
      </c>
      <c r="I574" s="5" t="s">
        <v>20</v>
      </c>
      <c r="J574" s="13" t="s">
        <v>68</v>
      </c>
    </row>
    <row r="575" spans="1:10" ht="20.25" customHeight="1" x14ac:dyDescent="0.25">
      <c r="A575" s="5" t="s">
        <v>798</v>
      </c>
      <c r="B575" s="5">
        <v>2</v>
      </c>
      <c r="C575" s="6">
        <v>46137</v>
      </c>
      <c r="D575" s="16">
        <v>46136</v>
      </c>
      <c r="E575" s="15" t="s">
        <v>15</v>
      </c>
      <c r="F575" s="5" t="s">
        <v>367</v>
      </c>
      <c r="G575" s="5" t="s">
        <v>13</v>
      </c>
      <c r="H575" s="5">
        <v>12</v>
      </c>
      <c r="I575" s="5" t="s">
        <v>20</v>
      </c>
      <c r="J575" s="13" t="s">
        <v>68</v>
      </c>
    </row>
    <row r="576" spans="1:10" ht="20.25" customHeight="1" x14ac:dyDescent="0.25">
      <c r="A576" s="5" t="s">
        <v>799</v>
      </c>
      <c r="B576" s="5">
        <v>2</v>
      </c>
      <c r="C576" s="6">
        <v>46137</v>
      </c>
      <c r="D576" s="16">
        <v>46136</v>
      </c>
      <c r="E576" s="15" t="s">
        <v>15</v>
      </c>
      <c r="F576" s="5" t="s">
        <v>367</v>
      </c>
      <c r="G576" s="5" t="s">
        <v>12</v>
      </c>
      <c r="H576" s="5">
        <v>45</v>
      </c>
      <c r="I576" s="5" t="s">
        <v>20</v>
      </c>
      <c r="J576" s="13" t="s">
        <v>68</v>
      </c>
    </row>
    <row r="577" spans="1:10" ht="20.25" customHeight="1" x14ac:dyDescent="0.25">
      <c r="A577" s="5" t="s">
        <v>800</v>
      </c>
      <c r="B577" s="5">
        <v>2</v>
      </c>
      <c r="C577" s="6">
        <v>46137</v>
      </c>
      <c r="D577" s="16">
        <v>46136</v>
      </c>
      <c r="E577" s="15" t="s">
        <v>16</v>
      </c>
      <c r="F577" s="5" t="s">
        <v>367</v>
      </c>
      <c r="G577" s="5" t="s">
        <v>12</v>
      </c>
      <c r="H577" s="5">
        <v>4</v>
      </c>
      <c r="I577" s="5" t="s">
        <v>20</v>
      </c>
      <c r="J577" s="13" t="s">
        <v>68</v>
      </c>
    </row>
    <row r="578" spans="1:10" ht="20.25" customHeight="1" x14ac:dyDescent="0.25">
      <c r="A578" s="5" t="s">
        <v>795</v>
      </c>
      <c r="B578" s="5">
        <v>2</v>
      </c>
      <c r="C578" s="6">
        <v>46137</v>
      </c>
      <c r="D578" s="16">
        <v>46129</v>
      </c>
      <c r="E578" s="15" t="s">
        <v>16</v>
      </c>
      <c r="F578" s="5" t="s">
        <v>645</v>
      </c>
      <c r="G578" s="5" t="s">
        <v>13</v>
      </c>
      <c r="H578" s="5">
        <v>12</v>
      </c>
      <c r="I578" t="s">
        <v>185</v>
      </c>
      <c r="J578" s="13" t="s">
        <v>48</v>
      </c>
    </row>
    <row r="579" spans="1:10" ht="20.25" customHeight="1" x14ac:dyDescent="0.25">
      <c r="A579" s="5" t="s">
        <v>801</v>
      </c>
      <c r="B579" s="5">
        <v>2</v>
      </c>
      <c r="C579" s="6">
        <v>46137</v>
      </c>
      <c r="D579" s="16">
        <v>46129</v>
      </c>
      <c r="E579" s="15" t="s">
        <v>16</v>
      </c>
      <c r="F579" s="5" t="s">
        <v>645</v>
      </c>
      <c r="G579" s="5" t="s">
        <v>10</v>
      </c>
      <c r="H579" s="5">
        <v>3</v>
      </c>
      <c r="I579" t="s">
        <v>185</v>
      </c>
      <c r="J579" s="13" t="s">
        <v>48</v>
      </c>
    </row>
    <row r="580" spans="1:10" ht="20.25" customHeight="1" x14ac:dyDescent="0.25">
      <c r="A580" s="5" t="s">
        <v>707</v>
      </c>
      <c r="B580" s="5">
        <v>2</v>
      </c>
      <c r="C580" s="6">
        <v>46137</v>
      </c>
      <c r="D580" s="16">
        <v>46128</v>
      </c>
      <c r="E580" s="15" t="s">
        <v>16</v>
      </c>
      <c r="F580" s="5" t="s">
        <v>645</v>
      </c>
      <c r="G580" s="5" t="s">
        <v>10</v>
      </c>
      <c r="H580" s="5">
        <v>4</v>
      </c>
      <c r="I580" t="s">
        <v>185</v>
      </c>
      <c r="J580" s="13" t="s">
        <v>48</v>
      </c>
    </row>
    <row r="581" spans="1:10" ht="20.25" customHeight="1" x14ac:dyDescent="0.25">
      <c r="A581" s="5" t="s">
        <v>719</v>
      </c>
      <c r="B581" s="5">
        <v>2</v>
      </c>
      <c r="C581" s="6">
        <v>46137</v>
      </c>
      <c r="D581" s="16">
        <v>46128</v>
      </c>
      <c r="E581" s="15" t="s">
        <v>16</v>
      </c>
      <c r="F581" s="5" t="s">
        <v>645</v>
      </c>
      <c r="G581" s="5" t="s">
        <v>11</v>
      </c>
      <c r="H581" s="5">
        <v>2</v>
      </c>
      <c r="I581" t="s">
        <v>185</v>
      </c>
      <c r="J581" s="13" t="s">
        <v>48</v>
      </c>
    </row>
    <row r="582" spans="1:10" ht="20.25" customHeight="1" x14ac:dyDescent="0.25">
      <c r="A582" s="5" t="s">
        <v>802</v>
      </c>
      <c r="B582" s="5">
        <v>2</v>
      </c>
      <c r="C582" s="6">
        <v>46137</v>
      </c>
      <c r="D582" s="16">
        <v>46128</v>
      </c>
      <c r="E582" s="15" t="s">
        <v>16</v>
      </c>
      <c r="F582" s="5" t="s">
        <v>645</v>
      </c>
      <c r="G582" s="5" t="s">
        <v>11</v>
      </c>
      <c r="H582" s="5">
        <v>6</v>
      </c>
      <c r="I582" t="s">
        <v>185</v>
      </c>
      <c r="J582" s="13" t="s">
        <v>48</v>
      </c>
    </row>
    <row r="583" spans="1:10" ht="20.25" customHeight="1" x14ac:dyDescent="0.25">
      <c r="A583" s="5" t="s">
        <v>684</v>
      </c>
      <c r="B583" s="5">
        <v>2</v>
      </c>
      <c r="C583" s="6">
        <v>46137</v>
      </c>
      <c r="D583" s="16">
        <v>46128</v>
      </c>
      <c r="E583" s="15" t="s">
        <v>16</v>
      </c>
      <c r="F583" s="5" t="s">
        <v>648</v>
      </c>
      <c r="G583" s="5" t="s">
        <v>10</v>
      </c>
      <c r="H583" s="5">
        <v>21</v>
      </c>
      <c r="I583" s="5" t="s">
        <v>22</v>
      </c>
      <c r="J583" s="13" t="s">
        <v>72</v>
      </c>
    </row>
    <row r="584" spans="1:10" ht="20.25" customHeight="1" x14ac:dyDescent="0.25">
      <c r="A584" s="5" t="s">
        <v>686</v>
      </c>
      <c r="B584" s="5">
        <v>2</v>
      </c>
      <c r="C584" s="6">
        <v>46137</v>
      </c>
      <c r="D584" s="16">
        <v>46128</v>
      </c>
      <c r="E584" s="15" t="s">
        <v>16</v>
      </c>
      <c r="F584" s="5" t="s">
        <v>648</v>
      </c>
      <c r="G584" s="5" t="s">
        <v>11</v>
      </c>
      <c r="H584" s="5">
        <v>16</v>
      </c>
      <c r="I584" s="5" t="s">
        <v>22</v>
      </c>
      <c r="J584" s="13" t="s">
        <v>72</v>
      </c>
    </row>
    <row r="585" spans="1:10" ht="20.25" customHeight="1" x14ac:dyDescent="0.25">
      <c r="A585" s="5" t="s">
        <v>682</v>
      </c>
      <c r="B585" s="5">
        <v>2</v>
      </c>
      <c r="C585" s="6">
        <v>46137</v>
      </c>
      <c r="D585" s="16">
        <v>46128</v>
      </c>
      <c r="E585" s="15" t="s">
        <v>16</v>
      </c>
      <c r="F585" s="5" t="s">
        <v>648</v>
      </c>
      <c r="G585" s="5" t="s">
        <v>11</v>
      </c>
      <c r="H585" s="5">
        <v>5</v>
      </c>
      <c r="I585" s="5" t="s">
        <v>22</v>
      </c>
      <c r="J585" s="13" t="s">
        <v>72</v>
      </c>
    </row>
    <row r="586" spans="1:10" ht="20.25" customHeight="1" x14ac:dyDescent="0.25">
      <c r="A586" s="5" t="s">
        <v>803</v>
      </c>
      <c r="B586" s="5">
        <v>2</v>
      </c>
      <c r="C586" s="6">
        <v>46137</v>
      </c>
      <c r="D586" s="16">
        <v>46130</v>
      </c>
      <c r="E586" s="15" t="s">
        <v>16</v>
      </c>
      <c r="F586" s="5" t="s">
        <v>648</v>
      </c>
      <c r="G586" s="5" t="s">
        <v>11</v>
      </c>
      <c r="H586" s="5">
        <v>3</v>
      </c>
      <c r="I586" s="5" t="s">
        <v>22</v>
      </c>
      <c r="J586" s="13" t="s">
        <v>72</v>
      </c>
    </row>
    <row r="587" spans="1:10" ht="20.25" customHeight="1" x14ac:dyDescent="0.25">
      <c r="A587" s="5" t="s">
        <v>804</v>
      </c>
      <c r="B587" s="5">
        <v>2</v>
      </c>
      <c r="C587" s="6">
        <v>46137</v>
      </c>
      <c r="D587" s="16">
        <v>46130</v>
      </c>
      <c r="E587" s="15" t="s">
        <v>16</v>
      </c>
      <c r="F587" s="5" t="s">
        <v>648</v>
      </c>
      <c r="G587" s="5" t="s">
        <v>11</v>
      </c>
      <c r="H587" s="5">
        <v>9</v>
      </c>
      <c r="I587" s="5" t="s">
        <v>22</v>
      </c>
      <c r="J587" s="13" t="s">
        <v>72</v>
      </c>
    </row>
    <row r="588" spans="1:10" ht="20.25" customHeight="1" x14ac:dyDescent="0.25">
      <c r="A588" s="5" t="s">
        <v>805</v>
      </c>
      <c r="B588" s="5">
        <v>2</v>
      </c>
      <c r="C588" s="6">
        <v>46137</v>
      </c>
      <c r="D588" s="16">
        <v>46132</v>
      </c>
      <c r="E588" s="15" t="s">
        <v>16</v>
      </c>
      <c r="F588" s="5" t="s">
        <v>648</v>
      </c>
      <c r="G588" s="5" t="s">
        <v>11</v>
      </c>
      <c r="H588" s="5">
        <v>3</v>
      </c>
      <c r="I588" s="5" t="s">
        <v>22</v>
      </c>
      <c r="J588" s="13" t="s">
        <v>72</v>
      </c>
    </row>
    <row r="589" spans="1:10" ht="20.25" customHeight="1" x14ac:dyDescent="0.25">
      <c r="A589" s="5" t="s">
        <v>806</v>
      </c>
      <c r="B589" s="5">
        <v>2</v>
      </c>
      <c r="C589" s="6">
        <v>46137</v>
      </c>
      <c r="D589" s="16">
        <v>46129</v>
      </c>
      <c r="E589" s="15" t="s">
        <v>16</v>
      </c>
      <c r="F589" s="5" t="s">
        <v>648</v>
      </c>
      <c r="G589" s="5" t="s">
        <v>11</v>
      </c>
      <c r="H589" s="5">
        <v>10</v>
      </c>
      <c r="I589" s="5" t="s">
        <v>22</v>
      </c>
      <c r="J589" s="13" t="s">
        <v>72</v>
      </c>
    </row>
    <row r="590" spans="1:10" ht="20.25" customHeight="1" x14ac:dyDescent="0.25">
      <c r="A590" s="5" t="s">
        <v>786</v>
      </c>
      <c r="B590" s="5">
        <v>2</v>
      </c>
      <c r="C590" s="6">
        <v>46137</v>
      </c>
      <c r="D590" s="16">
        <v>46129</v>
      </c>
      <c r="E590" s="15" t="s">
        <v>16</v>
      </c>
      <c r="F590" s="5" t="s">
        <v>648</v>
      </c>
      <c r="G590" s="5" t="s">
        <v>10</v>
      </c>
      <c r="H590" s="5">
        <v>27</v>
      </c>
      <c r="I590" s="5" t="s">
        <v>22</v>
      </c>
      <c r="J590" s="13" t="s">
        <v>72</v>
      </c>
    </row>
    <row r="591" spans="1:10" ht="20.25" customHeight="1" x14ac:dyDescent="0.25">
      <c r="A591" s="5" t="s">
        <v>810</v>
      </c>
      <c r="B591" s="5">
        <v>2</v>
      </c>
      <c r="C591" s="6">
        <v>46137</v>
      </c>
      <c r="D591" s="16">
        <v>46129</v>
      </c>
      <c r="E591" s="15" t="s">
        <v>16</v>
      </c>
      <c r="F591" s="5" t="s">
        <v>648</v>
      </c>
      <c r="G591" s="5" t="s">
        <v>10</v>
      </c>
      <c r="H591" s="5">
        <v>13</v>
      </c>
      <c r="I591" s="5" t="s">
        <v>22</v>
      </c>
      <c r="J591" s="13" t="s">
        <v>72</v>
      </c>
    </row>
    <row r="592" spans="1:10" ht="20.25" customHeight="1" x14ac:dyDescent="0.25">
      <c r="A592" s="5" t="s">
        <v>811</v>
      </c>
      <c r="B592" s="5">
        <v>2</v>
      </c>
      <c r="C592" s="6">
        <v>46137</v>
      </c>
      <c r="D592" s="16">
        <v>46130</v>
      </c>
      <c r="E592" s="15" t="s">
        <v>16</v>
      </c>
      <c r="F592" s="5" t="s">
        <v>648</v>
      </c>
      <c r="G592" s="5" t="s">
        <v>10</v>
      </c>
      <c r="H592" s="5">
        <v>7</v>
      </c>
      <c r="I592" s="5" t="s">
        <v>22</v>
      </c>
      <c r="J592" s="13" t="s">
        <v>72</v>
      </c>
    </row>
    <row r="593" spans="1:10" ht="20.25" customHeight="1" x14ac:dyDescent="0.25">
      <c r="A593" s="5" t="s">
        <v>812</v>
      </c>
      <c r="B593" s="5">
        <v>2</v>
      </c>
      <c r="C593" s="6">
        <v>46137</v>
      </c>
      <c r="D593" s="16">
        <v>46132</v>
      </c>
      <c r="E593" s="15" t="s">
        <v>16</v>
      </c>
      <c r="F593" s="5" t="s">
        <v>648</v>
      </c>
      <c r="G593" s="5" t="s">
        <v>10</v>
      </c>
      <c r="H593" s="5">
        <v>3</v>
      </c>
      <c r="I593" s="5" t="s">
        <v>22</v>
      </c>
      <c r="J593" s="13" t="s">
        <v>72</v>
      </c>
    </row>
    <row r="594" spans="1:10" ht="20.25" customHeight="1" x14ac:dyDescent="0.25">
      <c r="A594" s="5" t="s">
        <v>813</v>
      </c>
      <c r="B594" s="5">
        <v>2</v>
      </c>
      <c r="C594" s="6">
        <v>46137</v>
      </c>
      <c r="D594" s="16">
        <v>46130</v>
      </c>
      <c r="E594" s="15" t="s">
        <v>16</v>
      </c>
      <c r="F594" s="5" t="s">
        <v>648</v>
      </c>
      <c r="G594" s="5" t="s">
        <v>10</v>
      </c>
      <c r="H594" s="5">
        <v>11</v>
      </c>
      <c r="I594" s="5" t="s">
        <v>22</v>
      </c>
      <c r="J594" s="13" t="s">
        <v>72</v>
      </c>
    </row>
    <row r="595" spans="1:10" ht="20.25" customHeight="1" x14ac:dyDescent="0.25">
      <c r="A595" s="5" t="s">
        <v>814</v>
      </c>
      <c r="B595" s="5">
        <v>2</v>
      </c>
      <c r="C595" s="6">
        <v>46137</v>
      </c>
      <c r="D595" s="16">
        <v>46129</v>
      </c>
      <c r="E595" s="15" t="s">
        <v>16</v>
      </c>
      <c r="F595" s="5" t="s">
        <v>648</v>
      </c>
      <c r="G595" s="5" t="s">
        <v>10</v>
      </c>
      <c r="H595" s="5">
        <v>1</v>
      </c>
      <c r="I595" s="5" t="s">
        <v>22</v>
      </c>
      <c r="J595" s="13" t="s">
        <v>72</v>
      </c>
    </row>
    <row r="596" spans="1:10" ht="20.25" customHeight="1" x14ac:dyDescent="0.25">
      <c r="A596" s="5" t="s">
        <v>815</v>
      </c>
      <c r="B596" s="5">
        <v>2</v>
      </c>
      <c r="C596" s="6">
        <v>46137</v>
      </c>
      <c r="D596" s="16">
        <v>46129</v>
      </c>
      <c r="E596" s="15" t="s">
        <v>16</v>
      </c>
      <c r="F596" s="5" t="s">
        <v>648</v>
      </c>
      <c r="G596" s="5" t="s">
        <v>10</v>
      </c>
      <c r="H596" s="5">
        <v>6</v>
      </c>
      <c r="I596" s="5" t="s">
        <v>22</v>
      </c>
      <c r="J596" s="13" t="s">
        <v>72</v>
      </c>
    </row>
    <row r="597" spans="1:10" ht="20.25" customHeight="1" x14ac:dyDescent="0.25">
      <c r="A597" s="5" t="s">
        <v>816</v>
      </c>
      <c r="B597" s="5">
        <v>2</v>
      </c>
      <c r="C597" s="6">
        <v>46137</v>
      </c>
      <c r="D597" s="16">
        <v>46130</v>
      </c>
      <c r="E597" s="15" t="s">
        <v>16</v>
      </c>
      <c r="F597" s="5" t="s">
        <v>648</v>
      </c>
      <c r="G597" s="5" t="s">
        <v>10</v>
      </c>
      <c r="H597" s="5">
        <v>21</v>
      </c>
      <c r="I597" s="5" t="s">
        <v>22</v>
      </c>
      <c r="J597" s="13" t="s">
        <v>72</v>
      </c>
    </row>
    <row r="598" spans="1:10" ht="20.25" customHeight="1" x14ac:dyDescent="0.25">
      <c r="A598" s="5" t="s">
        <v>817</v>
      </c>
      <c r="B598" s="5">
        <v>2</v>
      </c>
      <c r="C598" s="6">
        <v>46137</v>
      </c>
      <c r="D598" s="16">
        <v>46130</v>
      </c>
      <c r="E598" s="15" t="s">
        <v>16</v>
      </c>
      <c r="F598" s="5" t="s">
        <v>648</v>
      </c>
      <c r="G598" s="5" t="s">
        <v>10</v>
      </c>
      <c r="H598" s="5">
        <v>3</v>
      </c>
      <c r="I598" s="5" t="s">
        <v>22</v>
      </c>
      <c r="J598" s="13" t="s">
        <v>72</v>
      </c>
    </row>
    <row r="599" spans="1:10" ht="20.25" customHeight="1" x14ac:dyDescent="0.25">
      <c r="A599" s="5" t="s">
        <v>818</v>
      </c>
      <c r="B599" s="5">
        <v>2</v>
      </c>
      <c r="C599" s="6">
        <v>46137</v>
      </c>
      <c r="D599" s="16">
        <v>46130</v>
      </c>
      <c r="E599" s="15" t="s">
        <v>16</v>
      </c>
      <c r="F599" s="5" t="s">
        <v>648</v>
      </c>
      <c r="G599" s="5" t="s">
        <v>10</v>
      </c>
      <c r="H599" s="5">
        <v>3</v>
      </c>
      <c r="I599" s="5" t="s">
        <v>22</v>
      </c>
      <c r="J599" s="13" t="s">
        <v>72</v>
      </c>
    </row>
    <row r="600" spans="1:10" ht="20.25" customHeight="1" x14ac:dyDescent="0.25">
      <c r="A600" s="5" t="s">
        <v>819</v>
      </c>
      <c r="B600" s="5">
        <v>2</v>
      </c>
      <c r="C600" s="6">
        <v>46137</v>
      </c>
      <c r="D600" s="16">
        <v>46130</v>
      </c>
      <c r="E600" s="15" t="s">
        <v>16</v>
      </c>
      <c r="F600" s="5" t="s">
        <v>648</v>
      </c>
      <c r="G600" s="5" t="s">
        <v>10</v>
      </c>
      <c r="H600" s="5">
        <v>21</v>
      </c>
      <c r="I600" s="5" t="s">
        <v>22</v>
      </c>
      <c r="J600" s="13" t="s">
        <v>72</v>
      </c>
    </row>
    <row r="601" spans="1:10" ht="20.25" customHeight="1" x14ac:dyDescent="0.25">
      <c r="A601" s="5" t="s">
        <v>670</v>
      </c>
      <c r="B601" s="5">
        <v>2</v>
      </c>
      <c r="C601" s="6">
        <v>46137</v>
      </c>
      <c r="D601" s="16">
        <v>46127</v>
      </c>
      <c r="E601" s="15" t="s">
        <v>16</v>
      </c>
      <c r="F601" s="5" t="s">
        <v>647</v>
      </c>
      <c r="G601" s="5" t="s">
        <v>10</v>
      </c>
      <c r="H601" s="5">
        <v>9</v>
      </c>
      <c r="I601" s="5" t="s">
        <v>22</v>
      </c>
      <c r="J601" s="13" t="s">
        <v>72</v>
      </c>
    </row>
    <row r="602" spans="1:10" ht="20.25" customHeight="1" x14ac:dyDescent="0.25">
      <c r="A602" s="5" t="s">
        <v>820</v>
      </c>
      <c r="B602" s="5">
        <v>2</v>
      </c>
      <c r="C602" s="6">
        <v>46137</v>
      </c>
      <c r="D602" s="16">
        <v>46129</v>
      </c>
      <c r="E602" s="15" t="s">
        <v>16</v>
      </c>
      <c r="F602" s="5" t="s">
        <v>648</v>
      </c>
      <c r="G602" s="5" t="s">
        <v>10</v>
      </c>
      <c r="H602" s="5">
        <v>7</v>
      </c>
      <c r="I602" s="5" t="s">
        <v>22</v>
      </c>
      <c r="J602" s="13" t="s">
        <v>72</v>
      </c>
    </row>
    <row r="603" spans="1:10" ht="20.25" customHeight="1" x14ac:dyDescent="0.25">
      <c r="A603" s="5" t="s">
        <v>821</v>
      </c>
      <c r="B603" s="5">
        <v>2</v>
      </c>
      <c r="C603" s="6">
        <v>46137</v>
      </c>
      <c r="D603" s="16">
        <v>46127</v>
      </c>
      <c r="E603" s="15" t="s">
        <v>16</v>
      </c>
      <c r="F603" s="5" t="s">
        <v>648</v>
      </c>
      <c r="G603" s="5" t="s">
        <v>10</v>
      </c>
      <c r="H603" s="5">
        <v>26</v>
      </c>
      <c r="I603" s="5" t="s">
        <v>22</v>
      </c>
      <c r="J603" s="13" t="s">
        <v>72</v>
      </c>
    </row>
    <row r="604" spans="1:10" ht="20.25" customHeight="1" x14ac:dyDescent="0.25">
      <c r="A604" s="5" t="s">
        <v>822</v>
      </c>
      <c r="B604" s="5">
        <v>2</v>
      </c>
      <c r="C604" s="6">
        <v>46137</v>
      </c>
      <c r="D604" s="16">
        <v>46127</v>
      </c>
      <c r="E604" s="15" t="s">
        <v>16</v>
      </c>
      <c r="F604" s="5" t="s">
        <v>648</v>
      </c>
      <c r="G604" s="5" t="s">
        <v>10</v>
      </c>
      <c r="H604" s="5">
        <v>8</v>
      </c>
      <c r="I604" s="5" t="s">
        <v>22</v>
      </c>
      <c r="J604" s="13" t="s">
        <v>72</v>
      </c>
    </row>
    <row r="605" spans="1:10" ht="20.25" customHeight="1" x14ac:dyDescent="0.25">
      <c r="A605" s="100" t="s">
        <v>782</v>
      </c>
      <c r="C605" s="6"/>
      <c r="D605" s="16"/>
      <c r="E605" s="15"/>
    </row>
    <row r="606" spans="1:10" ht="20.25" customHeight="1" x14ac:dyDescent="0.25">
      <c r="A606" s="100" t="s">
        <v>798</v>
      </c>
      <c r="C606" s="6"/>
      <c r="D606" s="16"/>
      <c r="E606" s="15"/>
    </row>
    <row r="607" spans="1:10" ht="20.25" customHeight="1" x14ac:dyDescent="0.25">
      <c r="A607" s="100"/>
      <c r="C607" s="6"/>
      <c r="D607" s="16"/>
      <c r="E607" s="15"/>
    </row>
    <row r="608" spans="1:10" ht="20.25" customHeight="1" x14ac:dyDescent="0.25">
      <c r="A608" s="100" t="s">
        <v>824</v>
      </c>
      <c r="C608" s="6"/>
      <c r="D608" s="16"/>
      <c r="E608" s="15"/>
    </row>
    <row r="609" spans="1:5" ht="20.25" customHeight="1" x14ac:dyDescent="0.25">
      <c r="A609" s="100"/>
      <c r="C609" s="6"/>
      <c r="D609" s="16"/>
      <c r="E609" s="15"/>
    </row>
    <row r="610" spans="1:5" ht="20.25" customHeight="1" x14ac:dyDescent="0.25">
      <c r="A610" s="100" t="s">
        <v>797</v>
      </c>
      <c r="C610" s="6"/>
      <c r="D610" s="16"/>
      <c r="E610" s="15"/>
    </row>
    <row r="611" spans="1:5" ht="20.25" customHeight="1" x14ac:dyDescent="0.25">
      <c r="A611" s="100" t="s">
        <v>799</v>
      </c>
      <c r="C611" s="6"/>
      <c r="D611" s="16"/>
      <c r="E611" s="15"/>
    </row>
    <row r="612" spans="1:5" ht="20.25" customHeight="1" x14ac:dyDescent="0.25">
      <c r="A612" s="100" t="s">
        <v>796</v>
      </c>
      <c r="C612" s="6"/>
      <c r="D612" s="16"/>
      <c r="E612" s="15"/>
    </row>
    <row r="613" spans="1:5" ht="20.25" customHeight="1" x14ac:dyDescent="0.25">
      <c r="A613" s="100" t="s">
        <v>631</v>
      </c>
      <c r="C613" s="6"/>
      <c r="D613" s="16"/>
      <c r="E613" s="15"/>
    </row>
    <row r="614" spans="1:5" ht="20.25" customHeight="1" x14ac:dyDescent="0.25">
      <c r="A614" s="100" t="s">
        <v>688</v>
      </c>
      <c r="C614" s="6"/>
      <c r="D614" s="16"/>
      <c r="E614" s="15"/>
    </row>
    <row r="615" spans="1:5" ht="20.25" customHeight="1" x14ac:dyDescent="0.25">
      <c r="A615" s="5" t="s">
        <v>820</v>
      </c>
      <c r="C615" s="6"/>
      <c r="D615" s="16"/>
      <c r="E615" s="15"/>
    </row>
    <row r="616" spans="1:5" ht="20.25" customHeight="1" x14ac:dyDescent="0.25">
      <c r="A616" s="5" t="s">
        <v>825</v>
      </c>
      <c r="C616" s="6"/>
      <c r="D616" s="16"/>
      <c r="E616" s="15"/>
    </row>
    <row r="617" spans="1:5" ht="20.25" customHeight="1" x14ac:dyDescent="0.25">
      <c r="A617" s="5" t="s">
        <v>806</v>
      </c>
      <c r="C617" s="6"/>
      <c r="D617" s="16"/>
      <c r="E617" s="15"/>
    </row>
    <row r="618" spans="1:5" ht="20.25" customHeight="1" x14ac:dyDescent="0.25">
      <c r="A618" s="5" t="s">
        <v>801</v>
      </c>
      <c r="C618" s="6"/>
      <c r="D618" s="16"/>
      <c r="E618" s="15"/>
    </row>
    <row r="619" spans="1:5" ht="20.25" customHeight="1" x14ac:dyDescent="0.25">
      <c r="A619" s="5" t="s">
        <v>707</v>
      </c>
      <c r="C619" s="6"/>
      <c r="D619" s="16"/>
      <c r="E619" s="15"/>
    </row>
    <row r="620" spans="1:5" ht="20.25" customHeight="1" x14ac:dyDescent="0.25">
      <c r="A620" s="5" t="s">
        <v>719</v>
      </c>
      <c r="C620" s="6"/>
      <c r="D620" s="16"/>
      <c r="E620" s="15"/>
    </row>
    <row r="621" spans="1:5" ht="20.25" customHeight="1" x14ac:dyDescent="0.25">
      <c r="A621" s="5" t="s">
        <v>786</v>
      </c>
      <c r="C621" s="6"/>
      <c r="D621" s="16"/>
      <c r="E621" s="15"/>
    </row>
    <row r="622" spans="1:5" ht="20.25" customHeight="1" x14ac:dyDescent="0.25">
      <c r="A622" s="5" t="s">
        <v>715</v>
      </c>
      <c r="C622" s="6"/>
      <c r="D622" s="16"/>
      <c r="E622" s="15"/>
    </row>
    <row r="623" spans="1:5" ht="20.25" customHeight="1" x14ac:dyDescent="0.25">
      <c r="A623" s="5" t="s">
        <v>806</v>
      </c>
      <c r="C623" s="6"/>
      <c r="D623" s="16"/>
      <c r="E623" s="15"/>
    </row>
    <row r="624" spans="1:5" ht="20.25" customHeight="1" x14ac:dyDescent="0.25">
      <c r="A624" s="5" t="s">
        <v>801</v>
      </c>
      <c r="C624" s="6"/>
      <c r="D624" s="16"/>
      <c r="E624" s="15"/>
    </row>
    <row r="625" spans="1:22" ht="20.25" customHeight="1" x14ac:dyDescent="0.25">
      <c r="A625" s="5" t="s">
        <v>707</v>
      </c>
      <c r="C625" s="6"/>
      <c r="D625" s="16"/>
      <c r="E625" s="15"/>
    </row>
    <row r="626" spans="1:22" ht="20.25" customHeight="1" x14ac:dyDescent="0.25">
      <c r="A626" s="5" t="s">
        <v>715</v>
      </c>
      <c r="C626" s="6"/>
      <c r="D626" s="16"/>
      <c r="E626" s="15"/>
    </row>
    <row r="627" spans="1:22" ht="20.25" customHeight="1" x14ac:dyDescent="0.25">
      <c r="A627" s="5" t="s">
        <v>826</v>
      </c>
      <c r="C627" s="6"/>
      <c r="D627" s="16"/>
      <c r="E627" s="15"/>
    </row>
    <row r="628" spans="1:22" ht="20.25" customHeight="1" x14ac:dyDescent="0.25">
      <c r="A628" s="5" t="s">
        <v>816</v>
      </c>
      <c r="C628" s="6"/>
      <c r="D628" s="16"/>
      <c r="E628" s="15"/>
    </row>
    <row r="629" spans="1:22" ht="20.25" customHeight="1" x14ac:dyDescent="0.25">
      <c r="A629" s="5" t="s">
        <v>817</v>
      </c>
      <c r="C629" s="6"/>
      <c r="D629" s="16"/>
      <c r="E629" s="15"/>
    </row>
    <row r="630" spans="1:22" ht="20.25" customHeight="1" x14ac:dyDescent="0.25">
      <c r="A630" s="5" t="s">
        <v>815</v>
      </c>
      <c r="C630" s="6"/>
      <c r="D630" s="16"/>
      <c r="E630" s="15"/>
    </row>
    <row r="631" spans="1:22" ht="20.25" customHeight="1" x14ac:dyDescent="0.25">
      <c r="A631" s="5" t="s">
        <v>811</v>
      </c>
      <c r="C631" s="6"/>
      <c r="D631" s="16"/>
      <c r="E631" s="15"/>
    </row>
    <row r="632" spans="1:22" ht="20.25" customHeight="1" x14ac:dyDescent="0.25">
      <c r="A632" s="5" t="s">
        <v>683</v>
      </c>
      <c r="C632" s="6"/>
      <c r="D632" s="16"/>
      <c r="E632" s="15"/>
    </row>
    <row r="633" spans="1:22" ht="20.25" customHeight="1" x14ac:dyDescent="0.25">
      <c r="A633" s="5" t="s">
        <v>827</v>
      </c>
      <c r="C633" s="6"/>
      <c r="D633" s="16"/>
      <c r="E633" s="15"/>
    </row>
    <row r="634" spans="1:22" ht="20.25" customHeight="1" x14ac:dyDescent="0.25">
      <c r="A634" s="5" t="s">
        <v>801</v>
      </c>
      <c r="C634" s="6"/>
      <c r="D634" s="16"/>
      <c r="E634" s="15"/>
    </row>
    <row r="635" spans="1:22" ht="20.25" customHeight="1" x14ac:dyDescent="0.25">
      <c r="A635" s="5" t="s">
        <v>707</v>
      </c>
      <c r="C635" s="6"/>
      <c r="D635" s="16"/>
      <c r="E635" s="15"/>
    </row>
    <row r="636" spans="1:22" ht="20.25" customHeight="1" x14ac:dyDescent="0.25">
      <c r="A636" s="5" t="s">
        <v>800</v>
      </c>
      <c r="C636" s="6"/>
      <c r="D636" s="16"/>
      <c r="E636" s="15"/>
    </row>
    <row r="637" spans="1:22" s="3" customFormat="1" ht="20.25" customHeight="1" x14ac:dyDescent="0.25">
      <c r="A637" s="100" t="s">
        <v>870</v>
      </c>
      <c r="B637" s="5"/>
      <c r="C637" s="6"/>
      <c r="D637" s="16"/>
      <c r="E637" s="15"/>
      <c r="F637" s="5"/>
      <c r="G637" s="5"/>
      <c r="H637" s="5"/>
      <c r="I637" s="5"/>
      <c r="J637" s="18"/>
      <c r="K637" s="18"/>
      <c r="P637" s="52"/>
      <c r="R637" s="52"/>
      <c r="S637" s="52"/>
      <c r="T637" s="52"/>
      <c r="U637" s="52"/>
      <c r="V637" s="52"/>
    </row>
    <row r="638" spans="1:22" ht="20.25" customHeight="1" x14ac:dyDescent="0.25">
      <c r="A638" s="100" t="s">
        <v>828</v>
      </c>
      <c r="B638" s="5">
        <v>1</v>
      </c>
      <c r="C638" s="6">
        <v>46139</v>
      </c>
      <c r="D638" s="16">
        <v>46136</v>
      </c>
      <c r="E638" s="15" t="s">
        <v>15</v>
      </c>
      <c r="F638" s="5" t="s">
        <v>367</v>
      </c>
      <c r="G638" s="5" t="s">
        <v>12</v>
      </c>
      <c r="H638" s="5">
        <v>36</v>
      </c>
      <c r="I638" s="5" t="s">
        <v>20</v>
      </c>
      <c r="J638" s="13" t="s">
        <v>68</v>
      </c>
    </row>
    <row r="639" spans="1:22" ht="20.25" customHeight="1" x14ac:dyDescent="0.25">
      <c r="A639" s="100" t="s">
        <v>829</v>
      </c>
      <c r="B639" s="5">
        <v>1</v>
      </c>
      <c r="C639" s="6">
        <v>46139</v>
      </c>
      <c r="D639" s="16">
        <v>46136</v>
      </c>
      <c r="E639" s="15" t="s">
        <v>15</v>
      </c>
      <c r="F639" s="5" t="s">
        <v>367</v>
      </c>
      <c r="G639" s="5" t="s">
        <v>12</v>
      </c>
      <c r="H639" s="5">
        <v>36</v>
      </c>
      <c r="I639" s="5" t="s">
        <v>20</v>
      </c>
      <c r="J639" s="13" t="s">
        <v>68</v>
      </c>
    </row>
    <row r="640" spans="1:22" ht="20.25" customHeight="1" x14ac:dyDescent="0.25">
      <c r="A640" s="100" t="s">
        <v>830</v>
      </c>
      <c r="B640" s="5">
        <v>1</v>
      </c>
      <c r="C640" s="6">
        <v>46139</v>
      </c>
      <c r="D640" s="16">
        <v>46136</v>
      </c>
      <c r="E640" s="15" t="s">
        <v>15</v>
      </c>
      <c r="F640" s="5" t="s">
        <v>367</v>
      </c>
      <c r="G640" s="5" t="s">
        <v>12</v>
      </c>
      <c r="H640" s="5">
        <v>36</v>
      </c>
      <c r="I640" s="5" t="s">
        <v>20</v>
      </c>
      <c r="J640" s="13" t="s">
        <v>68</v>
      </c>
    </row>
    <row r="641" spans="1:10" ht="20.25" customHeight="1" x14ac:dyDescent="0.25">
      <c r="A641" s="100" t="s">
        <v>831</v>
      </c>
      <c r="B641" s="5">
        <v>1</v>
      </c>
      <c r="C641" s="6">
        <v>46139</v>
      </c>
      <c r="D641" s="16">
        <v>46137</v>
      </c>
      <c r="E641" s="15" t="s">
        <v>15</v>
      </c>
      <c r="F641" s="5" t="s">
        <v>367</v>
      </c>
      <c r="G641" s="5" t="s">
        <v>12</v>
      </c>
      <c r="H641" s="5">
        <v>26</v>
      </c>
      <c r="I641" s="5" t="s">
        <v>20</v>
      </c>
      <c r="J641" s="13" t="s">
        <v>68</v>
      </c>
    </row>
    <row r="642" spans="1:10" ht="20.25" customHeight="1" x14ac:dyDescent="0.25">
      <c r="A642" s="100" t="s">
        <v>832</v>
      </c>
      <c r="B642" s="5">
        <v>1</v>
      </c>
      <c r="C642" s="6">
        <v>46139</v>
      </c>
      <c r="D642" s="16">
        <v>46136</v>
      </c>
      <c r="E642" s="15" t="s">
        <v>15</v>
      </c>
      <c r="F642" s="5" t="s">
        <v>367</v>
      </c>
      <c r="G642" s="5" t="s">
        <v>12</v>
      </c>
      <c r="H642" s="5">
        <v>16</v>
      </c>
      <c r="I642" s="5" t="s">
        <v>20</v>
      </c>
      <c r="J642" s="13" t="s">
        <v>68</v>
      </c>
    </row>
    <row r="643" spans="1:10" ht="20.25" customHeight="1" x14ac:dyDescent="0.25">
      <c r="A643" s="100" t="s">
        <v>725</v>
      </c>
      <c r="B643" s="5">
        <v>1</v>
      </c>
      <c r="C643" s="6">
        <v>46139</v>
      </c>
      <c r="D643" s="16">
        <v>46128</v>
      </c>
      <c r="E643" s="15" t="s">
        <v>8</v>
      </c>
      <c r="F643" s="5" t="s">
        <v>89</v>
      </c>
      <c r="G643" s="5" t="s">
        <v>10</v>
      </c>
      <c r="H643" s="5">
        <v>27</v>
      </c>
      <c r="I643" s="5" t="s">
        <v>67</v>
      </c>
      <c r="J643" s="13" t="s">
        <v>73</v>
      </c>
    </row>
    <row r="644" spans="1:10" ht="20.25" customHeight="1" x14ac:dyDescent="0.25">
      <c r="A644" s="100" t="s">
        <v>833</v>
      </c>
      <c r="B644" s="5">
        <v>1</v>
      </c>
      <c r="C644" s="6">
        <v>46139</v>
      </c>
      <c r="D644" s="16">
        <v>46130</v>
      </c>
      <c r="E644" s="15" t="s">
        <v>8</v>
      </c>
      <c r="F644" s="5" t="s">
        <v>89</v>
      </c>
      <c r="G644" s="5" t="s">
        <v>10</v>
      </c>
      <c r="H644" s="5">
        <v>33</v>
      </c>
      <c r="I644" s="5" t="s">
        <v>67</v>
      </c>
      <c r="J644" s="13" t="s">
        <v>73</v>
      </c>
    </row>
    <row r="645" spans="1:10" ht="20.25" customHeight="1" x14ac:dyDescent="0.25">
      <c r="A645" s="100" t="s">
        <v>728</v>
      </c>
      <c r="B645" s="5">
        <v>1</v>
      </c>
      <c r="C645" s="6">
        <v>46139</v>
      </c>
      <c r="D645" s="16">
        <v>46128</v>
      </c>
      <c r="E645" s="15" t="s">
        <v>8</v>
      </c>
      <c r="F645" s="5" t="s">
        <v>89</v>
      </c>
      <c r="G645" s="5" t="s">
        <v>17</v>
      </c>
      <c r="H645" s="5">
        <v>29</v>
      </c>
      <c r="I645" s="5" t="s">
        <v>67</v>
      </c>
      <c r="J645" s="13" t="s">
        <v>73</v>
      </c>
    </row>
    <row r="646" spans="1:10" ht="20.25" customHeight="1" x14ac:dyDescent="0.25">
      <c r="A646" s="5" t="s">
        <v>835</v>
      </c>
      <c r="B646" s="5">
        <v>1</v>
      </c>
      <c r="C646" s="6">
        <v>46139</v>
      </c>
      <c r="D646" s="16">
        <v>46130</v>
      </c>
      <c r="E646" s="15" t="s">
        <v>8</v>
      </c>
      <c r="F646" s="5" t="s">
        <v>89</v>
      </c>
      <c r="G646" s="5" t="s">
        <v>17</v>
      </c>
      <c r="H646" s="5">
        <v>14</v>
      </c>
      <c r="I646" s="5" t="s">
        <v>67</v>
      </c>
      <c r="J646" s="13" t="s">
        <v>73</v>
      </c>
    </row>
    <row r="647" spans="1:10" ht="20.25" customHeight="1" x14ac:dyDescent="0.25">
      <c r="A647" s="5" t="s">
        <v>732</v>
      </c>
      <c r="B647" s="5">
        <v>1</v>
      </c>
      <c r="C647" s="6">
        <v>46139</v>
      </c>
      <c r="D647" s="16">
        <v>46128</v>
      </c>
      <c r="E647" s="15" t="s">
        <v>8</v>
      </c>
      <c r="F647" s="5" t="s">
        <v>89</v>
      </c>
      <c r="G647" s="5" t="s">
        <v>10</v>
      </c>
      <c r="H647" s="5">
        <v>5</v>
      </c>
      <c r="I647" s="5" t="s">
        <v>67</v>
      </c>
      <c r="J647" s="13" t="s">
        <v>73</v>
      </c>
    </row>
    <row r="648" spans="1:10" ht="20.25" customHeight="1" x14ac:dyDescent="0.25">
      <c r="A648" s="5" t="s">
        <v>731</v>
      </c>
      <c r="B648" s="5">
        <v>1</v>
      </c>
      <c r="C648" s="6">
        <v>46139</v>
      </c>
      <c r="D648" s="16">
        <v>46128</v>
      </c>
      <c r="E648" s="15" t="s">
        <v>8</v>
      </c>
      <c r="F648" s="5" t="s">
        <v>89</v>
      </c>
      <c r="G648" s="5" t="s">
        <v>11</v>
      </c>
      <c r="H648" s="5">
        <v>22</v>
      </c>
      <c r="I648" s="5" t="s">
        <v>67</v>
      </c>
      <c r="J648" s="13" t="s">
        <v>73</v>
      </c>
    </row>
    <row r="649" spans="1:10" ht="20.25" customHeight="1" x14ac:dyDescent="0.25">
      <c r="A649" s="5" t="s">
        <v>687</v>
      </c>
      <c r="B649" s="5">
        <v>1</v>
      </c>
      <c r="C649" s="6">
        <v>46139</v>
      </c>
      <c r="D649" s="16">
        <v>46128</v>
      </c>
      <c r="E649" s="15" t="s">
        <v>8</v>
      </c>
      <c r="F649" s="5" t="s">
        <v>89</v>
      </c>
      <c r="G649" s="5" t="s">
        <v>10</v>
      </c>
      <c r="H649" s="5">
        <v>21</v>
      </c>
      <c r="I649" s="5" t="s">
        <v>67</v>
      </c>
      <c r="J649" s="13" t="s">
        <v>73</v>
      </c>
    </row>
    <row r="650" spans="1:10" ht="20.25" customHeight="1" x14ac:dyDescent="0.25">
      <c r="A650" s="5" t="s">
        <v>727</v>
      </c>
      <c r="B650" s="5">
        <v>1</v>
      </c>
      <c r="C650" s="6">
        <v>46139</v>
      </c>
      <c r="D650" s="16">
        <v>46128</v>
      </c>
      <c r="E650" s="15" t="s">
        <v>8</v>
      </c>
      <c r="F650" s="5" t="s">
        <v>89</v>
      </c>
      <c r="G650" s="5" t="s">
        <v>10</v>
      </c>
      <c r="H650" s="5">
        <v>29</v>
      </c>
      <c r="I650" s="5" t="s">
        <v>67</v>
      </c>
      <c r="J650" s="13" t="s">
        <v>73</v>
      </c>
    </row>
    <row r="651" spans="1:10" ht="20.25" customHeight="1" x14ac:dyDescent="0.25">
      <c r="A651" s="5" t="s">
        <v>564</v>
      </c>
      <c r="B651" s="5">
        <v>1</v>
      </c>
      <c r="C651" s="6">
        <v>46139</v>
      </c>
      <c r="D651" s="16">
        <v>46125</v>
      </c>
      <c r="E651" s="15" t="s">
        <v>8</v>
      </c>
      <c r="F651" s="5" t="s">
        <v>89</v>
      </c>
      <c r="G651" s="5" t="s">
        <v>11</v>
      </c>
      <c r="H651" s="5">
        <v>9</v>
      </c>
      <c r="I651" s="5" t="s">
        <v>67</v>
      </c>
      <c r="J651" s="13" t="s">
        <v>73</v>
      </c>
    </row>
    <row r="652" spans="1:10" ht="20.25" customHeight="1" x14ac:dyDescent="0.25">
      <c r="A652" s="5" t="s">
        <v>605</v>
      </c>
      <c r="B652" s="5">
        <v>1</v>
      </c>
      <c r="C652" s="6">
        <v>46139</v>
      </c>
      <c r="D652" s="16">
        <v>46126</v>
      </c>
      <c r="E652" s="15" t="s">
        <v>8</v>
      </c>
      <c r="F652" s="5" t="s">
        <v>89</v>
      </c>
      <c r="G652" s="5" t="s">
        <v>10</v>
      </c>
      <c r="H652" s="5">
        <v>18</v>
      </c>
      <c r="I652" s="5" t="s">
        <v>67</v>
      </c>
      <c r="J652" s="13" t="s">
        <v>73</v>
      </c>
    </row>
    <row r="653" spans="1:10" ht="20.25" customHeight="1" x14ac:dyDescent="0.25">
      <c r="A653" s="5" t="s">
        <v>836</v>
      </c>
      <c r="B653" s="5">
        <v>1</v>
      </c>
      <c r="C653" s="6">
        <v>46139</v>
      </c>
      <c r="D653" s="16">
        <v>46137</v>
      </c>
      <c r="E653" s="15" t="s">
        <v>8</v>
      </c>
      <c r="F653" s="5" t="s">
        <v>837</v>
      </c>
      <c r="G653" s="5" t="s">
        <v>12</v>
      </c>
      <c r="H653" s="5">
        <v>12</v>
      </c>
      <c r="I653" s="5" t="s">
        <v>67</v>
      </c>
      <c r="J653" s="13" t="s">
        <v>73</v>
      </c>
    </row>
    <row r="654" spans="1:10" ht="20.25" customHeight="1" x14ac:dyDescent="0.25">
      <c r="A654" s="5" t="s">
        <v>838</v>
      </c>
      <c r="B654" s="5">
        <v>1</v>
      </c>
      <c r="C654" s="6">
        <v>46139</v>
      </c>
      <c r="D654" s="16">
        <v>46130</v>
      </c>
      <c r="E654" s="15" t="s">
        <v>8</v>
      </c>
      <c r="F654" s="5" t="s">
        <v>89</v>
      </c>
      <c r="G654" s="5" t="s">
        <v>12</v>
      </c>
      <c r="H654" s="5">
        <v>13</v>
      </c>
      <c r="I654" s="5" t="s">
        <v>67</v>
      </c>
      <c r="J654" s="13" t="s">
        <v>73</v>
      </c>
    </row>
    <row r="655" spans="1:10" ht="20.25" customHeight="1" x14ac:dyDescent="0.25">
      <c r="A655" s="5" t="s">
        <v>839</v>
      </c>
      <c r="B655" s="5">
        <v>1</v>
      </c>
      <c r="C655" s="6">
        <v>46139</v>
      </c>
      <c r="D655" s="16">
        <v>46130</v>
      </c>
      <c r="E655" s="15" t="s">
        <v>8</v>
      </c>
      <c r="F655" s="5" t="s">
        <v>89</v>
      </c>
      <c r="G655" s="5" t="s">
        <v>10</v>
      </c>
      <c r="H655" s="5">
        <v>5</v>
      </c>
      <c r="I655" s="5" t="s">
        <v>67</v>
      </c>
      <c r="J655" s="13" t="s">
        <v>73</v>
      </c>
    </row>
    <row r="656" spans="1:10" ht="20.25" customHeight="1" x14ac:dyDescent="0.25">
      <c r="A656" s="5" t="s">
        <v>840</v>
      </c>
      <c r="B656" s="5">
        <v>1</v>
      </c>
      <c r="C656" s="6">
        <v>46139</v>
      </c>
      <c r="D656" s="16">
        <v>46130</v>
      </c>
      <c r="E656" s="15" t="s">
        <v>8</v>
      </c>
      <c r="F656" s="5" t="s">
        <v>89</v>
      </c>
      <c r="G656" s="5" t="s">
        <v>11</v>
      </c>
      <c r="H656" s="5">
        <v>4</v>
      </c>
      <c r="I656" s="5" t="s">
        <v>67</v>
      </c>
      <c r="J656" s="13" t="s">
        <v>73</v>
      </c>
    </row>
    <row r="657" spans="1:14" ht="20.25" customHeight="1" x14ac:dyDescent="0.25">
      <c r="A657" s="5" t="s">
        <v>841</v>
      </c>
      <c r="B657" s="5">
        <v>1</v>
      </c>
      <c r="C657" s="6">
        <v>46139</v>
      </c>
      <c r="D657" s="16">
        <v>46129</v>
      </c>
      <c r="E657" s="15" t="s">
        <v>8</v>
      </c>
      <c r="F657" s="5" t="s">
        <v>89</v>
      </c>
      <c r="G657" s="5" t="s">
        <v>17</v>
      </c>
      <c r="H657" s="5">
        <v>15</v>
      </c>
      <c r="I657" s="5" t="s">
        <v>67</v>
      </c>
      <c r="J657" s="13" t="s">
        <v>73</v>
      </c>
    </row>
    <row r="658" spans="1:14" ht="20.25" customHeight="1" x14ac:dyDescent="0.25">
      <c r="A658" s="5" t="s">
        <v>730</v>
      </c>
      <c r="B658" s="5">
        <v>1</v>
      </c>
      <c r="C658" s="6">
        <v>46139</v>
      </c>
      <c r="D658" s="16">
        <v>46128</v>
      </c>
      <c r="E658" s="15" t="s">
        <v>8</v>
      </c>
      <c r="F658" s="5" t="s">
        <v>89</v>
      </c>
      <c r="G658" s="5" t="s">
        <v>10</v>
      </c>
      <c r="H658" s="5">
        <v>30</v>
      </c>
      <c r="I658" s="5" t="s">
        <v>67</v>
      </c>
      <c r="J658" s="13" t="s">
        <v>73</v>
      </c>
      <c r="N658" s="1" t="s">
        <v>843</v>
      </c>
    </row>
    <row r="659" spans="1:14" ht="20.25" customHeight="1" x14ac:dyDescent="0.25">
      <c r="A659" s="5" t="s">
        <v>842</v>
      </c>
      <c r="B659" s="5">
        <v>1</v>
      </c>
      <c r="C659" s="6">
        <v>46139</v>
      </c>
      <c r="D659" s="16">
        <v>46129</v>
      </c>
      <c r="E659" s="15" t="s">
        <v>8</v>
      </c>
      <c r="F659" s="5" t="s">
        <v>89</v>
      </c>
      <c r="G659" s="5" t="s">
        <v>17</v>
      </c>
      <c r="H659" s="5">
        <v>24</v>
      </c>
      <c r="I659" s="5" t="s">
        <v>67</v>
      </c>
      <c r="J659" s="13" t="s">
        <v>73</v>
      </c>
      <c r="N659" s="1">
        <v>55</v>
      </c>
    </row>
    <row r="660" spans="1:14" ht="20.25" customHeight="1" x14ac:dyDescent="0.25">
      <c r="A660" s="100" t="s">
        <v>871</v>
      </c>
      <c r="C660" s="6"/>
      <c r="D660" s="16"/>
      <c r="E660" s="15"/>
      <c r="N660" s="1">
        <v>30</v>
      </c>
    </row>
    <row r="661" spans="1:14" ht="20.25" customHeight="1" x14ac:dyDescent="0.25">
      <c r="A661" s="5" t="s">
        <v>844</v>
      </c>
      <c r="B661" s="5">
        <v>1</v>
      </c>
      <c r="C661" s="6">
        <v>46140</v>
      </c>
      <c r="D661" s="16">
        <v>46138</v>
      </c>
      <c r="E661" s="15" t="s">
        <v>15</v>
      </c>
      <c r="F661" s="5" t="s">
        <v>367</v>
      </c>
      <c r="G661" s="5" t="s">
        <v>12</v>
      </c>
      <c r="H661" s="5">
        <v>36</v>
      </c>
      <c r="I661" s="5" t="s">
        <v>20</v>
      </c>
      <c r="J661" s="13" t="s">
        <v>68</v>
      </c>
      <c r="N661" s="1">
        <v>23</v>
      </c>
    </row>
    <row r="662" spans="1:14" ht="20.25" customHeight="1" x14ac:dyDescent="0.25">
      <c r="A662" s="5" t="s">
        <v>845</v>
      </c>
      <c r="B662" s="5">
        <v>1</v>
      </c>
      <c r="C662" s="6">
        <v>46140</v>
      </c>
      <c r="D662" s="16">
        <v>46138</v>
      </c>
      <c r="E662" s="15" t="s">
        <v>15</v>
      </c>
      <c r="F662" s="5" t="s">
        <v>367</v>
      </c>
      <c r="G662" s="5" t="s">
        <v>12</v>
      </c>
      <c r="H662" s="5">
        <v>35</v>
      </c>
      <c r="I662" s="5" t="s">
        <v>20</v>
      </c>
      <c r="J662" s="13" t="s">
        <v>68</v>
      </c>
      <c r="N662" s="1">
        <v>6</v>
      </c>
    </row>
    <row r="663" spans="1:14" ht="20.25" customHeight="1" x14ac:dyDescent="0.25">
      <c r="A663" s="5" t="s">
        <v>846</v>
      </c>
      <c r="B663" s="5">
        <v>1</v>
      </c>
      <c r="C663" s="6">
        <v>46140</v>
      </c>
      <c r="D663" s="16">
        <v>46138</v>
      </c>
      <c r="E663" s="15" t="s">
        <v>15</v>
      </c>
      <c r="F663" s="5" t="s">
        <v>367</v>
      </c>
      <c r="G663" s="5" t="s">
        <v>12</v>
      </c>
      <c r="H663" s="5">
        <v>22</v>
      </c>
      <c r="I663" s="5" t="s">
        <v>20</v>
      </c>
      <c r="J663" s="13" t="s">
        <v>68</v>
      </c>
      <c r="N663" s="1">
        <v>59</v>
      </c>
    </row>
    <row r="664" spans="1:14" ht="20.25" customHeight="1" x14ac:dyDescent="0.25">
      <c r="A664" s="5" t="s">
        <v>847</v>
      </c>
      <c r="B664" s="5">
        <v>1</v>
      </c>
      <c r="C664" s="6">
        <v>46140</v>
      </c>
      <c r="D664" s="16">
        <v>46138</v>
      </c>
      <c r="E664" s="15" t="s">
        <v>15</v>
      </c>
      <c r="F664" s="5" t="s">
        <v>367</v>
      </c>
      <c r="G664" s="5" t="s">
        <v>13</v>
      </c>
      <c r="H664" s="5">
        <v>20</v>
      </c>
      <c r="I664" s="5" t="s">
        <v>20</v>
      </c>
      <c r="J664" s="13" t="s">
        <v>68</v>
      </c>
      <c r="N664" s="1">
        <v>20</v>
      </c>
    </row>
    <row r="665" spans="1:14" ht="20.25" customHeight="1" x14ac:dyDescent="0.25">
      <c r="A665" s="5" t="s">
        <v>848</v>
      </c>
      <c r="B665" s="5">
        <v>1</v>
      </c>
      <c r="C665" s="6">
        <v>46140</v>
      </c>
      <c r="D665" s="16">
        <v>46129</v>
      </c>
      <c r="E665" s="15" t="s">
        <v>8</v>
      </c>
      <c r="F665" s="5" t="s">
        <v>89</v>
      </c>
      <c r="G665" s="5" t="s">
        <v>11</v>
      </c>
      <c r="H665" s="5">
        <v>17</v>
      </c>
      <c r="I665" s="5" t="s">
        <v>67</v>
      </c>
      <c r="J665" s="13" t="s">
        <v>73</v>
      </c>
    </row>
    <row r="666" spans="1:14" ht="20.25" customHeight="1" x14ac:dyDescent="0.25">
      <c r="A666" s="5" t="s">
        <v>849</v>
      </c>
      <c r="B666" s="5">
        <v>1</v>
      </c>
      <c r="C666" s="6">
        <v>46140</v>
      </c>
      <c r="D666" s="16">
        <v>46128</v>
      </c>
      <c r="E666" s="15" t="s">
        <v>8</v>
      </c>
      <c r="F666" s="5" t="s">
        <v>89</v>
      </c>
      <c r="G666" s="5" t="s">
        <v>10</v>
      </c>
      <c r="H666" s="5">
        <v>28</v>
      </c>
      <c r="I666" s="5" t="s">
        <v>67</v>
      </c>
      <c r="J666" s="13" t="s">
        <v>73</v>
      </c>
    </row>
    <row r="667" spans="1:14" ht="20.25" customHeight="1" x14ac:dyDescent="0.25">
      <c r="A667" s="5" t="s">
        <v>850</v>
      </c>
      <c r="B667" s="5">
        <v>1</v>
      </c>
      <c r="C667" s="6">
        <v>46140</v>
      </c>
      <c r="D667" s="16">
        <v>46129</v>
      </c>
      <c r="E667" s="15" t="s">
        <v>8</v>
      </c>
      <c r="F667" s="5" t="s">
        <v>89</v>
      </c>
      <c r="G667" s="5" t="s">
        <v>10</v>
      </c>
      <c r="H667" s="5">
        <v>17</v>
      </c>
      <c r="I667" s="5" t="s">
        <v>67</v>
      </c>
      <c r="J667" s="13" t="s">
        <v>73</v>
      </c>
    </row>
    <row r="668" spans="1:14" ht="20.25" customHeight="1" x14ac:dyDescent="0.25">
      <c r="A668" s="5" t="s">
        <v>851</v>
      </c>
      <c r="B668" s="5">
        <v>1</v>
      </c>
      <c r="C668" s="6">
        <v>46140</v>
      </c>
      <c r="D668" s="16">
        <v>46129</v>
      </c>
      <c r="E668" s="15" t="s">
        <v>8</v>
      </c>
      <c r="F668" s="5" t="s">
        <v>89</v>
      </c>
      <c r="G668" s="5" t="s">
        <v>10</v>
      </c>
      <c r="H668" s="5">
        <v>20</v>
      </c>
      <c r="I668" s="5" t="s">
        <v>67</v>
      </c>
      <c r="J668" s="13" t="s">
        <v>73</v>
      </c>
    </row>
    <row r="669" spans="1:14" ht="20.25" customHeight="1" x14ac:dyDescent="0.25">
      <c r="A669" s="5" t="s">
        <v>852</v>
      </c>
      <c r="B669" s="5">
        <v>1</v>
      </c>
      <c r="C669" s="6">
        <v>46140</v>
      </c>
      <c r="D669" s="16">
        <v>46130</v>
      </c>
      <c r="E669" s="15" t="s">
        <v>8</v>
      </c>
      <c r="F669" s="5" t="s">
        <v>89</v>
      </c>
      <c r="G669" s="5" t="s">
        <v>17</v>
      </c>
      <c r="H669" s="5">
        <v>22</v>
      </c>
      <c r="I669" s="5" t="s">
        <v>67</v>
      </c>
      <c r="J669" s="13" t="s">
        <v>73</v>
      </c>
    </row>
    <row r="670" spans="1:14" ht="20.25" customHeight="1" x14ac:dyDescent="0.25">
      <c r="A670" s="5" t="s">
        <v>690</v>
      </c>
      <c r="B670" s="5">
        <v>1</v>
      </c>
      <c r="C670" s="6">
        <v>46140</v>
      </c>
      <c r="D670" s="16">
        <v>46128</v>
      </c>
      <c r="E670" s="15" t="s">
        <v>8</v>
      </c>
      <c r="F670" s="5" t="s">
        <v>89</v>
      </c>
      <c r="G670" s="5" t="s">
        <v>10</v>
      </c>
      <c r="H670" s="5">
        <v>14</v>
      </c>
      <c r="I670" s="5" t="s">
        <v>67</v>
      </c>
      <c r="J670" s="13" t="s">
        <v>73</v>
      </c>
    </row>
    <row r="671" spans="1:14" ht="20.25" customHeight="1" x14ac:dyDescent="0.25">
      <c r="A671" s="5" t="s">
        <v>853</v>
      </c>
      <c r="B671" s="5">
        <v>1</v>
      </c>
      <c r="C671" s="6">
        <v>46140</v>
      </c>
      <c r="D671" s="16">
        <v>46129</v>
      </c>
      <c r="E671" s="15" t="s">
        <v>8</v>
      </c>
      <c r="F671" s="5" t="s">
        <v>89</v>
      </c>
      <c r="G671" s="5" t="s">
        <v>11</v>
      </c>
      <c r="H671" s="5">
        <v>7</v>
      </c>
      <c r="I671" s="5" t="s">
        <v>67</v>
      </c>
      <c r="J671" s="13" t="s">
        <v>73</v>
      </c>
    </row>
    <row r="672" spans="1:14" ht="20.25" customHeight="1" x14ac:dyDescent="0.25">
      <c r="A672" s="5" t="s">
        <v>854</v>
      </c>
      <c r="B672" s="5">
        <v>1</v>
      </c>
      <c r="C672" s="6">
        <v>46140</v>
      </c>
      <c r="D672" s="16">
        <v>46130</v>
      </c>
      <c r="E672" s="15" t="s">
        <v>8</v>
      </c>
      <c r="F672" s="5" t="s">
        <v>89</v>
      </c>
      <c r="G672" s="5" t="s">
        <v>13</v>
      </c>
      <c r="H672" s="5">
        <v>5</v>
      </c>
      <c r="I672" s="5" t="s">
        <v>67</v>
      </c>
      <c r="J672" s="13" t="s">
        <v>73</v>
      </c>
    </row>
    <row r="673" spans="1:10" ht="20.25" customHeight="1" x14ac:dyDescent="0.25">
      <c r="A673" s="5" t="s">
        <v>724</v>
      </c>
      <c r="B673" s="5">
        <v>1</v>
      </c>
      <c r="C673" s="6">
        <v>46140</v>
      </c>
      <c r="D673" s="16">
        <v>46128</v>
      </c>
      <c r="E673" s="15" t="s">
        <v>8</v>
      </c>
      <c r="F673" s="5" t="s">
        <v>89</v>
      </c>
      <c r="G673" s="5" t="s">
        <v>12</v>
      </c>
      <c r="H673" s="5">
        <v>3</v>
      </c>
      <c r="I673" s="5" t="s">
        <v>67</v>
      </c>
      <c r="J673" s="13" t="s">
        <v>73</v>
      </c>
    </row>
    <row r="674" spans="1:10" ht="20.25" customHeight="1" x14ac:dyDescent="0.25">
      <c r="A674" s="5" t="s">
        <v>855</v>
      </c>
      <c r="B674" s="5">
        <v>1</v>
      </c>
      <c r="C674" s="6">
        <v>46140</v>
      </c>
      <c r="D674" s="16">
        <v>46129</v>
      </c>
      <c r="E674" s="15" t="s">
        <v>8</v>
      </c>
      <c r="F674" s="5" t="s">
        <v>89</v>
      </c>
      <c r="G674" s="5" t="s">
        <v>10</v>
      </c>
      <c r="H674" s="5">
        <v>30</v>
      </c>
      <c r="I674" s="5" t="s">
        <v>67</v>
      </c>
      <c r="J674" s="13" t="s">
        <v>73</v>
      </c>
    </row>
    <row r="675" spans="1:10" ht="20.25" customHeight="1" x14ac:dyDescent="0.25">
      <c r="A675" s="5" t="s">
        <v>856</v>
      </c>
      <c r="B675" s="5">
        <v>1</v>
      </c>
      <c r="C675" s="6">
        <v>46140</v>
      </c>
      <c r="D675" s="16">
        <v>46129</v>
      </c>
      <c r="E675" s="15" t="s">
        <v>8</v>
      </c>
      <c r="F675" s="5" t="s">
        <v>89</v>
      </c>
      <c r="G675" s="5" t="s">
        <v>10</v>
      </c>
      <c r="H675" s="5">
        <v>27</v>
      </c>
      <c r="I675" s="5" t="s">
        <v>67</v>
      </c>
      <c r="J675" s="13" t="s">
        <v>73</v>
      </c>
    </row>
    <row r="676" spans="1:10" ht="20.25" customHeight="1" x14ac:dyDescent="0.25">
      <c r="A676" s="5" t="s">
        <v>857</v>
      </c>
      <c r="B676" s="5">
        <v>1</v>
      </c>
      <c r="C676" s="6">
        <v>46140</v>
      </c>
      <c r="D676" s="16">
        <v>46130</v>
      </c>
      <c r="E676" s="15" t="s">
        <v>8</v>
      </c>
      <c r="F676" s="5" t="s">
        <v>89</v>
      </c>
      <c r="G676" s="5" t="s">
        <v>10</v>
      </c>
      <c r="H676" s="5">
        <v>16</v>
      </c>
      <c r="I676" s="5" t="s">
        <v>67</v>
      </c>
      <c r="J676" s="13" t="s">
        <v>73</v>
      </c>
    </row>
    <row r="677" spans="1:10" ht="20.25" customHeight="1" x14ac:dyDescent="0.25">
      <c r="A677" s="5" t="s">
        <v>858</v>
      </c>
      <c r="B677" s="5">
        <v>1</v>
      </c>
      <c r="C677" s="6">
        <v>46140</v>
      </c>
      <c r="D677" s="16">
        <v>46130</v>
      </c>
      <c r="E677" s="15" t="s">
        <v>8</v>
      </c>
      <c r="F677" s="5" t="s">
        <v>89</v>
      </c>
      <c r="G677" s="5" t="s">
        <v>11</v>
      </c>
      <c r="H677" s="5">
        <v>17</v>
      </c>
      <c r="I677" s="5" t="s">
        <v>67</v>
      </c>
      <c r="J677" s="13" t="s">
        <v>73</v>
      </c>
    </row>
    <row r="678" spans="1:10" ht="20.25" customHeight="1" x14ac:dyDescent="0.25">
      <c r="A678" s="5" t="s">
        <v>729</v>
      </c>
      <c r="B678" s="5">
        <v>1</v>
      </c>
      <c r="C678" s="6">
        <v>46140</v>
      </c>
      <c r="D678" s="16">
        <v>46128</v>
      </c>
      <c r="E678" s="15" t="s">
        <v>8</v>
      </c>
      <c r="F678" s="5" t="s">
        <v>89</v>
      </c>
      <c r="G678" s="5" t="s">
        <v>11</v>
      </c>
      <c r="H678" s="5">
        <v>30</v>
      </c>
      <c r="I678" s="5" t="s">
        <v>67</v>
      </c>
      <c r="J678" s="13" t="s">
        <v>73</v>
      </c>
    </row>
    <row r="679" spans="1:10" ht="20.25" customHeight="1" x14ac:dyDescent="0.25">
      <c r="A679" s="5" t="s">
        <v>859</v>
      </c>
      <c r="B679" s="5">
        <v>1</v>
      </c>
      <c r="C679" s="6">
        <v>46140</v>
      </c>
      <c r="D679" s="16">
        <v>46137</v>
      </c>
      <c r="E679" s="15" t="s">
        <v>8</v>
      </c>
      <c r="F679" s="5" t="s">
        <v>837</v>
      </c>
      <c r="G679" s="5" t="s">
        <v>12</v>
      </c>
      <c r="H679" s="5">
        <v>21</v>
      </c>
      <c r="I679" s="5" t="s">
        <v>67</v>
      </c>
      <c r="J679" s="13" t="s">
        <v>73</v>
      </c>
    </row>
    <row r="680" spans="1:10" ht="20.25" customHeight="1" x14ac:dyDescent="0.25">
      <c r="A680" s="5" t="s">
        <v>860</v>
      </c>
      <c r="B680" s="5">
        <v>1</v>
      </c>
      <c r="C680" s="6">
        <v>46140</v>
      </c>
      <c r="D680" s="16">
        <v>46137</v>
      </c>
      <c r="E680" s="15" t="s">
        <v>8</v>
      </c>
      <c r="F680" s="5" t="s">
        <v>837</v>
      </c>
      <c r="G680" s="5" t="s">
        <v>12</v>
      </c>
      <c r="H680" s="5">
        <v>7</v>
      </c>
      <c r="I680" s="5" t="s">
        <v>67</v>
      </c>
      <c r="J680" s="13" t="s">
        <v>73</v>
      </c>
    </row>
    <row r="681" spans="1:10" ht="20.25" customHeight="1" x14ac:dyDescent="0.25">
      <c r="A681" s="5" t="s">
        <v>861</v>
      </c>
      <c r="B681" s="5">
        <v>1</v>
      </c>
      <c r="C681" s="6">
        <v>46140</v>
      </c>
      <c r="D681" s="16">
        <v>46137</v>
      </c>
      <c r="E681" s="15" t="s">
        <v>8</v>
      </c>
      <c r="F681" s="5" t="s">
        <v>837</v>
      </c>
      <c r="G681" s="5" t="s">
        <v>12</v>
      </c>
      <c r="H681" s="5">
        <v>6</v>
      </c>
      <c r="I681" s="5" t="s">
        <v>67</v>
      </c>
      <c r="J681" s="13" t="s">
        <v>73</v>
      </c>
    </row>
    <row r="682" spans="1:10" ht="20.25" customHeight="1" x14ac:dyDescent="0.25">
      <c r="A682" s="5" t="s">
        <v>862</v>
      </c>
      <c r="B682" s="5">
        <v>1</v>
      </c>
      <c r="C682" s="6">
        <v>46140</v>
      </c>
      <c r="D682" s="16">
        <v>46137</v>
      </c>
      <c r="E682" s="15" t="s">
        <v>8</v>
      </c>
      <c r="F682" s="5" t="s">
        <v>837</v>
      </c>
      <c r="G682" s="5" t="s">
        <v>12</v>
      </c>
      <c r="H682" s="5">
        <v>15</v>
      </c>
      <c r="I682" s="5" t="s">
        <v>67</v>
      </c>
      <c r="J682" s="13" t="s">
        <v>73</v>
      </c>
    </row>
    <row r="683" spans="1:10" ht="20.25" customHeight="1" x14ac:dyDescent="0.25">
      <c r="A683" s="5" t="s">
        <v>863</v>
      </c>
      <c r="B683" s="5">
        <v>1</v>
      </c>
      <c r="C683" s="6">
        <v>46140</v>
      </c>
      <c r="D683" s="16">
        <v>46138</v>
      </c>
      <c r="E683" s="15" t="s">
        <v>8</v>
      </c>
      <c r="F683" s="5" t="s">
        <v>837</v>
      </c>
      <c r="G683" s="5" t="s">
        <v>13</v>
      </c>
      <c r="H683" s="5">
        <v>2</v>
      </c>
      <c r="I683" s="5" t="s">
        <v>67</v>
      </c>
      <c r="J683" s="13" t="s">
        <v>75</v>
      </c>
    </row>
    <row r="684" spans="1:10" ht="20.25" customHeight="1" x14ac:dyDescent="0.25">
      <c r="A684" s="5" t="s">
        <v>864</v>
      </c>
      <c r="B684" s="5">
        <v>1</v>
      </c>
      <c r="C684" s="6">
        <v>46140</v>
      </c>
      <c r="D684" s="16">
        <v>46130</v>
      </c>
      <c r="E684" s="15" t="s">
        <v>8</v>
      </c>
      <c r="F684" s="5" t="s">
        <v>865</v>
      </c>
      <c r="G684" s="5" t="s">
        <v>10</v>
      </c>
      <c r="H684" s="5">
        <v>6</v>
      </c>
      <c r="I684" s="5" t="s">
        <v>67</v>
      </c>
      <c r="J684" s="13" t="s">
        <v>75</v>
      </c>
    </row>
    <row r="685" spans="1:10" ht="20.25" customHeight="1" x14ac:dyDescent="0.25">
      <c r="A685" s="5" t="s">
        <v>866</v>
      </c>
      <c r="B685" s="5">
        <v>1</v>
      </c>
      <c r="C685" s="6">
        <v>46140</v>
      </c>
      <c r="D685" s="16">
        <v>46130</v>
      </c>
      <c r="E685" s="15" t="s">
        <v>8</v>
      </c>
      <c r="F685" s="5" t="s">
        <v>865</v>
      </c>
      <c r="G685" s="5" t="s">
        <v>13</v>
      </c>
      <c r="H685" s="5">
        <v>4</v>
      </c>
      <c r="I685" s="5" t="s">
        <v>67</v>
      </c>
      <c r="J685" s="13" t="s">
        <v>75</v>
      </c>
    </row>
    <row r="686" spans="1:10" ht="20.25" customHeight="1" x14ac:dyDescent="0.25">
      <c r="A686" s="5" t="s">
        <v>867</v>
      </c>
      <c r="B686" s="5">
        <v>1</v>
      </c>
      <c r="C686" s="6">
        <v>46140</v>
      </c>
      <c r="D686" s="16">
        <v>46130</v>
      </c>
      <c r="E686" s="15" t="s">
        <v>8</v>
      </c>
      <c r="F686" s="5" t="s">
        <v>865</v>
      </c>
      <c r="G686" s="5" t="s">
        <v>12</v>
      </c>
      <c r="H686" s="5">
        <v>3</v>
      </c>
      <c r="I686" s="5" t="s">
        <v>67</v>
      </c>
      <c r="J686" s="13" t="s">
        <v>75</v>
      </c>
    </row>
    <row r="687" spans="1:10" ht="20.25" customHeight="1" x14ac:dyDescent="0.25">
      <c r="A687" s="5" t="s">
        <v>868</v>
      </c>
      <c r="B687" s="5">
        <v>1</v>
      </c>
      <c r="C687" s="6">
        <v>46140</v>
      </c>
      <c r="D687" s="16">
        <v>46130</v>
      </c>
      <c r="E687" s="15" t="s">
        <v>8</v>
      </c>
      <c r="F687" s="5" t="s">
        <v>865</v>
      </c>
      <c r="G687" s="5" t="s">
        <v>11</v>
      </c>
      <c r="H687" s="5">
        <v>5</v>
      </c>
      <c r="I687" s="5" t="s">
        <v>67</v>
      </c>
      <c r="J687" s="13" t="s">
        <v>75</v>
      </c>
    </row>
    <row r="688" spans="1:10" ht="20.25" customHeight="1" x14ac:dyDescent="0.25">
      <c r="A688" s="5" t="s">
        <v>869</v>
      </c>
      <c r="B688" s="5">
        <v>1</v>
      </c>
      <c r="C688" s="6">
        <v>46140</v>
      </c>
      <c r="D688" s="16">
        <v>46130</v>
      </c>
      <c r="E688" s="15" t="s">
        <v>8</v>
      </c>
      <c r="F688" s="5" t="s">
        <v>865</v>
      </c>
      <c r="G688" s="5" t="s">
        <v>10</v>
      </c>
      <c r="H688" s="5">
        <v>11</v>
      </c>
      <c r="I688" s="5" t="s">
        <v>67</v>
      </c>
      <c r="J688" s="13" t="s">
        <v>75</v>
      </c>
    </row>
    <row r="689" spans="1:10" ht="20.25" customHeight="1" x14ac:dyDescent="0.25">
      <c r="A689" s="5" t="s">
        <v>822</v>
      </c>
      <c r="B689" s="5">
        <v>1</v>
      </c>
      <c r="C689" s="6">
        <v>46140</v>
      </c>
      <c r="D689" s="16">
        <v>46127</v>
      </c>
      <c r="E689" s="15" t="s">
        <v>8</v>
      </c>
      <c r="F689" s="5" t="s">
        <v>647</v>
      </c>
      <c r="G689" s="5" t="s">
        <v>10</v>
      </c>
      <c r="H689" s="5">
        <v>8</v>
      </c>
      <c r="I689" s="5" t="s">
        <v>22</v>
      </c>
      <c r="J689" s="13" t="s">
        <v>72</v>
      </c>
    </row>
    <row r="690" spans="1:10" ht="20.25" customHeight="1" x14ac:dyDescent="0.25">
      <c r="A690" s="100" t="s">
        <v>872</v>
      </c>
      <c r="C690" s="6"/>
      <c r="D690" s="16"/>
      <c r="E690" s="15"/>
    </row>
    <row r="691" spans="1:10" ht="20.25" customHeight="1" x14ac:dyDescent="0.25">
      <c r="A691" s="100" t="s">
        <v>871</v>
      </c>
      <c r="C691" s="6"/>
      <c r="D691" s="16"/>
      <c r="E691" s="15"/>
    </row>
    <row r="692" spans="1:10" ht="20.25" customHeight="1" x14ac:dyDescent="0.25">
      <c r="A692" s="100" t="s">
        <v>873</v>
      </c>
      <c r="C692" s="6"/>
      <c r="D692" s="16"/>
      <c r="E692" s="15"/>
    </row>
    <row r="693" spans="1:10" ht="20.25" customHeight="1" x14ac:dyDescent="0.25">
      <c r="A693" s="100"/>
      <c r="C693" s="6"/>
      <c r="D693" s="16"/>
      <c r="E693" s="15"/>
    </row>
    <row r="694" spans="1:10" ht="20.25" customHeight="1" x14ac:dyDescent="0.25">
      <c r="A694" s="100" t="s">
        <v>874</v>
      </c>
      <c r="C694" s="6"/>
      <c r="D694" s="16"/>
      <c r="E694" s="15"/>
    </row>
    <row r="695" spans="1:10" ht="20.25" customHeight="1" x14ac:dyDescent="0.25">
      <c r="C695" s="6"/>
      <c r="D695" s="16"/>
      <c r="E695" s="15"/>
    </row>
    <row r="696" spans="1:10" ht="19.5" customHeight="1" x14ac:dyDescent="0.25">
      <c r="A696" s="67" t="s">
        <v>875</v>
      </c>
      <c r="B696" s="5">
        <v>1</v>
      </c>
      <c r="C696" s="6">
        <v>46141</v>
      </c>
      <c r="D696" s="6">
        <v>46136</v>
      </c>
      <c r="E696" s="5" t="s">
        <v>15</v>
      </c>
      <c r="F696" s="5" t="s">
        <v>367</v>
      </c>
      <c r="G696" s="5" t="s">
        <v>17</v>
      </c>
      <c r="H696" s="5">
        <v>35</v>
      </c>
      <c r="I696" s="5" t="s">
        <v>20</v>
      </c>
      <c r="J696" s="13" t="s">
        <v>68</v>
      </c>
    </row>
    <row r="697" spans="1:10" ht="19.5" customHeight="1" x14ac:dyDescent="0.25">
      <c r="A697" s="67" t="s">
        <v>876</v>
      </c>
      <c r="B697" s="5">
        <v>1</v>
      </c>
      <c r="C697" s="6">
        <v>46141</v>
      </c>
      <c r="D697" s="6">
        <v>46136</v>
      </c>
      <c r="E697" s="5" t="s">
        <v>15</v>
      </c>
      <c r="F697" s="5" t="s">
        <v>367</v>
      </c>
      <c r="G697" s="5" t="s">
        <v>17</v>
      </c>
      <c r="H697" s="5">
        <v>36</v>
      </c>
      <c r="I697" s="5" t="s">
        <v>20</v>
      </c>
      <c r="J697" s="13" t="s">
        <v>68</v>
      </c>
    </row>
    <row r="698" spans="1:10" ht="19.5" customHeight="1" x14ac:dyDescent="0.25">
      <c r="A698" s="67" t="s">
        <v>877</v>
      </c>
      <c r="B698" s="5">
        <v>1</v>
      </c>
      <c r="C698" s="6">
        <v>46141</v>
      </c>
      <c r="D698" s="6">
        <v>46136</v>
      </c>
      <c r="E698" s="5" t="s">
        <v>15</v>
      </c>
      <c r="F698" s="5" t="s">
        <v>367</v>
      </c>
      <c r="G698" s="5" t="s">
        <v>17</v>
      </c>
      <c r="H698" s="5">
        <v>36</v>
      </c>
      <c r="I698" s="5" t="s">
        <v>20</v>
      </c>
      <c r="J698" s="13" t="s">
        <v>68</v>
      </c>
    </row>
    <row r="699" spans="1:10" ht="19.5" customHeight="1" x14ac:dyDescent="0.25">
      <c r="A699" s="67" t="s">
        <v>878</v>
      </c>
      <c r="B699" s="5">
        <v>1</v>
      </c>
      <c r="C699" s="6">
        <v>46141</v>
      </c>
      <c r="D699" s="6">
        <v>46136</v>
      </c>
      <c r="E699" s="5" t="s">
        <v>15</v>
      </c>
      <c r="F699" s="5" t="s">
        <v>367</v>
      </c>
      <c r="G699" s="5" t="s">
        <v>17</v>
      </c>
      <c r="H699" s="5">
        <v>15</v>
      </c>
      <c r="I699" s="5" t="s">
        <v>20</v>
      </c>
      <c r="J699" s="13" t="s">
        <v>68</v>
      </c>
    </row>
    <row r="700" spans="1:10" ht="19.5" customHeight="1" x14ac:dyDescent="0.25">
      <c r="A700" s="67" t="s">
        <v>879</v>
      </c>
      <c r="B700" s="5">
        <v>1</v>
      </c>
      <c r="C700" s="6">
        <v>46141</v>
      </c>
      <c r="D700" s="6">
        <v>46136</v>
      </c>
      <c r="E700" s="5" t="s">
        <v>15</v>
      </c>
      <c r="F700" s="5" t="s">
        <v>367</v>
      </c>
      <c r="G700" s="5" t="s">
        <v>17</v>
      </c>
      <c r="H700" s="5">
        <v>7</v>
      </c>
      <c r="I700" s="5" t="s">
        <v>20</v>
      </c>
      <c r="J700" s="13" t="s">
        <v>68</v>
      </c>
    </row>
    <row r="701" spans="1:10" ht="19.5" customHeight="1" x14ac:dyDescent="0.25">
      <c r="A701" s="67" t="s">
        <v>880</v>
      </c>
      <c r="B701" s="5">
        <v>1</v>
      </c>
      <c r="C701" s="6">
        <v>46141</v>
      </c>
      <c r="D701" s="6">
        <v>46136</v>
      </c>
      <c r="E701" s="5" t="s">
        <v>15</v>
      </c>
      <c r="F701" s="5" t="s">
        <v>367</v>
      </c>
      <c r="G701" s="5" t="s">
        <v>17</v>
      </c>
      <c r="H701" s="5">
        <v>24</v>
      </c>
      <c r="I701" s="5" t="s">
        <v>20</v>
      </c>
      <c r="J701" s="13" t="s">
        <v>68</v>
      </c>
    </row>
    <row r="702" spans="1:10" ht="19.5" customHeight="1" x14ac:dyDescent="0.25">
      <c r="A702" s="67" t="s">
        <v>881</v>
      </c>
      <c r="B702" s="5">
        <v>1</v>
      </c>
      <c r="C702" s="6">
        <v>46141</v>
      </c>
      <c r="D702" s="6">
        <v>46136</v>
      </c>
      <c r="E702" s="5" t="s">
        <v>15</v>
      </c>
      <c r="F702" s="5" t="s">
        <v>367</v>
      </c>
      <c r="G702" s="5" t="s">
        <v>17</v>
      </c>
      <c r="H702" s="5">
        <v>26</v>
      </c>
      <c r="I702" s="5" t="s">
        <v>20</v>
      </c>
      <c r="J702" s="13" t="s">
        <v>68</v>
      </c>
    </row>
    <row r="703" spans="1:10" ht="19.5" customHeight="1" x14ac:dyDescent="0.25">
      <c r="A703" s="67" t="s">
        <v>882</v>
      </c>
      <c r="B703" s="5">
        <v>1</v>
      </c>
      <c r="C703" s="6">
        <v>46141</v>
      </c>
      <c r="D703" s="6">
        <v>46137</v>
      </c>
      <c r="E703" s="5" t="s">
        <v>15</v>
      </c>
      <c r="F703" s="5" t="s">
        <v>367</v>
      </c>
      <c r="G703" s="5" t="s">
        <v>17</v>
      </c>
      <c r="H703" s="5">
        <v>21</v>
      </c>
      <c r="I703" s="5" t="s">
        <v>20</v>
      </c>
      <c r="J703" s="13" t="s">
        <v>68</v>
      </c>
    </row>
    <row r="704" spans="1:10" ht="19.5" customHeight="1" x14ac:dyDescent="0.25">
      <c r="A704" s="67" t="s">
        <v>883</v>
      </c>
      <c r="B704" s="5">
        <v>1</v>
      </c>
      <c r="C704" s="6">
        <v>46141</v>
      </c>
      <c r="D704" s="6">
        <v>46137</v>
      </c>
      <c r="E704" s="5" t="s">
        <v>15</v>
      </c>
      <c r="F704" s="5" t="s">
        <v>367</v>
      </c>
      <c r="G704" s="5" t="s">
        <v>17</v>
      </c>
      <c r="H704" s="5">
        <v>21</v>
      </c>
      <c r="I704" s="5" t="s">
        <v>20</v>
      </c>
      <c r="J704" s="13" t="s">
        <v>68</v>
      </c>
    </row>
    <row r="705" spans="1:10" ht="19.5" customHeight="1" x14ac:dyDescent="0.25">
      <c r="A705" s="67" t="s">
        <v>884</v>
      </c>
      <c r="B705" s="5">
        <v>1</v>
      </c>
      <c r="C705" s="6">
        <v>46141</v>
      </c>
      <c r="D705" s="6">
        <v>46137</v>
      </c>
      <c r="E705" s="5" t="s">
        <v>15</v>
      </c>
      <c r="F705" s="5" t="s">
        <v>367</v>
      </c>
      <c r="G705" s="5" t="s">
        <v>17</v>
      </c>
      <c r="H705" s="5">
        <v>5</v>
      </c>
      <c r="I705" s="5" t="s">
        <v>20</v>
      </c>
      <c r="J705" s="13" t="s">
        <v>68</v>
      </c>
    </row>
    <row r="706" spans="1:10" ht="19.5" customHeight="1" x14ac:dyDescent="0.25">
      <c r="A706" s="67" t="s">
        <v>885</v>
      </c>
      <c r="B706" s="5">
        <v>1</v>
      </c>
      <c r="C706" s="6">
        <v>46141</v>
      </c>
      <c r="D706" s="6">
        <v>46136</v>
      </c>
      <c r="E706" s="5" t="s">
        <v>15</v>
      </c>
      <c r="F706" s="5" t="s">
        <v>367</v>
      </c>
      <c r="G706" s="5" t="s">
        <v>17</v>
      </c>
      <c r="H706" s="5">
        <v>29</v>
      </c>
      <c r="I706" s="5" t="s">
        <v>20</v>
      </c>
      <c r="J706" s="13" t="s">
        <v>68</v>
      </c>
    </row>
    <row r="707" spans="1:10" ht="19.5" customHeight="1" x14ac:dyDescent="0.25">
      <c r="A707" s="67" t="s">
        <v>886</v>
      </c>
      <c r="B707" s="5">
        <v>1</v>
      </c>
      <c r="C707" s="6">
        <v>46141</v>
      </c>
      <c r="D707" s="6">
        <v>46138</v>
      </c>
      <c r="E707" s="5" t="s">
        <v>15</v>
      </c>
      <c r="F707" s="5" t="s">
        <v>367</v>
      </c>
      <c r="G707" s="5" t="s">
        <v>17</v>
      </c>
      <c r="H707" s="5">
        <v>39</v>
      </c>
      <c r="I707" s="5" t="s">
        <v>20</v>
      </c>
      <c r="J707" s="13" t="s">
        <v>68</v>
      </c>
    </row>
    <row r="708" spans="1:10" ht="19.5" customHeight="1" x14ac:dyDescent="0.25">
      <c r="A708" s="67" t="s">
        <v>887</v>
      </c>
      <c r="B708" s="5">
        <v>1</v>
      </c>
      <c r="C708" s="6">
        <v>46141</v>
      </c>
      <c r="D708" s="6">
        <v>46129</v>
      </c>
      <c r="E708" s="5" t="s">
        <v>16</v>
      </c>
      <c r="F708" s="5" t="s">
        <v>646</v>
      </c>
      <c r="G708" s="5" t="s">
        <v>17</v>
      </c>
      <c r="H708" s="5">
        <v>5</v>
      </c>
      <c r="I708" t="s">
        <v>185</v>
      </c>
      <c r="J708" s="13" t="s">
        <v>48</v>
      </c>
    </row>
    <row r="709" spans="1:10" ht="20.25" customHeight="1" x14ac:dyDescent="0.25">
      <c r="A709" s="67" t="s">
        <v>637</v>
      </c>
      <c r="B709" s="5">
        <v>1</v>
      </c>
      <c r="C709" s="6">
        <v>46141</v>
      </c>
      <c r="D709" s="16">
        <v>46127</v>
      </c>
      <c r="E709" s="15" t="s">
        <v>16</v>
      </c>
      <c r="F709" s="5" t="s">
        <v>647</v>
      </c>
      <c r="G709" s="5" t="s">
        <v>11</v>
      </c>
      <c r="H709" s="5">
        <v>9</v>
      </c>
      <c r="I709" s="5" t="s">
        <v>22</v>
      </c>
      <c r="J709" s="13" t="s">
        <v>72</v>
      </c>
    </row>
    <row r="710" spans="1:10" ht="20.25" customHeight="1" x14ac:dyDescent="0.25">
      <c r="A710" s="67" t="s">
        <v>888</v>
      </c>
      <c r="B710" s="5">
        <v>1</v>
      </c>
      <c r="C710" s="6">
        <v>46141</v>
      </c>
      <c r="D710" s="16">
        <v>46138</v>
      </c>
      <c r="E710" s="15" t="s">
        <v>16</v>
      </c>
      <c r="F710" s="5" t="s">
        <v>889</v>
      </c>
      <c r="G710" s="5" t="s">
        <v>13</v>
      </c>
      <c r="H710" s="5">
        <v>19</v>
      </c>
      <c r="I710" s="5" t="s">
        <v>22</v>
      </c>
      <c r="J710" s="13" t="s">
        <v>72</v>
      </c>
    </row>
    <row r="711" spans="1:10" ht="20.25" customHeight="1" x14ac:dyDescent="0.25">
      <c r="A711" s="67" t="s">
        <v>890</v>
      </c>
      <c r="B711" s="5">
        <v>1</v>
      </c>
      <c r="C711" s="6">
        <v>46141</v>
      </c>
      <c r="D711" s="16">
        <v>46138</v>
      </c>
      <c r="E711" s="15" t="s">
        <v>16</v>
      </c>
      <c r="F711" s="5" t="s">
        <v>889</v>
      </c>
      <c r="G711" s="5" t="s">
        <v>12</v>
      </c>
      <c r="H711" s="5">
        <v>6</v>
      </c>
      <c r="I711" s="5" t="s">
        <v>22</v>
      </c>
      <c r="J711" s="13" t="s">
        <v>72</v>
      </c>
    </row>
    <row r="712" spans="1:10" ht="20.25" customHeight="1" x14ac:dyDescent="0.25">
      <c r="A712" s="67" t="s">
        <v>891</v>
      </c>
      <c r="B712" s="5">
        <v>1</v>
      </c>
      <c r="C712" s="6">
        <v>46141</v>
      </c>
      <c r="D712" s="16">
        <v>46140</v>
      </c>
      <c r="E712" s="15" t="s">
        <v>16</v>
      </c>
      <c r="F712" s="5" t="s">
        <v>889</v>
      </c>
      <c r="G712" s="5" t="s">
        <v>12</v>
      </c>
      <c r="H712" s="5">
        <v>13</v>
      </c>
      <c r="I712" s="5" t="s">
        <v>22</v>
      </c>
      <c r="J712" s="13" t="s">
        <v>72</v>
      </c>
    </row>
    <row r="713" spans="1:10" ht="20.25" customHeight="1" x14ac:dyDescent="0.25">
      <c r="A713" s="67" t="s">
        <v>892</v>
      </c>
      <c r="B713" s="5">
        <v>1</v>
      </c>
      <c r="C713" s="6">
        <v>46141</v>
      </c>
      <c r="D713" s="16">
        <v>46138</v>
      </c>
      <c r="E713" s="15" t="s">
        <v>16</v>
      </c>
      <c r="F713" s="5" t="s">
        <v>837</v>
      </c>
      <c r="G713" s="5" t="s">
        <v>13</v>
      </c>
      <c r="H713" s="5">
        <v>7</v>
      </c>
      <c r="I713" s="5" t="s">
        <v>67</v>
      </c>
      <c r="J713" s="13" t="s">
        <v>73</v>
      </c>
    </row>
    <row r="714" spans="1:10" ht="20.25" customHeight="1" x14ac:dyDescent="0.25">
      <c r="A714" s="67" t="s">
        <v>893</v>
      </c>
      <c r="B714" s="5">
        <v>1</v>
      </c>
      <c r="C714" s="6">
        <v>46141</v>
      </c>
      <c r="D714" s="16">
        <v>46138</v>
      </c>
      <c r="E714" s="15" t="s">
        <v>16</v>
      </c>
      <c r="F714" s="5" t="s">
        <v>837</v>
      </c>
      <c r="G714" s="5" t="s">
        <v>13</v>
      </c>
      <c r="H714" s="5">
        <v>8</v>
      </c>
      <c r="I714" s="5" t="s">
        <v>67</v>
      </c>
      <c r="J714" s="13" t="s">
        <v>73</v>
      </c>
    </row>
    <row r="715" spans="1:10" ht="20.25" customHeight="1" x14ac:dyDescent="0.25">
      <c r="A715" s="67" t="s">
        <v>894</v>
      </c>
      <c r="B715" s="5">
        <v>1</v>
      </c>
      <c r="C715" s="6">
        <v>46141</v>
      </c>
      <c r="D715" s="16">
        <v>46138</v>
      </c>
      <c r="E715" s="15" t="s">
        <v>16</v>
      </c>
      <c r="F715" s="5" t="s">
        <v>837</v>
      </c>
      <c r="G715" s="5" t="s">
        <v>12</v>
      </c>
      <c r="H715" s="5">
        <v>7</v>
      </c>
      <c r="I715" s="5" t="s">
        <v>67</v>
      </c>
      <c r="J715" s="13" t="s">
        <v>73</v>
      </c>
    </row>
    <row r="716" spans="1:10" ht="20.25" customHeight="1" x14ac:dyDescent="0.25">
      <c r="A716" s="67" t="s">
        <v>896</v>
      </c>
      <c r="B716" s="5">
        <v>1</v>
      </c>
      <c r="C716" s="6">
        <v>46141</v>
      </c>
      <c r="D716" s="16">
        <v>46140</v>
      </c>
      <c r="E716" s="15" t="s">
        <v>16</v>
      </c>
      <c r="F716" s="5" t="s">
        <v>837</v>
      </c>
      <c r="G716" s="5" t="s">
        <v>12</v>
      </c>
      <c r="H716" s="5">
        <v>25</v>
      </c>
      <c r="I716" s="5" t="s">
        <v>67</v>
      </c>
      <c r="J716" s="13" t="s">
        <v>73</v>
      </c>
    </row>
    <row r="717" spans="1:10" ht="20.25" customHeight="1" x14ac:dyDescent="0.25">
      <c r="A717" s="67" t="s">
        <v>637</v>
      </c>
      <c r="C717" s="6"/>
      <c r="D717" s="16"/>
      <c r="E717" s="15"/>
    </row>
    <row r="718" spans="1:10" ht="20.25" customHeight="1" x14ac:dyDescent="0.25">
      <c r="A718" s="67" t="s">
        <v>721</v>
      </c>
      <c r="C718" s="6"/>
      <c r="D718" s="16"/>
      <c r="E718" s="15"/>
    </row>
    <row r="719" spans="1:10" ht="20.25" customHeight="1" x14ac:dyDescent="0.25">
      <c r="A719" s="67"/>
      <c r="C719" s="6"/>
      <c r="D719" s="16"/>
      <c r="E719" s="15"/>
    </row>
    <row r="720" spans="1:10" ht="20.25" customHeight="1" x14ac:dyDescent="0.25">
      <c r="A720" s="67" t="s">
        <v>897</v>
      </c>
      <c r="C720" s="6"/>
      <c r="D720" s="16"/>
      <c r="E720" s="15"/>
    </row>
    <row r="721" spans="1:5" ht="20.25" customHeight="1" x14ac:dyDescent="0.25">
      <c r="A721" s="67" t="s">
        <v>898</v>
      </c>
      <c r="C721" s="6"/>
      <c r="D721" s="16"/>
      <c r="E721" s="15"/>
    </row>
    <row r="722" spans="1:5" ht="20.25" customHeight="1" x14ac:dyDescent="0.25">
      <c r="A722" s="67" t="s">
        <v>883</v>
      </c>
      <c r="C722" s="6"/>
      <c r="D722" s="16"/>
      <c r="E722" s="15"/>
    </row>
    <row r="723" spans="1:5" ht="20.25" customHeight="1" x14ac:dyDescent="0.25">
      <c r="A723" s="67" t="s">
        <v>899</v>
      </c>
      <c r="C723" s="6"/>
      <c r="D723" s="16"/>
      <c r="E723" s="15"/>
    </row>
    <row r="724" spans="1:5" ht="20.25" customHeight="1" x14ac:dyDescent="0.25">
      <c r="A724" s="67" t="s">
        <v>900</v>
      </c>
      <c r="C724" s="6"/>
      <c r="D724" s="16"/>
      <c r="E724" s="15"/>
    </row>
    <row r="725" spans="1:5" ht="20.25" customHeight="1" x14ac:dyDescent="0.25">
      <c r="A725" s="67" t="s">
        <v>901</v>
      </c>
      <c r="C725" s="6"/>
      <c r="D725" s="16"/>
      <c r="E725" s="15"/>
    </row>
    <row r="726" spans="1:5" ht="20.25" customHeight="1" x14ac:dyDescent="0.25">
      <c r="A726" s="67" t="s">
        <v>902</v>
      </c>
      <c r="C726" s="6"/>
      <c r="D726" s="16"/>
      <c r="E726" s="15"/>
    </row>
    <row r="727" spans="1:5" ht="20.25" customHeight="1" x14ac:dyDescent="0.25">
      <c r="A727" s="67" t="s">
        <v>903</v>
      </c>
      <c r="C727" s="6"/>
      <c r="D727" s="16"/>
      <c r="E727" s="15"/>
    </row>
    <row r="728" spans="1:5" ht="20.25" customHeight="1" x14ac:dyDescent="0.25">
      <c r="A728" s="67" t="s">
        <v>904</v>
      </c>
      <c r="C728" s="6"/>
      <c r="D728" s="16"/>
      <c r="E728" s="15"/>
    </row>
    <row r="729" spans="1:5" ht="20.25" customHeight="1" x14ac:dyDescent="0.25">
      <c r="A729" s="67" t="s">
        <v>721</v>
      </c>
      <c r="C729" s="6"/>
      <c r="D729" s="16"/>
      <c r="E729" s="15"/>
    </row>
    <row r="730" spans="1:5" ht="20.25" customHeight="1" x14ac:dyDescent="0.25">
      <c r="A730" s="67" t="s">
        <v>900</v>
      </c>
      <c r="C730" s="6"/>
      <c r="D730" s="16"/>
      <c r="E730" s="15"/>
    </row>
    <row r="731" spans="1:5" ht="20.25" customHeight="1" x14ac:dyDescent="0.25">
      <c r="A731" s="67" t="s">
        <v>905</v>
      </c>
      <c r="C731" s="6"/>
      <c r="D731" s="16"/>
      <c r="E731" s="15"/>
    </row>
    <row r="732" spans="1:5" ht="20.25" customHeight="1" x14ac:dyDescent="0.25">
      <c r="A732" s="67" t="s">
        <v>887</v>
      </c>
      <c r="C732" s="6"/>
      <c r="D732" s="16"/>
      <c r="E732" s="15"/>
    </row>
    <row r="733" spans="1:5" ht="20.25" customHeight="1" x14ac:dyDescent="0.25">
      <c r="A733" s="67" t="s">
        <v>899</v>
      </c>
      <c r="C733" s="6"/>
      <c r="D733" s="16"/>
      <c r="E733" s="15"/>
    </row>
    <row r="734" spans="1:5" ht="20.25" customHeight="1" x14ac:dyDescent="0.25">
      <c r="A734" s="67" t="s">
        <v>902</v>
      </c>
      <c r="C734" s="6"/>
      <c r="D734" s="16"/>
      <c r="E734" s="15"/>
    </row>
    <row r="735" spans="1:5" ht="20.25" customHeight="1" x14ac:dyDescent="0.25">
      <c r="A735" s="67" t="s">
        <v>906</v>
      </c>
      <c r="C735" s="6"/>
      <c r="D735" s="16"/>
      <c r="E735" s="15"/>
    </row>
    <row r="736" spans="1:5" ht="20.25" customHeight="1" x14ac:dyDescent="0.25">
      <c r="A736" s="67" t="s">
        <v>907</v>
      </c>
      <c r="C736" s="6"/>
      <c r="D736" s="16"/>
      <c r="E736" s="15"/>
    </row>
    <row r="737" spans="1:5" ht="20.25" customHeight="1" x14ac:dyDescent="0.25">
      <c r="A737" s="67" t="s">
        <v>908</v>
      </c>
      <c r="C737" s="6"/>
      <c r="D737" s="16"/>
      <c r="E737" s="15"/>
    </row>
    <row r="738" spans="1:5" ht="20.25" customHeight="1" x14ac:dyDescent="0.25">
      <c r="A738" s="67" t="s">
        <v>909</v>
      </c>
      <c r="C738" s="6"/>
      <c r="D738" s="16"/>
      <c r="E738" s="15"/>
    </row>
    <row r="739" spans="1:5" ht="20.25" customHeight="1" x14ac:dyDescent="0.25">
      <c r="A739" s="67" t="s">
        <v>910</v>
      </c>
      <c r="C739" s="6"/>
      <c r="D739" s="16"/>
      <c r="E739" s="15"/>
    </row>
    <row r="740" spans="1:5" ht="20.25" customHeight="1" x14ac:dyDescent="0.25">
      <c r="A740" s="67" t="s">
        <v>911</v>
      </c>
      <c r="C740" s="6"/>
      <c r="D740" s="16"/>
      <c r="E740" s="15"/>
    </row>
    <row r="741" spans="1:5" ht="20.25" customHeight="1" x14ac:dyDescent="0.25">
      <c r="A741" s="67" t="s">
        <v>912</v>
      </c>
      <c r="C741" s="6"/>
      <c r="D741" s="16"/>
      <c r="E741" s="15"/>
    </row>
    <row r="742" spans="1:5" ht="20.25" customHeight="1" x14ac:dyDescent="0.25">
      <c r="A742" s="67" t="s">
        <v>881</v>
      </c>
      <c r="C742" s="6"/>
      <c r="D742" s="16"/>
      <c r="E742" s="15"/>
    </row>
    <row r="743" spans="1:5" ht="20.25" customHeight="1" x14ac:dyDescent="0.25">
      <c r="A743" s="67" t="s">
        <v>880</v>
      </c>
      <c r="C743" s="6"/>
      <c r="D743" s="16"/>
      <c r="E743" s="15"/>
    </row>
    <row r="744" spans="1:5" ht="20.25" customHeight="1" x14ac:dyDescent="0.25">
      <c r="A744" s="67" t="s">
        <v>800</v>
      </c>
      <c r="C744" s="6"/>
      <c r="D744" s="16"/>
      <c r="E744" s="15"/>
    </row>
    <row r="745" spans="1:5" ht="20.25" customHeight="1" x14ac:dyDescent="0.25">
      <c r="A745" s="67" t="s">
        <v>913</v>
      </c>
      <c r="C745" s="6"/>
      <c r="D745" s="16"/>
      <c r="E745" s="15"/>
    </row>
    <row r="746" spans="1:5" ht="20.25" customHeight="1" x14ac:dyDescent="0.25">
      <c r="A746" s="67" t="s">
        <v>878</v>
      </c>
      <c r="C746" s="6"/>
      <c r="D746" s="16"/>
      <c r="E746" s="15"/>
    </row>
    <row r="747" spans="1:5" ht="20.25" customHeight="1" x14ac:dyDescent="0.25">
      <c r="A747" s="67" t="s">
        <v>876</v>
      </c>
      <c r="C747" s="6"/>
      <c r="D747" s="16"/>
      <c r="E747" s="15"/>
    </row>
    <row r="748" spans="1:5" ht="20.25" customHeight="1" x14ac:dyDescent="0.25">
      <c r="A748" s="67" t="s">
        <v>903</v>
      </c>
      <c r="C748" s="6"/>
      <c r="D748" s="16"/>
      <c r="E748" s="15"/>
    </row>
    <row r="749" spans="1:5" ht="20.25" customHeight="1" x14ac:dyDescent="0.25">
      <c r="A749" s="67" t="s">
        <v>886</v>
      </c>
      <c r="C749" s="6"/>
      <c r="D749" s="16"/>
      <c r="E749" s="15"/>
    </row>
    <row r="750" spans="1:5" ht="20.25" customHeight="1" x14ac:dyDescent="0.25">
      <c r="A750" s="67" t="s">
        <v>904</v>
      </c>
      <c r="C750" s="6"/>
      <c r="D750" s="16"/>
      <c r="E750" s="15"/>
    </row>
    <row r="751" spans="1:5" ht="20.25" customHeight="1" x14ac:dyDescent="0.25">
      <c r="A751" s="67" t="s">
        <v>877</v>
      </c>
      <c r="C751" s="6"/>
      <c r="D751" s="16"/>
      <c r="E751" s="15"/>
    </row>
    <row r="752" spans="1:5" ht="20.25" customHeight="1" x14ac:dyDescent="0.25">
      <c r="A752" s="67" t="s">
        <v>875</v>
      </c>
      <c r="C752" s="6"/>
      <c r="D752" s="16"/>
      <c r="E752" s="15"/>
    </row>
    <row r="753" spans="1:10" ht="20.25" customHeight="1" x14ac:dyDescent="0.25">
      <c r="A753" s="67" t="s">
        <v>885</v>
      </c>
      <c r="C753" s="6"/>
      <c r="D753" s="16"/>
      <c r="E753" s="15"/>
    </row>
    <row r="754" spans="1:10" ht="20.25" customHeight="1" x14ac:dyDescent="0.25">
      <c r="A754" s="67"/>
      <c r="C754" s="6"/>
      <c r="D754" s="16"/>
      <c r="E754" s="15"/>
    </row>
    <row r="755" spans="1:10" ht="20.25" customHeight="1" x14ac:dyDescent="0.25">
      <c r="A755" s="67" t="s">
        <v>897</v>
      </c>
      <c r="C755" s="6"/>
      <c r="D755" s="16"/>
      <c r="E755" s="15"/>
    </row>
    <row r="756" spans="1:10" ht="20.25" customHeight="1" x14ac:dyDescent="0.25">
      <c r="A756" s="67" t="s">
        <v>898</v>
      </c>
      <c r="C756" s="6"/>
      <c r="D756" s="16"/>
      <c r="E756" s="15"/>
    </row>
    <row r="757" spans="1:10" ht="20.25" customHeight="1" x14ac:dyDescent="0.25">
      <c r="A757" s="67" t="s">
        <v>882</v>
      </c>
      <c r="C757" s="6"/>
      <c r="D757" s="16"/>
      <c r="E757" s="15"/>
    </row>
    <row r="758" spans="1:10" ht="20.25" customHeight="1" x14ac:dyDescent="0.25">
      <c r="A758" s="67" t="s">
        <v>883</v>
      </c>
      <c r="C758" s="6"/>
      <c r="D758" s="16"/>
      <c r="E758" s="15"/>
    </row>
    <row r="759" spans="1:10" ht="20.25" customHeight="1" x14ac:dyDescent="0.25">
      <c r="A759" s="67" t="s">
        <v>884</v>
      </c>
      <c r="C759" s="6"/>
      <c r="D759" s="16"/>
      <c r="E759" s="15"/>
    </row>
    <row r="760" spans="1:10" ht="20.25" customHeight="1" x14ac:dyDescent="0.25">
      <c r="C760" s="6"/>
      <c r="D760" s="16"/>
      <c r="E760" s="15"/>
    </row>
    <row r="761" spans="1:10" ht="20.25" customHeight="1" x14ac:dyDescent="0.25">
      <c r="A761" s="5" t="s">
        <v>914</v>
      </c>
      <c r="B761" s="5">
        <v>1</v>
      </c>
      <c r="C761" s="6">
        <v>46141</v>
      </c>
      <c r="D761" s="16">
        <v>46137</v>
      </c>
      <c r="E761" s="15" t="s">
        <v>16</v>
      </c>
      <c r="F761" s="5" t="s">
        <v>837</v>
      </c>
      <c r="G761" s="5" t="s">
        <v>12</v>
      </c>
      <c r="H761" s="5">
        <v>6</v>
      </c>
      <c r="I761" s="5" t="s">
        <v>67</v>
      </c>
      <c r="J761" s="13" t="s">
        <v>73</v>
      </c>
    </row>
    <row r="762" spans="1:10" ht="20.25" customHeight="1" x14ac:dyDescent="0.25">
      <c r="A762" s="5" t="s">
        <v>915</v>
      </c>
      <c r="B762" s="5">
        <v>1</v>
      </c>
      <c r="C762" s="6">
        <v>46141</v>
      </c>
      <c r="D762" s="16">
        <v>46140</v>
      </c>
      <c r="E762" s="15" t="s">
        <v>16</v>
      </c>
      <c r="F762" s="5" t="s">
        <v>837</v>
      </c>
      <c r="G762" s="5" t="s">
        <v>12</v>
      </c>
      <c r="H762" s="5">
        <v>16</v>
      </c>
      <c r="I762" s="5" t="s">
        <v>67</v>
      </c>
      <c r="J762" s="13" t="s">
        <v>73</v>
      </c>
    </row>
    <row r="763" spans="1:10" ht="20.25" customHeight="1" x14ac:dyDescent="0.25">
      <c r="A763" s="5" t="s">
        <v>916</v>
      </c>
      <c r="B763" s="5">
        <v>1</v>
      </c>
      <c r="C763" s="6">
        <v>46141</v>
      </c>
      <c r="D763" s="16">
        <v>46137</v>
      </c>
      <c r="E763" s="15" t="s">
        <v>16</v>
      </c>
      <c r="F763" s="5" t="s">
        <v>837</v>
      </c>
      <c r="G763" s="5" t="s">
        <v>12</v>
      </c>
      <c r="H763" s="5">
        <v>6</v>
      </c>
      <c r="I763" s="5" t="s">
        <v>67</v>
      </c>
      <c r="J763" s="13" t="s">
        <v>73</v>
      </c>
    </row>
    <row r="764" spans="1:10" ht="20.25" customHeight="1" x14ac:dyDescent="0.25">
      <c r="A764" s="5" t="s">
        <v>917</v>
      </c>
      <c r="B764" s="5">
        <v>1</v>
      </c>
      <c r="C764" s="6">
        <v>46141</v>
      </c>
      <c r="D764" s="16">
        <v>46137</v>
      </c>
      <c r="E764" s="15" t="s">
        <v>16</v>
      </c>
      <c r="F764" s="5" t="s">
        <v>837</v>
      </c>
      <c r="G764" s="5" t="s">
        <v>12</v>
      </c>
      <c r="H764" s="5">
        <v>1</v>
      </c>
      <c r="I764" s="5" t="s">
        <v>67</v>
      </c>
      <c r="J764" s="13" t="s">
        <v>73</v>
      </c>
    </row>
    <row r="765" spans="1:10" ht="20.25" customHeight="1" x14ac:dyDescent="0.25">
      <c r="A765" s="5" t="s">
        <v>918</v>
      </c>
      <c r="B765" s="5">
        <v>1</v>
      </c>
      <c r="C765" s="6">
        <v>46141</v>
      </c>
      <c r="D765" s="16">
        <v>46137</v>
      </c>
      <c r="E765" s="15" t="s">
        <v>16</v>
      </c>
      <c r="F765" s="5" t="s">
        <v>837</v>
      </c>
      <c r="G765" s="5" t="s">
        <v>12</v>
      </c>
      <c r="H765" s="5">
        <v>9</v>
      </c>
      <c r="I765" s="5" t="s">
        <v>67</v>
      </c>
      <c r="J765" s="13" t="s">
        <v>73</v>
      </c>
    </row>
    <row r="766" spans="1:10" ht="20.25" customHeight="1" x14ac:dyDescent="0.25">
      <c r="C766" s="6"/>
      <c r="D766" s="16"/>
      <c r="E766" s="15"/>
    </row>
    <row r="767" spans="1:10" ht="20.25" customHeight="1" x14ac:dyDescent="0.25">
      <c r="A767" s="5" t="s">
        <v>919</v>
      </c>
      <c r="B767" s="5">
        <v>1</v>
      </c>
      <c r="C767" s="6">
        <v>46142</v>
      </c>
      <c r="D767" s="16">
        <v>46136</v>
      </c>
      <c r="E767" s="15" t="s">
        <v>15</v>
      </c>
      <c r="F767" s="5" t="s">
        <v>367</v>
      </c>
      <c r="G767" s="5" t="s">
        <v>10</v>
      </c>
      <c r="H767" s="5">
        <v>17</v>
      </c>
      <c r="I767" s="5" t="s">
        <v>20</v>
      </c>
      <c r="J767" s="13" t="s">
        <v>68</v>
      </c>
    </row>
    <row r="768" spans="1:10" ht="20.25" customHeight="1" x14ac:dyDescent="0.25">
      <c r="A768" s="5" t="s">
        <v>920</v>
      </c>
      <c r="B768" s="5">
        <v>1</v>
      </c>
      <c r="C768" s="6">
        <v>46142</v>
      </c>
      <c r="D768" s="16">
        <v>46140</v>
      </c>
      <c r="E768" s="15" t="s">
        <v>15</v>
      </c>
      <c r="F768" s="5" t="s">
        <v>367</v>
      </c>
      <c r="G768" s="5" t="s">
        <v>12</v>
      </c>
      <c r="H768" s="5">
        <v>35</v>
      </c>
      <c r="I768" s="5" t="s">
        <v>20</v>
      </c>
      <c r="J768" s="13" t="s">
        <v>68</v>
      </c>
    </row>
    <row r="769" spans="1:10" ht="20.25" customHeight="1" x14ac:dyDescent="0.25">
      <c r="A769" s="5" t="s">
        <v>921</v>
      </c>
      <c r="B769" s="5">
        <v>1</v>
      </c>
      <c r="C769" s="6">
        <v>46142</v>
      </c>
      <c r="D769" s="16">
        <v>46140</v>
      </c>
      <c r="E769" s="15" t="s">
        <v>15</v>
      </c>
      <c r="F769" s="5" t="s">
        <v>367</v>
      </c>
      <c r="G769" s="5" t="s">
        <v>13</v>
      </c>
      <c r="H769" s="5">
        <v>27</v>
      </c>
      <c r="I769" s="5" t="s">
        <v>20</v>
      </c>
      <c r="J769" s="13" t="s">
        <v>68</v>
      </c>
    </row>
    <row r="770" spans="1:10" ht="20.25" customHeight="1" x14ac:dyDescent="0.25">
      <c r="A770" s="5" t="s">
        <v>922</v>
      </c>
      <c r="B770" s="5">
        <v>1</v>
      </c>
      <c r="C770" s="6">
        <v>46142</v>
      </c>
      <c r="D770" s="16">
        <v>46140</v>
      </c>
      <c r="E770" s="15" t="s">
        <v>15</v>
      </c>
      <c r="F770" s="5" t="s">
        <v>367</v>
      </c>
      <c r="G770" s="5" t="s">
        <v>12</v>
      </c>
      <c r="H770" s="5">
        <v>36</v>
      </c>
      <c r="I770" s="5" t="s">
        <v>20</v>
      </c>
      <c r="J770" s="13" t="s">
        <v>68</v>
      </c>
    </row>
    <row r="771" spans="1:10" ht="20.25" customHeight="1" x14ac:dyDescent="0.25">
      <c r="A771" s="5" t="s">
        <v>923</v>
      </c>
      <c r="B771" s="5">
        <v>1</v>
      </c>
      <c r="C771" s="6">
        <v>46142</v>
      </c>
      <c r="D771" s="16">
        <v>46138</v>
      </c>
      <c r="E771" s="15" t="s">
        <v>15</v>
      </c>
      <c r="F771" s="5" t="s">
        <v>367</v>
      </c>
      <c r="G771" s="5" t="s">
        <v>17</v>
      </c>
      <c r="H771" s="5">
        <v>33</v>
      </c>
      <c r="I771" s="5" t="s">
        <v>20</v>
      </c>
      <c r="J771" s="13" t="s">
        <v>68</v>
      </c>
    </row>
    <row r="772" spans="1:10" ht="20.25" customHeight="1" x14ac:dyDescent="0.25">
      <c r="A772" s="5" t="s">
        <v>924</v>
      </c>
      <c r="B772" s="5">
        <v>1</v>
      </c>
      <c r="C772" s="6">
        <v>46142</v>
      </c>
      <c r="D772" s="16">
        <v>46129</v>
      </c>
      <c r="E772" s="15" t="s">
        <v>8</v>
      </c>
      <c r="F772" s="5" t="s">
        <v>648</v>
      </c>
      <c r="G772" s="5" t="s">
        <v>13</v>
      </c>
      <c r="H772" s="5">
        <v>4</v>
      </c>
      <c r="I772" s="5" t="s">
        <v>22</v>
      </c>
      <c r="J772" s="13" t="s">
        <v>72</v>
      </c>
    </row>
    <row r="773" spans="1:10" ht="20.25" customHeight="1" x14ac:dyDescent="0.25">
      <c r="A773" s="5" t="s">
        <v>871</v>
      </c>
      <c r="B773" s="5">
        <v>1</v>
      </c>
      <c r="C773" s="6">
        <v>46142</v>
      </c>
      <c r="D773" s="16">
        <v>46129</v>
      </c>
      <c r="E773" s="15" t="s">
        <v>8</v>
      </c>
      <c r="F773" s="5" t="s">
        <v>648</v>
      </c>
      <c r="G773" s="5" t="s">
        <v>12</v>
      </c>
      <c r="H773" s="5">
        <v>2</v>
      </c>
      <c r="I773" s="5" t="s">
        <v>22</v>
      </c>
      <c r="J773" s="13" t="s">
        <v>72</v>
      </c>
    </row>
    <row r="774" spans="1:10" ht="20.25" customHeight="1" x14ac:dyDescent="0.25">
      <c r="A774" s="5" t="s">
        <v>928</v>
      </c>
      <c r="B774" s="5">
        <v>1</v>
      </c>
      <c r="C774" s="6">
        <v>46142</v>
      </c>
      <c r="D774" s="16">
        <v>46130</v>
      </c>
      <c r="E774" s="15" t="s">
        <v>8</v>
      </c>
      <c r="F774" s="5" t="s">
        <v>648</v>
      </c>
      <c r="G774" s="5" t="s">
        <v>11</v>
      </c>
      <c r="H774" s="5">
        <v>4</v>
      </c>
      <c r="I774" s="5" t="s">
        <v>22</v>
      </c>
      <c r="J774" s="13" t="s">
        <v>72</v>
      </c>
    </row>
    <row r="775" spans="1:10" ht="20.25" customHeight="1" x14ac:dyDescent="0.25">
      <c r="A775" s="5" t="s">
        <v>925</v>
      </c>
      <c r="B775" s="5">
        <v>1</v>
      </c>
      <c r="C775" s="6">
        <v>46142</v>
      </c>
      <c r="D775" s="16">
        <v>46130</v>
      </c>
      <c r="E775" s="15" t="s">
        <v>8</v>
      </c>
      <c r="F775" s="5" t="s">
        <v>648</v>
      </c>
      <c r="G775" s="5" t="s">
        <v>12</v>
      </c>
      <c r="H775" s="5">
        <v>1</v>
      </c>
      <c r="I775" s="5" t="s">
        <v>22</v>
      </c>
      <c r="J775" s="13" t="s">
        <v>72</v>
      </c>
    </row>
    <row r="776" spans="1:10" ht="20.25" customHeight="1" x14ac:dyDescent="0.25">
      <c r="A776" s="5" t="s">
        <v>926</v>
      </c>
      <c r="B776" s="5">
        <v>1</v>
      </c>
      <c r="C776" s="6">
        <v>46142</v>
      </c>
      <c r="D776" s="16">
        <v>46129</v>
      </c>
      <c r="E776" s="15" t="s">
        <v>8</v>
      </c>
      <c r="F776" s="5" t="s">
        <v>648</v>
      </c>
      <c r="G776" s="5" t="s">
        <v>10</v>
      </c>
      <c r="H776" s="5">
        <v>5</v>
      </c>
      <c r="I776" s="5" t="s">
        <v>22</v>
      </c>
      <c r="J776" s="13" t="s">
        <v>72</v>
      </c>
    </row>
    <row r="777" spans="1:10" ht="20.25" customHeight="1" x14ac:dyDescent="0.25">
      <c r="A777" s="5" t="s">
        <v>927</v>
      </c>
      <c r="B777" s="5">
        <v>1</v>
      </c>
      <c r="C777" s="6">
        <v>46142</v>
      </c>
      <c r="D777" s="16">
        <v>46130</v>
      </c>
      <c r="E777" s="15" t="s">
        <v>8</v>
      </c>
      <c r="F777" s="5" t="s">
        <v>648</v>
      </c>
      <c r="G777" s="5" t="s">
        <v>13</v>
      </c>
      <c r="H777" s="5">
        <v>4</v>
      </c>
      <c r="I777" s="5" t="s">
        <v>22</v>
      </c>
      <c r="J777" s="13" t="s">
        <v>72</v>
      </c>
    </row>
    <row r="778" spans="1:10" ht="20.25" customHeight="1" x14ac:dyDescent="0.25">
      <c r="A778" s="5" t="s">
        <v>873</v>
      </c>
      <c r="B778" s="5">
        <v>1</v>
      </c>
      <c r="C778" s="6">
        <v>46142</v>
      </c>
      <c r="D778" s="16">
        <v>46129</v>
      </c>
      <c r="E778" s="15" t="s">
        <v>8</v>
      </c>
      <c r="F778" s="5" t="s">
        <v>648</v>
      </c>
      <c r="G778" s="5" t="s">
        <v>10</v>
      </c>
      <c r="H778" s="5">
        <v>8</v>
      </c>
      <c r="I778" s="5" t="s">
        <v>22</v>
      </c>
      <c r="J778" s="13" t="s">
        <v>72</v>
      </c>
    </row>
    <row r="779" spans="1:10" ht="20.25" customHeight="1" x14ac:dyDescent="0.25">
      <c r="A779" s="5" t="s">
        <v>1088</v>
      </c>
      <c r="B779" s="5">
        <v>1</v>
      </c>
      <c r="C779" s="6">
        <v>46142</v>
      </c>
      <c r="D779" s="16">
        <v>46129</v>
      </c>
      <c r="E779" s="15" t="s">
        <v>8</v>
      </c>
      <c r="F779" s="5" t="s">
        <v>648</v>
      </c>
      <c r="G779" s="5" t="s">
        <v>13</v>
      </c>
      <c r="H779" s="5">
        <v>4</v>
      </c>
      <c r="I779" s="5" t="s">
        <v>22</v>
      </c>
      <c r="J779" s="13" t="s">
        <v>72</v>
      </c>
    </row>
    <row r="780" spans="1:10" ht="20.25" customHeight="1" x14ac:dyDescent="0.25">
      <c r="A780" s="5" t="s">
        <v>1089</v>
      </c>
      <c r="B780" s="5">
        <v>1</v>
      </c>
      <c r="C780" s="6">
        <v>46142</v>
      </c>
      <c r="D780" s="16">
        <v>46130</v>
      </c>
      <c r="E780" s="15" t="s">
        <v>8</v>
      </c>
      <c r="F780" s="5" t="s">
        <v>648</v>
      </c>
      <c r="G780" s="5" t="s">
        <v>13</v>
      </c>
      <c r="H780" s="5">
        <v>1</v>
      </c>
      <c r="I780" s="5" t="s">
        <v>22</v>
      </c>
      <c r="J780" s="13" t="s">
        <v>72</v>
      </c>
    </row>
    <row r="781" spans="1:10" ht="20.25" customHeight="1" x14ac:dyDescent="0.25">
      <c r="A781" s="5" t="s">
        <v>929</v>
      </c>
      <c r="B781" s="5">
        <v>1</v>
      </c>
      <c r="C781" s="6">
        <v>46142</v>
      </c>
      <c r="D781" s="16">
        <v>46130</v>
      </c>
      <c r="E781" s="15" t="s">
        <v>8</v>
      </c>
      <c r="F781" s="5" t="s">
        <v>648</v>
      </c>
      <c r="G781" s="5" t="s">
        <v>13</v>
      </c>
      <c r="H781" s="5">
        <v>1</v>
      </c>
      <c r="I781" s="5" t="s">
        <v>22</v>
      </c>
      <c r="J781" s="13" t="s">
        <v>72</v>
      </c>
    </row>
    <row r="782" spans="1:10" ht="20.25" customHeight="1" x14ac:dyDescent="0.25">
      <c r="A782" s="5" t="s">
        <v>930</v>
      </c>
      <c r="B782" s="5">
        <v>1</v>
      </c>
      <c r="C782" s="6">
        <v>46142</v>
      </c>
      <c r="D782" s="16">
        <v>46129</v>
      </c>
      <c r="E782" s="15" t="s">
        <v>8</v>
      </c>
      <c r="F782" s="5" t="s">
        <v>648</v>
      </c>
      <c r="G782" s="5" t="s">
        <v>11</v>
      </c>
      <c r="H782" s="5">
        <v>3</v>
      </c>
      <c r="I782" s="5" t="s">
        <v>22</v>
      </c>
      <c r="J782" s="13" t="s">
        <v>72</v>
      </c>
    </row>
    <row r="783" spans="1:10" ht="20.25" customHeight="1" x14ac:dyDescent="0.25">
      <c r="A783" s="5" t="s">
        <v>870</v>
      </c>
      <c r="B783" s="5">
        <v>1</v>
      </c>
      <c r="C783" s="6">
        <v>46142</v>
      </c>
      <c r="D783" s="16">
        <v>46129</v>
      </c>
      <c r="E783" s="15" t="s">
        <v>8</v>
      </c>
      <c r="F783" s="5" t="s">
        <v>648</v>
      </c>
      <c r="G783" s="5" t="s">
        <v>12</v>
      </c>
      <c r="H783" s="5">
        <v>1</v>
      </c>
      <c r="I783" s="5" t="s">
        <v>22</v>
      </c>
      <c r="J783" s="13" t="s">
        <v>72</v>
      </c>
    </row>
    <row r="784" spans="1:10" ht="20.25" customHeight="1" x14ac:dyDescent="0.25">
      <c r="A784" s="5" t="s">
        <v>931</v>
      </c>
      <c r="B784" s="5">
        <v>1</v>
      </c>
      <c r="C784" s="6">
        <v>46142</v>
      </c>
      <c r="D784" s="16">
        <v>46129</v>
      </c>
      <c r="E784" s="15" t="s">
        <v>8</v>
      </c>
      <c r="F784" s="5" t="s">
        <v>648</v>
      </c>
      <c r="G784" s="5" t="s">
        <v>11</v>
      </c>
      <c r="H784" s="5">
        <v>1</v>
      </c>
      <c r="I784" s="5" t="s">
        <v>22</v>
      </c>
      <c r="J784" s="13" t="s">
        <v>72</v>
      </c>
    </row>
    <row r="785" spans="1:10" ht="20.25" customHeight="1" x14ac:dyDescent="0.25">
      <c r="A785" s="5" t="s">
        <v>682</v>
      </c>
      <c r="B785" s="5">
        <v>1</v>
      </c>
      <c r="C785" s="6">
        <v>46142</v>
      </c>
      <c r="D785" s="16">
        <v>46128</v>
      </c>
      <c r="E785" s="15" t="s">
        <v>8</v>
      </c>
      <c r="F785" s="5" t="s">
        <v>932</v>
      </c>
      <c r="G785" s="5" t="s">
        <v>11</v>
      </c>
      <c r="H785" s="5">
        <v>17</v>
      </c>
      <c r="I785" s="5" t="s">
        <v>22</v>
      </c>
      <c r="J785" s="13" t="s">
        <v>72</v>
      </c>
    </row>
    <row r="786" spans="1:10" ht="20.25" customHeight="1" x14ac:dyDescent="0.25">
      <c r="A786" s="5" t="s">
        <v>933</v>
      </c>
      <c r="B786" s="5">
        <v>1</v>
      </c>
      <c r="C786" s="6">
        <v>46142</v>
      </c>
      <c r="D786" s="16">
        <v>46130</v>
      </c>
      <c r="E786" s="15" t="s">
        <v>8</v>
      </c>
      <c r="F786" s="5" t="s">
        <v>648</v>
      </c>
      <c r="G786" s="5" t="s">
        <v>10</v>
      </c>
      <c r="H786" s="5">
        <v>1</v>
      </c>
      <c r="I786" s="5" t="s">
        <v>22</v>
      </c>
      <c r="J786" s="13" t="s">
        <v>72</v>
      </c>
    </row>
    <row r="787" spans="1:10" ht="20.25" customHeight="1" x14ac:dyDescent="0.25">
      <c r="A787" s="5" t="s">
        <v>759</v>
      </c>
      <c r="B787" s="5">
        <v>1</v>
      </c>
      <c r="C787" s="6">
        <v>46142</v>
      </c>
      <c r="D787" s="16">
        <v>46130</v>
      </c>
      <c r="E787" s="15" t="s">
        <v>8</v>
      </c>
      <c r="F787" s="5" t="s">
        <v>648</v>
      </c>
      <c r="G787" s="5" t="s">
        <v>10</v>
      </c>
      <c r="H787" s="5">
        <v>11</v>
      </c>
      <c r="I787" s="5" t="s">
        <v>22</v>
      </c>
      <c r="J787" s="13" t="s">
        <v>72</v>
      </c>
    </row>
    <row r="788" spans="1:10" ht="20.25" customHeight="1" x14ac:dyDescent="0.25">
      <c r="A788" s="5" t="s">
        <v>934</v>
      </c>
      <c r="B788" s="5">
        <v>1</v>
      </c>
      <c r="C788" s="6">
        <v>46142</v>
      </c>
      <c r="D788" s="16">
        <v>46130</v>
      </c>
      <c r="E788" s="15" t="s">
        <v>8</v>
      </c>
      <c r="F788" s="5" t="s">
        <v>648</v>
      </c>
      <c r="G788" s="5" t="s">
        <v>10</v>
      </c>
      <c r="H788" s="5">
        <v>4</v>
      </c>
      <c r="I788" s="5" t="s">
        <v>22</v>
      </c>
      <c r="J788" s="13" t="s">
        <v>72</v>
      </c>
    </row>
    <row r="789" spans="1:10" ht="20.25" customHeight="1" x14ac:dyDescent="0.25">
      <c r="A789" s="5" t="s">
        <v>899</v>
      </c>
      <c r="B789" s="5">
        <v>1</v>
      </c>
      <c r="C789" s="6">
        <v>46142</v>
      </c>
      <c r="D789" s="16">
        <v>46130</v>
      </c>
      <c r="E789" s="15" t="s">
        <v>8</v>
      </c>
      <c r="F789" s="5" t="s">
        <v>648</v>
      </c>
      <c r="G789" s="5" t="s">
        <v>12</v>
      </c>
      <c r="H789" s="5">
        <v>2</v>
      </c>
      <c r="I789" s="5" t="s">
        <v>22</v>
      </c>
      <c r="J789" s="13" t="s">
        <v>72</v>
      </c>
    </row>
    <row r="790" spans="1:10" ht="20.25" customHeight="1" x14ac:dyDescent="0.25">
      <c r="A790" s="5" t="s">
        <v>638</v>
      </c>
      <c r="B790" s="5">
        <v>1</v>
      </c>
      <c r="C790" s="6">
        <v>46142</v>
      </c>
      <c r="D790" s="16">
        <v>46127</v>
      </c>
      <c r="E790" s="15" t="s">
        <v>8</v>
      </c>
      <c r="F790" s="5" t="s">
        <v>647</v>
      </c>
      <c r="G790" s="5" t="s">
        <v>10</v>
      </c>
      <c r="H790" s="5">
        <v>24</v>
      </c>
      <c r="I790" s="5" t="s">
        <v>22</v>
      </c>
      <c r="J790" s="13" t="s">
        <v>72</v>
      </c>
    </row>
    <row r="791" spans="1:10" ht="20.25" customHeight="1" x14ac:dyDescent="0.25">
      <c r="A791" s="5" t="s">
        <v>935</v>
      </c>
      <c r="B791" s="5">
        <v>1</v>
      </c>
      <c r="C791" s="6">
        <v>46142</v>
      </c>
      <c r="D791" s="16">
        <v>46132</v>
      </c>
      <c r="E791" s="15" t="s">
        <v>8</v>
      </c>
      <c r="F791" s="5" t="s">
        <v>936</v>
      </c>
      <c r="G791" s="5" t="s">
        <v>12</v>
      </c>
      <c r="H791" s="5">
        <v>13</v>
      </c>
      <c r="I791" s="5" t="s">
        <v>21</v>
      </c>
      <c r="J791" s="13" t="s">
        <v>70</v>
      </c>
    </row>
    <row r="792" spans="1:10" ht="20.25" customHeight="1" x14ac:dyDescent="0.25">
      <c r="A792" s="5" t="s">
        <v>937</v>
      </c>
      <c r="B792" s="5">
        <v>1</v>
      </c>
      <c r="C792" s="6">
        <v>46142</v>
      </c>
      <c r="D792" s="16">
        <v>46137</v>
      </c>
      <c r="E792" s="15" t="s">
        <v>8</v>
      </c>
      <c r="F792" s="5" t="s">
        <v>936</v>
      </c>
      <c r="G792" s="5" t="s">
        <v>17</v>
      </c>
      <c r="H792" s="5">
        <v>23</v>
      </c>
      <c r="I792" s="5" t="s">
        <v>21</v>
      </c>
      <c r="J792" s="13" t="s">
        <v>70</v>
      </c>
    </row>
    <row r="793" spans="1:10" ht="20.25" customHeight="1" x14ac:dyDescent="0.25">
      <c r="A793" s="5" t="s">
        <v>938</v>
      </c>
      <c r="B793" s="5">
        <v>1</v>
      </c>
      <c r="C793" s="6">
        <v>46142</v>
      </c>
      <c r="D793" s="16">
        <v>46137</v>
      </c>
      <c r="E793" s="15" t="s">
        <v>8</v>
      </c>
      <c r="F793" s="5" t="s">
        <v>936</v>
      </c>
      <c r="G793" s="5" t="s">
        <v>12</v>
      </c>
      <c r="H793" s="5">
        <v>18</v>
      </c>
      <c r="I793" s="5" t="s">
        <v>21</v>
      </c>
      <c r="J793" s="13" t="s">
        <v>70</v>
      </c>
    </row>
    <row r="794" spans="1:10" ht="20.25" customHeight="1" x14ac:dyDescent="0.25">
      <c r="A794" s="5" t="s">
        <v>939</v>
      </c>
      <c r="B794" s="5">
        <v>1</v>
      </c>
      <c r="C794" s="6">
        <v>46142</v>
      </c>
      <c r="D794" s="16">
        <v>46130</v>
      </c>
      <c r="E794" s="15" t="s">
        <v>8</v>
      </c>
      <c r="F794" s="5" t="s">
        <v>648</v>
      </c>
      <c r="G794" s="5" t="s">
        <v>10</v>
      </c>
      <c r="H794" s="20">
        <v>1</v>
      </c>
      <c r="I794" s="5" t="s">
        <v>22</v>
      </c>
      <c r="J794" s="13" t="s">
        <v>72</v>
      </c>
    </row>
    <row r="795" spans="1:10" ht="20.25" customHeight="1" x14ac:dyDescent="0.25">
      <c r="A795" s="5" t="s">
        <v>940</v>
      </c>
      <c r="B795" s="5">
        <v>1</v>
      </c>
      <c r="C795" s="6">
        <v>46142</v>
      </c>
      <c r="D795" s="16">
        <v>46138</v>
      </c>
      <c r="E795" s="15" t="s">
        <v>15</v>
      </c>
      <c r="F795" s="5" t="s">
        <v>367</v>
      </c>
      <c r="G795" s="5" t="s">
        <v>17</v>
      </c>
      <c r="H795" s="5">
        <v>8</v>
      </c>
      <c r="I795" s="5" t="s">
        <v>20</v>
      </c>
      <c r="J795" s="13" t="s">
        <v>68</v>
      </c>
    </row>
    <row r="796" spans="1:10" ht="20.25" customHeight="1" x14ac:dyDescent="0.25">
      <c r="A796" s="5" t="s">
        <v>941</v>
      </c>
      <c r="B796" s="5">
        <v>1</v>
      </c>
      <c r="C796" s="6">
        <v>46142</v>
      </c>
      <c r="D796" s="16">
        <v>46137</v>
      </c>
      <c r="E796" s="15" t="s">
        <v>8</v>
      </c>
      <c r="F796" s="5" t="s">
        <v>837</v>
      </c>
      <c r="G796" s="5" t="s">
        <v>17</v>
      </c>
      <c r="H796" s="5">
        <v>13</v>
      </c>
      <c r="I796" s="5" t="s">
        <v>67</v>
      </c>
      <c r="J796" s="13" t="s">
        <v>73</v>
      </c>
    </row>
    <row r="797" spans="1:10" ht="20.25" customHeight="1" x14ac:dyDescent="0.25">
      <c r="A797" s="5" t="s">
        <v>942</v>
      </c>
      <c r="B797" s="5">
        <v>1</v>
      </c>
      <c r="C797" s="6">
        <v>46142</v>
      </c>
      <c r="D797" s="16">
        <v>46137</v>
      </c>
      <c r="E797" s="15" t="s">
        <v>8</v>
      </c>
      <c r="F797" s="5" t="s">
        <v>837</v>
      </c>
      <c r="G797" s="5" t="s">
        <v>11</v>
      </c>
      <c r="H797" s="5">
        <v>9</v>
      </c>
      <c r="I797" s="5" t="s">
        <v>67</v>
      </c>
      <c r="J797" s="13" t="s">
        <v>73</v>
      </c>
    </row>
    <row r="798" spans="1:10" ht="20.25" customHeight="1" x14ac:dyDescent="0.25">
      <c r="A798" s="5" t="s">
        <v>943</v>
      </c>
      <c r="B798" s="5">
        <v>1</v>
      </c>
      <c r="C798" s="6">
        <v>46142</v>
      </c>
      <c r="D798" s="16">
        <v>46137</v>
      </c>
      <c r="E798" s="15" t="s">
        <v>8</v>
      </c>
      <c r="F798" s="5" t="s">
        <v>837</v>
      </c>
      <c r="G798" s="5" t="s">
        <v>10</v>
      </c>
      <c r="H798" s="5">
        <v>18</v>
      </c>
      <c r="I798" s="5" t="s">
        <v>67</v>
      </c>
      <c r="J798" s="13" t="s">
        <v>73</v>
      </c>
    </row>
    <row r="799" spans="1:10" ht="20.25" customHeight="1" x14ac:dyDescent="0.25">
      <c r="A799" s="5" t="s">
        <v>944</v>
      </c>
      <c r="B799" s="5">
        <v>1</v>
      </c>
      <c r="C799" s="6">
        <v>46142</v>
      </c>
      <c r="D799" s="16">
        <v>46137</v>
      </c>
      <c r="E799" s="15" t="s">
        <v>16</v>
      </c>
      <c r="F799" s="5" t="s">
        <v>837</v>
      </c>
      <c r="G799" s="5" t="s">
        <v>10</v>
      </c>
      <c r="H799" s="5">
        <v>12</v>
      </c>
      <c r="I799" s="5" t="s">
        <v>67</v>
      </c>
      <c r="J799" s="13" t="s">
        <v>73</v>
      </c>
    </row>
    <row r="800" spans="1:10" ht="20.25" customHeight="1" x14ac:dyDescent="0.25">
      <c r="A800" s="5" t="s">
        <v>945</v>
      </c>
      <c r="B800" s="5">
        <v>1</v>
      </c>
      <c r="C800" s="6">
        <v>46142</v>
      </c>
      <c r="D800" s="16">
        <v>46137</v>
      </c>
      <c r="E800" s="15" t="s">
        <v>16</v>
      </c>
      <c r="F800" s="5" t="s">
        <v>837</v>
      </c>
      <c r="G800" s="5" t="s">
        <v>10</v>
      </c>
      <c r="H800" s="5">
        <v>30</v>
      </c>
      <c r="I800" s="5" t="s">
        <v>67</v>
      </c>
      <c r="J800" s="13" t="s">
        <v>73</v>
      </c>
    </row>
    <row r="801" spans="1:10" ht="20.25" customHeight="1" x14ac:dyDescent="0.25">
      <c r="A801" s="5" t="s">
        <v>946</v>
      </c>
      <c r="B801" s="5">
        <v>1</v>
      </c>
      <c r="C801" s="6">
        <v>46142</v>
      </c>
      <c r="D801" s="16">
        <v>46137</v>
      </c>
      <c r="E801" s="15" t="s">
        <v>16</v>
      </c>
      <c r="F801" s="5" t="s">
        <v>837</v>
      </c>
      <c r="G801" s="5" t="s">
        <v>11</v>
      </c>
      <c r="H801" s="5">
        <v>21</v>
      </c>
      <c r="I801" s="5" t="s">
        <v>67</v>
      </c>
      <c r="J801" s="13" t="s">
        <v>73</v>
      </c>
    </row>
    <row r="802" spans="1:10" ht="20.25" customHeight="1" x14ac:dyDescent="0.25">
      <c r="A802" s="5" t="s">
        <v>947</v>
      </c>
      <c r="B802" s="5">
        <v>1</v>
      </c>
      <c r="C802" s="6">
        <v>46142</v>
      </c>
      <c r="D802" s="16">
        <v>46137</v>
      </c>
      <c r="E802" s="15" t="s">
        <v>16</v>
      </c>
      <c r="F802" s="5" t="s">
        <v>837</v>
      </c>
      <c r="G802" s="5" t="s">
        <v>10</v>
      </c>
      <c r="H802" s="5">
        <v>9</v>
      </c>
      <c r="I802" s="5" t="s">
        <v>67</v>
      </c>
      <c r="J802" s="13" t="s">
        <v>73</v>
      </c>
    </row>
    <row r="803" spans="1:10" ht="20.25" customHeight="1" x14ac:dyDescent="0.25">
      <c r="A803" s="5" t="s">
        <v>948</v>
      </c>
      <c r="B803" s="5">
        <v>1</v>
      </c>
      <c r="C803" s="6">
        <v>46142</v>
      </c>
      <c r="D803" s="16">
        <v>46137</v>
      </c>
      <c r="E803" s="15" t="s">
        <v>16</v>
      </c>
      <c r="F803" s="5" t="s">
        <v>837</v>
      </c>
      <c r="G803" s="5" t="s">
        <v>10</v>
      </c>
      <c r="H803" s="5">
        <v>22</v>
      </c>
      <c r="I803" s="5" t="s">
        <v>67</v>
      </c>
      <c r="J803" s="13" t="s">
        <v>73</v>
      </c>
    </row>
    <row r="804" spans="1:10" ht="20.25" customHeight="1" x14ac:dyDescent="0.25">
      <c r="A804" s="5" t="s">
        <v>950</v>
      </c>
      <c r="B804" s="5">
        <v>1</v>
      </c>
      <c r="C804" s="6">
        <v>46144</v>
      </c>
      <c r="D804" s="16">
        <v>46137</v>
      </c>
      <c r="E804" s="15" t="s">
        <v>16</v>
      </c>
      <c r="F804" s="5" t="s">
        <v>936</v>
      </c>
      <c r="G804" s="5" t="s">
        <v>10</v>
      </c>
      <c r="H804" s="5">
        <v>14</v>
      </c>
      <c r="I804" s="5" t="s">
        <v>21</v>
      </c>
      <c r="J804" s="13" t="s">
        <v>70</v>
      </c>
    </row>
    <row r="805" spans="1:10" ht="20.25" customHeight="1" x14ac:dyDescent="0.25">
      <c r="A805" s="5" t="s">
        <v>951</v>
      </c>
      <c r="B805" s="5">
        <v>1</v>
      </c>
      <c r="C805" s="6">
        <v>46144</v>
      </c>
      <c r="D805" s="16">
        <v>46137</v>
      </c>
      <c r="E805" s="15" t="s">
        <v>16</v>
      </c>
      <c r="F805" s="5" t="s">
        <v>936</v>
      </c>
      <c r="G805" s="5" t="s">
        <v>17</v>
      </c>
      <c r="H805" s="5">
        <v>8</v>
      </c>
      <c r="I805" s="5" t="s">
        <v>21</v>
      </c>
      <c r="J805" s="13" t="s">
        <v>70</v>
      </c>
    </row>
    <row r="806" spans="1:10" ht="20.25" customHeight="1" x14ac:dyDescent="0.25">
      <c r="A806" s="5" t="s">
        <v>898</v>
      </c>
      <c r="B806" s="5">
        <v>1</v>
      </c>
      <c r="C806" s="6">
        <v>46144</v>
      </c>
      <c r="D806" s="16">
        <v>46137</v>
      </c>
      <c r="E806" s="15" t="s">
        <v>16</v>
      </c>
      <c r="F806" s="5" t="s">
        <v>936</v>
      </c>
      <c r="G806" s="5" t="s">
        <v>10</v>
      </c>
      <c r="H806" s="5">
        <v>10</v>
      </c>
      <c r="I806" s="5" t="s">
        <v>21</v>
      </c>
      <c r="J806" s="13" t="s">
        <v>70</v>
      </c>
    </row>
    <row r="807" spans="1:10" ht="20.25" customHeight="1" x14ac:dyDescent="0.25">
      <c r="A807" s="5" t="s">
        <v>952</v>
      </c>
      <c r="B807" s="5">
        <v>1</v>
      </c>
      <c r="C807" s="6">
        <v>46144</v>
      </c>
      <c r="D807" s="16">
        <v>46140</v>
      </c>
      <c r="E807" s="15" t="s">
        <v>16</v>
      </c>
      <c r="F807" s="5" t="s">
        <v>936</v>
      </c>
      <c r="G807" s="5" t="s">
        <v>12</v>
      </c>
      <c r="H807" s="5">
        <v>16</v>
      </c>
      <c r="I807" s="5" t="s">
        <v>21</v>
      </c>
      <c r="J807" s="13" t="s">
        <v>70</v>
      </c>
    </row>
    <row r="808" spans="1:10" ht="20.25" customHeight="1" x14ac:dyDescent="0.25">
      <c r="A808" s="5" t="s">
        <v>953</v>
      </c>
      <c r="B808" s="5">
        <v>1</v>
      </c>
      <c r="C808" s="6">
        <v>46144</v>
      </c>
      <c r="D808" s="16">
        <v>46141</v>
      </c>
      <c r="E808" s="15" t="s">
        <v>16</v>
      </c>
      <c r="F808" s="5" t="s">
        <v>889</v>
      </c>
      <c r="G808" s="5" t="s">
        <v>12</v>
      </c>
      <c r="H808" s="5">
        <v>5</v>
      </c>
      <c r="I808" s="5" t="s">
        <v>22</v>
      </c>
      <c r="J808" s="13" t="s">
        <v>72</v>
      </c>
    </row>
    <row r="809" spans="1:10" ht="20.25" customHeight="1" x14ac:dyDescent="0.25">
      <c r="A809" s="5" t="s">
        <v>954</v>
      </c>
      <c r="B809" s="5">
        <v>1</v>
      </c>
      <c r="C809" s="6">
        <v>46144</v>
      </c>
      <c r="D809" s="16">
        <v>46140</v>
      </c>
      <c r="E809" s="15" t="s">
        <v>16</v>
      </c>
      <c r="F809" s="5" t="s">
        <v>889</v>
      </c>
      <c r="G809" s="5" t="s">
        <v>12</v>
      </c>
      <c r="H809" s="5">
        <v>4</v>
      </c>
      <c r="I809" s="5" t="s">
        <v>22</v>
      </c>
      <c r="J809" s="13" t="s">
        <v>72</v>
      </c>
    </row>
    <row r="810" spans="1:10" ht="20.25" customHeight="1" x14ac:dyDescent="0.25">
      <c r="A810" s="5" t="s">
        <v>955</v>
      </c>
      <c r="B810" s="5">
        <v>1</v>
      </c>
      <c r="C810" s="6">
        <v>46144</v>
      </c>
      <c r="D810" s="16">
        <v>46109</v>
      </c>
      <c r="E810" s="15" t="s">
        <v>16</v>
      </c>
      <c r="F810" s="5" t="s">
        <v>889</v>
      </c>
      <c r="G810" s="5" t="s">
        <v>12</v>
      </c>
      <c r="H810" s="5">
        <v>6</v>
      </c>
      <c r="I810" s="5" t="s">
        <v>22</v>
      </c>
      <c r="J810" s="13" t="s">
        <v>72</v>
      </c>
    </row>
    <row r="811" spans="1:10" ht="20.25" customHeight="1" x14ac:dyDescent="0.25">
      <c r="A811" s="5" t="s">
        <v>956</v>
      </c>
      <c r="B811" s="5">
        <v>1</v>
      </c>
      <c r="C811" s="6">
        <v>46144</v>
      </c>
      <c r="D811" s="16">
        <v>46138</v>
      </c>
      <c r="E811" s="15" t="s">
        <v>16</v>
      </c>
      <c r="F811" s="5" t="s">
        <v>889</v>
      </c>
      <c r="G811" s="5" t="s">
        <v>10</v>
      </c>
      <c r="H811" s="5">
        <v>16</v>
      </c>
      <c r="I811" s="5" t="s">
        <v>22</v>
      </c>
      <c r="J811" s="13" t="s">
        <v>72</v>
      </c>
    </row>
    <row r="812" spans="1:10" ht="20.25" customHeight="1" x14ac:dyDescent="0.25">
      <c r="A812" s="5" t="s">
        <v>957</v>
      </c>
      <c r="B812" s="5">
        <v>1</v>
      </c>
      <c r="C812" s="6">
        <v>46144</v>
      </c>
      <c r="D812" s="16">
        <v>46141</v>
      </c>
      <c r="E812" s="15" t="s">
        <v>16</v>
      </c>
      <c r="F812" s="5" t="s">
        <v>645</v>
      </c>
      <c r="G812" s="5" t="s">
        <v>12</v>
      </c>
      <c r="H812" s="5">
        <v>2</v>
      </c>
      <c r="I812" s="5" t="s">
        <v>185</v>
      </c>
      <c r="J812" s="13" t="s">
        <v>48</v>
      </c>
    </row>
    <row r="813" spans="1:10" ht="20.25" customHeight="1" x14ac:dyDescent="0.25">
      <c r="A813" s="5" t="s">
        <v>958</v>
      </c>
      <c r="B813" s="5">
        <v>1</v>
      </c>
      <c r="C813" s="6">
        <v>46144</v>
      </c>
      <c r="D813" s="16">
        <v>46141</v>
      </c>
      <c r="E813" s="15" t="s">
        <v>16</v>
      </c>
      <c r="F813" s="5" t="s">
        <v>645</v>
      </c>
      <c r="G813" s="5" t="s">
        <v>12</v>
      </c>
      <c r="H813" s="5">
        <v>6</v>
      </c>
      <c r="I813" s="5" t="s">
        <v>185</v>
      </c>
      <c r="J813" s="13" t="s">
        <v>48</v>
      </c>
    </row>
    <row r="814" spans="1:10" ht="20.25" customHeight="1" x14ac:dyDescent="0.25">
      <c r="A814" s="5" t="s">
        <v>959</v>
      </c>
      <c r="B814" s="5">
        <v>1</v>
      </c>
      <c r="C814" s="6">
        <v>46144</v>
      </c>
      <c r="D814" s="16">
        <v>46141</v>
      </c>
      <c r="E814" s="15" t="s">
        <v>16</v>
      </c>
      <c r="F814" s="5" t="s">
        <v>960</v>
      </c>
      <c r="G814" s="5" t="s">
        <v>12</v>
      </c>
      <c r="H814" s="5">
        <v>8</v>
      </c>
      <c r="I814" s="5" t="s">
        <v>21</v>
      </c>
      <c r="J814" s="13" t="s">
        <v>70</v>
      </c>
    </row>
    <row r="815" spans="1:10" ht="20.25" customHeight="1" x14ac:dyDescent="0.25">
      <c r="A815" s="5" t="s">
        <v>961</v>
      </c>
      <c r="B815" s="5">
        <v>1</v>
      </c>
      <c r="C815" s="6">
        <v>46144</v>
      </c>
      <c r="D815" s="16">
        <v>46137</v>
      </c>
      <c r="E815" s="15" t="s">
        <v>16</v>
      </c>
      <c r="F815" s="5" t="s">
        <v>837</v>
      </c>
      <c r="G815" s="5" t="s">
        <v>17</v>
      </c>
      <c r="H815" s="5">
        <v>21</v>
      </c>
      <c r="I815" s="5" t="s">
        <v>67</v>
      </c>
      <c r="J815" s="13" t="s">
        <v>73</v>
      </c>
    </row>
    <row r="816" spans="1:10" ht="20.25" customHeight="1" x14ac:dyDescent="0.25">
      <c r="A816" s="5" t="s">
        <v>962</v>
      </c>
      <c r="B816" s="5">
        <v>1</v>
      </c>
      <c r="C816" s="6">
        <v>46144</v>
      </c>
      <c r="D816" s="16">
        <v>46137</v>
      </c>
      <c r="E816" s="15" t="s">
        <v>16</v>
      </c>
      <c r="F816" s="5" t="s">
        <v>837</v>
      </c>
      <c r="G816" s="5" t="s">
        <v>13</v>
      </c>
      <c r="H816" s="5">
        <v>7</v>
      </c>
      <c r="I816" s="5" t="s">
        <v>67</v>
      </c>
      <c r="J816" s="13" t="s">
        <v>73</v>
      </c>
    </row>
    <row r="817" spans="1:10" ht="20.25" customHeight="1" x14ac:dyDescent="0.25">
      <c r="A817" s="5" t="s">
        <v>963</v>
      </c>
      <c r="B817" s="5">
        <v>1</v>
      </c>
      <c r="C817" s="6">
        <v>46144</v>
      </c>
      <c r="D817" s="16">
        <v>46137</v>
      </c>
      <c r="E817" s="15" t="s">
        <v>16</v>
      </c>
      <c r="F817" s="5" t="s">
        <v>837</v>
      </c>
      <c r="G817" s="5" t="s">
        <v>11</v>
      </c>
      <c r="H817" s="5">
        <v>6</v>
      </c>
      <c r="I817" s="5" t="s">
        <v>67</v>
      </c>
      <c r="J817" s="13" t="s">
        <v>73</v>
      </c>
    </row>
    <row r="818" spans="1:10" ht="20.25" customHeight="1" x14ac:dyDescent="0.25">
      <c r="A818" s="5" t="s">
        <v>964</v>
      </c>
      <c r="B818" s="5">
        <v>1</v>
      </c>
      <c r="C818" s="6">
        <v>46144</v>
      </c>
      <c r="D818" s="16">
        <v>46137</v>
      </c>
      <c r="E818" s="15" t="s">
        <v>16</v>
      </c>
      <c r="F818" s="5" t="s">
        <v>837</v>
      </c>
      <c r="G818" s="5" t="s">
        <v>10</v>
      </c>
      <c r="H818" s="5">
        <v>11</v>
      </c>
      <c r="I818" s="5" t="s">
        <v>67</v>
      </c>
      <c r="J818" s="13" t="s">
        <v>73</v>
      </c>
    </row>
    <row r="819" spans="1:10" ht="20.25" customHeight="1" x14ac:dyDescent="0.25">
      <c r="A819" s="5" t="s">
        <v>965</v>
      </c>
      <c r="B819" s="5">
        <v>1</v>
      </c>
      <c r="C819" s="6">
        <v>46144</v>
      </c>
      <c r="D819" s="16">
        <v>46137</v>
      </c>
      <c r="E819" s="15" t="s">
        <v>16</v>
      </c>
      <c r="F819" s="5" t="s">
        <v>837</v>
      </c>
      <c r="G819" s="5" t="s">
        <v>13</v>
      </c>
      <c r="H819" s="5">
        <v>6</v>
      </c>
      <c r="I819" s="5" t="s">
        <v>67</v>
      </c>
      <c r="J819" s="13" t="s">
        <v>73</v>
      </c>
    </row>
    <row r="820" spans="1:10" ht="20.25" customHeight="1" x14ac:dyDescent="0.25">
      <c r="A820" s="5" t="s">
        <v>966</v>
      </c>
      <c r="B820" s="5">
        <v>1</v>
      </c>
      <c r="C820" s="6">
        <v>46114</v>
      </c>
      <c r="D820" s="16">
        <v>46137</v>
      </c>
      <c r="E820" s="15" t="s">
        <v>16</v>
      </c>
      <c r="F820" s="5" t="s">
        <v>837</v>
      </c>
      <c r="G820" s="5" t="s">
        <v>11</v>
      </c>
      <c r="H820" s="5">
        <v>21</v>
      </c>
      <c r="I820" s="5" t="s">
        <v>67</v>
      </c>
      <c r="J820" s="13" t="s">
        <v>73</v>
      </c>
    </row>
    <row r="821" spans="1:10" ht="20.25" customHeight="1" x14ac:dyDescent="0.25">
      <c r="A821" s="5" t="s">
        <v>967</v>
      </c>
      <c r="B821" s="5">
        <v>1</v>
      </c>
      <c r="C821" s="6">
        <v>46144</v>
      </c>
      <c r="D821" s="16">
        <v>46138</v>
      </c>
      <c r="E821" s="15" t="s">
        <v>16</v>
      </c>
      <c r="F821" s="5" t="s">
        <v>837</v>
      </c>
      <c r="G821" s="5" t="s">
        <v>11</v>
      </c>
      <c r="H821" s="5">
        <v>5</v>
      </c>
      <c r="I821" s="5" t="s">
        <v>67</v>
      </c>
      <c r="J821" s="13" t="s">
        <v>73</v>
      </c>
    </row>
    <row r="822" spans="1:10" ht="20.25" customHeight="1" x14ac:dyDescent="0.25">
      <c r="A822" s="5" t="s">
        <v>968</v>
      </c>
      <c r="B822" s="5">
        <v>1</v>
      </c>
      <c r="C822" s="6">
        <v>46144</v>
      </c>
      <c r="D822" s="16">
        <v>46138</v>
      </c>
      <c r="E822" s="15" t="s">
        <v>16</v>
      </c>
      <c r="F822" s="5" t="s">
        <v>837</v>
      </c>
      <c r="G822" s="5" t="s">
        <v>11</v>
      </c>
      <c r="H822" s="5">
        <v>35</v>
      </c>
      <c r="I822" s="5" t="s">
        <v>67</v>
      </c>
      <c r="J822" s="13" t="s">
        <v>73</v>
      </c>
    </row>
    <row r="823" spans="1:10" ht="20.25" customHeight="1" x14ac:dyDescent="0.25">
      <c r="A823" s="5" t="s">
        <v>969</v>
      </c>
      <c r="B823" s="5">
        <v>1</v>
      </c>
      <c r="C823" s="6">
        <v>46144</v>
      </c>
      <c r="D823" s="16">
        <v>46138</v>
      </c>
      <c r="E823" s="15" t="s">
        <v>16</v>
      </c>
      <c r="F823" s="5" t="s">
        <v>837</v>
      </c>
      <c r="G823" s="5" t="s">
        <v>17</v>
      </c>
      <c r="H823" s="5">
        <v>4</v>
      </c>
      <c r="I823" s="5" t="s">
        <v>67</v>
      </c>
      <c r="J823" s="13" t="s">
        <v>73</v>
      </c>
    </row>
    <row r="824" spans="1:10" ht="20.25" customHeight="1" x14ac:dyDescent="0.25">
      <c r="A824" s="5" t="s">
        <v>970</v>
      </c>
      <c r="B824" s="5">
        <v>1</v>
      </c>
      <c r="C824" s="6">
        <v>46144</v>
      </c>
      <c r="D824" s="16">
        <v>46137</v>
      </c>
      <c r="E824" s="15" t="s">
        <v>16</v>
      </c>
      <c r="F824" s="5" t="s">
        <v>837</v>
      </c>
      <c r="G824" s="5" t="s">
        <v>17</v>
      </c>
      <c r="H824" s="5">
        <v>8</v>
      </c>
      <c r="I824" s="5" t="s">
        <v>67</v>
      </c>
      <c r="J824" s="13" t="s">
        <v>73</v>
      </c>
    </row>
    <row r="825" spans="1:10" ht="20.25" customHeight="1" x14ac:dyDescent="0.25">
      <c r="A825" s="5" t="s">
        <v>971</v>
      </c>
      <c r="B825" s="5">
        <v>1</v>
      </c>
      <c r="C825" s="6">
        <v>46144</v>
      </c>
      <c r="D825" s="16">
        <v>46137</v>
      </c>
      <c r="E825" s="15" t="s">
        <v>16</v>
      </c>
      <c r="F825" s="5" t="s">
        <v>837</v>
      </c>
      <c r="G825" s="5" t="s">
        <v>17</v>
      </c>
      <c r="H825" s="5">
        <v>6</v>
      </c>
      <c r="I825" s="5" t="s">
        <v>67</v>
      </c>
      <c r="J825" s="13" t="s">
        <v>73</v>
      </c>
    </row>
    <row r="826" spans="1:10" ht="20.25" customHeight="1" x14ac:dyDescent="0.25">
      <c r="A826" s="5" t="s">
        <v>972</v>
      </c>
      <c r="B826" s="5">
        <v>1</v>
      </c>
      <c r="C826" s="6">
        <v>46144</v>
      </c>
      <c r="D826" s="16">
        <v>46137</v>
      </c>
      <c r="E826" s="15" t="s">
        <v>16</v>
      </c>
      <c r="F826" s="5" t="s">
        <v>837</v>
      </c>
      <c r="G826" s="5" t="s">
        <v>10</v>
      </c>
      <c r="H826" s="5">
        <v>30</v>
      </c>
      <c r="I826" s="5" t="s">
        <v>67</v>
      </c>
      <c r="J826" s="13" t="s">
        <v>73</v>
      </c>
    </row>
    <row r="827" spans="1:10" ht="20.25" customHeight="1" x14ac:dyDescent="0.25">
      <c r="A827" s="5" t="s">
        <v>973</v>
      </c>
      <c r="B827" s="5">
        <v>1</v>
      </c>
      <c r="C827" s="6">
        <v>46144</v>
      </c>
      <c r="D827" s="16">
        <v>46138</v>
      </c>
      <c r="E827" s="15" t="s">
        <v>16</v>
      </c>
      <c r="F827" s="5" t="s">
        <v>837</v>
      </c>
      <c r="G827" s="5" t="s">
        <v>10</v>
      </c>
      <c r="H827" s="5">
        <v>28</v>
      </c>
      <c r="I827" s="5" t="s">
        <v>67</v>
      </c>
      <c r="J827" s="13" t="s">
        <v>73</v>
      </c>
    </row>
    <row r="828" spans="1:10" ht="20.25" customHeight="1" x14ac:dyDescent="0.25">
      <c r="A828" s="5" t="s">
        <v>974</v>
      </c>
      <c r="B828" s="5">
        <v>1</v>
      </c>
      <c r="C828" s="6">
        <v>46144</v>
      </c>
      <c r="D828" s="16">
        <v>46140</v>
      </c>
      <c r="E828" s="15" t="s">
        <v>16</v>
      </c>
      <c r="F828" s="5" t="s">
        <v>837</v>
      </c>
      <c r="G828" s="5" t="s">
        <v>12</v>
      </c>
      <c r="H828" s="5">
        <v>3</v>
      </c>
      <c r="I828" s="5" t="s">
        <v>67</v>
      </c>
      <c r="J828" s="13" t="s">
        <v>73</v>
      </c>
    </row>
    <row r="829" spans="1:10" ht="20.25" customHeight="1" x14ac:dyDescent="0.25">
      <c r="A829" s="5" t="s">
        <v>975</v>
      </c>
      <c r="B829" s="5">
        <v>1</v>
      </c>
      <c r="C829" s="6">
        <v>46144</v>
      </c>
      <c r="D829" s="16">
        <v>46137</v>
      </c>
      <c r="E829" s="15" t="s">
        <v>16</v>
      </c>
      <c r="F829" s="5" t="s">
        <v>837</v>
      </c>
      <c r="G829" s="5" t="s">
        <v>13</v>
      </c>
      <c r="H829" s="5">
        <v>5</v>
      </c>
      <c r="I829" s="5" t="s">
        <v>67</v>
      </c>
      <c r="J829" s="13" t="s">
        <v>73</v>
      </c>
    </row>
    <row r="830" spans="1:10" ht="20.25" customHeight="1" x14ac:dyDescent="0.25">
      <c r="A830" s="5" t="s">
        <v>976</v>
      </c>
      <c r="B830" s="5">
        <v>1</v>
      </c>
      <c r="C830" s="6">
        <v>46144</v>
      </c>
      <c r="D830" s="16">
        <v>46168</v>
      </c>
      <c r="E830" s="15" t="s">
        <v>16</v>
      </c>
      <c r="F830" s="5" t="s">
        <v>837</v>
      </c>
      <c r="G830" s="5" t="s">
        <v>11</v>
      </c>
      <c r="H830" s="5">
        <v>18</v>
      </c>
      <c r="I830" s="5" t="s">
        <v>67</v>
      </c>
      <c r="J830" s="13" t="s">
        <v>73</v>
      </c>
    </row>
    <row r="831" spans="1:10" ht="20.25" customHeight="1" x14ac:dyDescent="0.25">
      <c r="A831" s="5" t="s">
        <v>977</v>
      </c>
      <c r="B831" s="5">
        <v>1</v>
      </c>
      <c r="C831" s="6">
        <v>46144</v>
      </c>
      <c r="D831" s="16">
        <v>46138</v>
      </c>
      <c r="E831" s="15" t="s">
        <v>16</v>
      </c>
      <c r="F831" s="5" t="s">
        <v>837</v>
      </c>
      <c r="G831" s="5" t="s">
        <v>17</v>
      </c>
      <c r="H831" s="5">
        <v>11</v>
      </c>
      <c r="I831" s="5" t="s">
        <v>67</v>
      </c>
      <c r="J831" s="13" t="s">
        <v>73</v>
      </c>
    </row>
    <row r="832" spans="1:10" ht="20.25" customHeight="1" x14ac:dyDescent="0.25">
      <c r="A832" s="5" t="s">
        <v>978</v>
      </c>
      <c r="B832" s="5">
        <v>1</v>
      </c>
      <c r="C832" s="6">
        <v>46144</v>
      </c>
      <c r="D832" s="16">
        <v>46138</v>
      </c>
      <c r="E832" s="15" t="s">
        <v>16</v>
      </c>
      <c r="F832" s="5" t="s">
        <v>837</v>
      </c>
      <c r="G832" s="5" t="s">
        <v>10</v>
      </c>
      <c r="H832" s="5">
        <v>15</v>
      </c>
      <c r="I832" s="5" t="s">
        <v>67</v>
      </c>
      <c r="J832" s="13" t="s">
        <v>73</v>
      </c>
    </row>
    <row r="833" spans="1:10" ht="20.25" customHeight="1" x14ac:dyDescent="0.25">
      <c r="A833" s="5" t="s">
        <v>979</v>
      </c>
      <c r="B833" s="5">
        <v>1</v>
      </c>
      <c r="C833" s="6">
        <v>46144</v>
      </c>
      <c r="D833" s="16">
        <v>46137</v>
      </c>
      <c r="E833" s="15" t="s">
        <v>16</v>
      </c>
      <c r="F833" s="5" t="s">
        <v>837</v>
      </c>
      <c r="G833" s="5" t="s">
        <v>10</v>
      </c>
      <c r="H833" s="5">
        <v>11</v>
      </c>
      <c r="I833" s="5" t="s">
        <v>67</v>
      </c>
      <c r="J833" s="13" t="s">
        <v>73</v>
      </c>
    </row>
    <row r="834" spans="1:10" ht="20.25" customHeight="1" x14ac:dyDescent="0.25">
      <c r="A834" s="5" t="s">
        <v>980</v>
      </c>
      <c r="B834" s="5">
        <v>1</v>
      </c>
      <c r="C834" s="6">
        <v>46144</v>
      </c>
      <c r="D834" s="16">
        <v>46138</v>
      </c>
      <c r="E834" s="15" t="s">
        <v>16</v>
      </c>
      <c r="F834" s="5" t="s">
        <v>837</v>
      </c>
      <c r="G834" s="5" t="s">
        <v>17</v>
      </c>
      <c r="H834" s="5">
        <v>9</v>
      </c>
      <c r="I834" s="5" t="s">
        <v>67</v>
      </c>
      <c r="J834" s="13" t="s">
        <v>73</v>
      </c>
    </row>
    <row r="835" spans="1:10" ht="20.25" customHeight="1" x14ac:dyDescent="0.25">
      <c r="A835" s="5" t="s">
        <v>981</v>
      </c>
      <c r="B835" s="5">
        <v>1</v>
      </c>
      <c r="C835" s="6">
        <v>46144</v>
      </c>
      <c r="D835" s="16">
        <v>46138</v>
      </c>
      <c r="E835" s="15" t="s">
        <v>16</v>
      </c>
      <c r="F835" s="5" t="s">
        <v>837</v>
      </c>
      <c r="G835" s="5" t="s">
        <v>17</v>
      </c>
      <c r="H835" s="5">
        <v>9</v>
      </c>
      <c r="I835" s="5" t="s">
        <v>67</v>
      </c>
      <c r="J835" s="13" t="s">
        <v>73</v>
      </c>
    </row>
    <row r="836" spans="1:10" ht="20.25" customHeight="1" x14ac:dyDescent="0.25">
      <c r="A836" s="5" t="s">
        <v>982</v>
      </c>
      <c r="B836" s="5">
        <v>1</v>
      </c>
      <c r="C836" s="6">
        <v>46144</v>
      </c>
      <c r="D836" s="16">
        <v>46140</v>
      </c>
      <c r="E836" s="15" t="s">
        <v>16</v>
      </c>
      <c r="F836" s="5" t="s">
        <v>837</v>
      </c>
      <c r="G836" s="5" t="s">
        <v>12</v>
      </c>
      <c r="H836" s="5">
        <v>32</v>
      </c>
      <c r="I836" s="5" t="s">
        <v>67</v>
      </c>
      <c r="J836" s="13" t="s">
        <v>73</v>
      </c>
    </row>
    <row r="837" spans="1:10" ht="20.25" customHeight="1" x14ac:dyDescent="0.25">
      <c r="A837" s="5" t="s">
        <v>983</v>
      </c>
      <c r="B837" s="5">
        <v>1</v>
      </c>
      <c r="C837" s="6">
        <v>46144</v>
      </c>
      <c r="D837" s="16">
        <v>46137</v>
      </c>
      <c r="E837" s="15" t="s">
        <v>15</v>
      </c>
      <c r="F837" s="5" t="s">
        <v>367</v>
      </c>
      <c r="G837" s="5" t="s">
        <v>10</v>
      </c>
      <c r="H837" s="5">
        <v>5</v>
      </c>
      <c r="I837" s="5" t="s">
        <v>20</v>
      </c>
      <c r="J837" s="13" t="s">
        <v>68</v>
      </c>
    </row>
    <row r="838" spans="1:10" ht="20.25" customHeight="1" x14ac:dyDescent="0.25">
      <c r="A838" s="5" t="s">
        <v>824</v>
      </c>
      <c r="B838" s="5">
        <v>1</v>
      </c>
      <c r="C838" s="6">
        <v>46144</v>
      </c>
      <c r="D838" s="16">
        <v>46136</v>
      </c>
      <c r="E838" s="15" t="s">
        <v>15</v>
      </c>
      <c r="F838" s="5" t="s">
        <v>367</v>
      </c>
      <c r="G838" s="5" t="s">
        <v>10</v>
      </c>
      <c r="H838" s="5">
        <v>2</v>
      </c>
      <c r="I838" s="5" t="s">
        <v>20</v>
      </c>
      <c r="J838" s="13" t="s">
        <v>68</v>
      </c>
    </row>
    <row r="839" spans="1:10" ht="20.25" customHeight="1" x14ac:dyDescent="0.25">
      <c r="A839" s="5" t="s">
        <v>984</v>
      </c>
      <c r="B839" s="5">
        <v>1</v>
      </c>
      <c r="C839" s="6">
        <v>46144</v>
      </c>
      <c r="D839" s="16">
        <v>46138</v>
      </c>
      <c r="E839" s="15" t="s">
        <v>15</v>
      </c>
      <c r="F839" s="5" t="s">
        <v>367</v>
      </c>
      <c r="G839" s="5" t="s">
        <v>17</v>
      </c>
      <c r="H839" s="5">
        <v>10</v>
      </c>
      <c r="I839" s="5" t="s">
        <v>20</v>
      </c>
      <c r="J839" s="13" t="s">
        <v>68</v>
      </c>
    </row>
    <row r="840" spans="1:10" ht="20.25" customHeight="1" x14ac:dyDescent="0.25">
      <c r="A840" s="5" t="s">
        <v>940</v>
      </c>
      <c r="B840" s="5">
        <v>1</v>
      </c>
      <c r="C840" s="6">
        <v>46144</v>
      </c>
      <c r="D840" s="16">
        <v>46138</v>
      </c>
      <c r="E840" s="15" t="s">
        <v>15</v>
      </c>
      <c r="F840" s="5" t="s">
        <v>367</v>
      </c>
      <c r="G840" s="5" t="s">
        <v>17</v>
      </c>
      <c r="H840" s="5">
        <v>31</v>
      </c>
      <c r="I840" s="5" t="s">
        <v>20</v>
      </c>
      <c r="J840" s="13" t="s">
        <v>68</v>
      </c>
    </row>
    <row r="841" spans="1:10" ht="20.25" customHeight="1" x14ac:dyDescent="0.25">
      <c r="A841" s="5" t="s">
        <v>987</v>
      </c>
      <c r="B841" s="5">
        <v>1</v>
      </c>
      <c r="C841" s="6">
        <v>46144</v>
      </c>
      <c r="D841" s="16">
        <v>46138</v>
      </c>
      <c r="E841" s="15" t="s">
        <v>15</v>
      </c>
      <c r="F841" s="5" t="s">
        <v>367</v>
      </c>
      <c r="G841" s="5" t="s">
        <v>10</v>
      </c>
      <c r="H841" s="5">
        <v>13</v>
      </c>
      <c r="I841" s="5" t="s">
        <v>20</v>
      </c>
      <c r="J841" s="13" t="s">
        <v>68</v>
      </c>
    </row>
    <row r="842" spans="1:10" ht="20.25" customHeight="1" x14ac:dyDescent="0.25">
      <c r="A842" s="5" t="s">
        <v>988</v>
      </c>
      <c r="B842" s="5">
        <v>1</v>
      </c>
      <c r="C842" s="6">
        <v>46144</v>
      </c>
      <c r="D842" s="16">
        <v>46141</v>
      </c>
      <c r="E842" s="15" t="s">
        <v>15</v>
      </c>
      <c r="F842" s="5" t="s">
        <v>367</v>
      </c>
      <c r="G842" s="5" t="s">
        <v>12</v>
      </c>
      <c r="H842" s="5">
        <v>3</v>
      </c>
      <c r="I842" s="5" t="s">
        <v>20</v>
      </c>
      <c r="J842" s="13" t="s">
        <v>68</v>
      </c>
    </row>
    <row r="843" spans="1:10" ht="20.25" customHeight="1" x14ac:dyDescent="0.25">
      <c r="A843" s="5" t="s">
        <v>989</v>
      </c>
      <c r="B843" s="5">
        <v>1</v>
      </c>
      <c r="C843" s="6">
        <v>46144</v>
      </c>
      <c r="D843" s="16">
        <v>46141</v>
      </c>
      <c r="E843" s="15" t="s">
        <v>15</v>
      </c>
      <c r="F843" s="5" t="s">
        <v>367</v>
      </c>
      <c r="G843" s="5" t="s">
        <v>13</v>
      </c>
      <c r="H843" s="5">
        <v>12</v>
      </c>
      <c r="I843" s="5" t="s">
        <v>20</v>
      </c>
      <c r="J843" s="13" t="s">
        <v>68</v>
      </c>
    </row>
    <row r="844" spans="1:10" ht="20.25" customHeight="1" x14ac:dyDescent="0.25">
      <c r="A844" s="5" t="s">
        <v>990</v>
      </c>
      <c r="B844" s="5">
        <v>1</v>
      </c>
      <c r="C844" s="6">
        <v>46144</v>
      </c>
      <c r="D844" s="16">
        <v>46140</v>
      </c>
      <c r="E844" s="15" t="s">
        <v>15</v>
      </c>
      <c r="F844" s="5" t="s">
        <v>367</v>
      </c>
      <c r="G844" s="5" t="s">
        <v>12</v>
      </c>
      <c r="H844" s="5">
        <v>6</v>
      </c>
      <c r="I844" s="5" t="s">
        <v>20</v>
      </c>
      <c r="J844" s="13" t="s">
        <v>68</v>
      </c>
    </row>
    <row r="845" spans="1:10" ht="20.25" customHeight="1" x14ac:dyDescent="0.25">
      <c r="A845" s="5" t="s">
        <v>991</v>
      </c>
      <c r="B845" s="5">
        <v>1</v>
      </c>
      <c r="C845" s="6">
        <v>46144</v>
      </c>
      <c r="D845" s="16">
        <v>46141</v>
      </c>
      <c r="E845" s="15" t="s">
        <v>15</v>
      </c>
      <c r="F845" s="5" t="s">
        <v>367</v>
      </c>
      <c r="G845" s="5" t="s">
        <v>12</v>
      </c>
      <c r="H845" s="5">
        <v>12</v>
      </c>
      <c r="I845" s="5" t="s">
        <v>20</v>
      </c>
      <c r="J845" s="13" t="s">
        <v>68</v>
      </c>
    </row>
    <row r="846" spans="1:10" ht="20.25" customHeight="1" x14ac:dyDescent="0.25">
      <c r="A846" s="5" t="s">
        <v>993</v>
      </c>
      <c r="B846" s="5">
        <v>1</v>
      </c>
      <c r="C846" s="6">
        <v>46146</v>
      </c>
      <c r="D846" s="16">
        <v>46141</v>
      </c>
      <c r="E846" s="15" t="s">
        <v>15</v>
      </c>
      <c r="F846" s="5" t="s">
        <v>359</v>
      </c>
      <c r="G846" s="5" t="s">
        <v>12</v>
      </c>
      <c r="H846" s="5">
        <v>12</v>
      </c>
      <c r="I846" s="5" t="s">
        <v>20</v>
      </c>
      <c r="J846" s="13" t="s">
        <v>68</v>
      </c>
    </row>
    <row r="847" spans="1:10" ht="20.25" customHeight="1" x14ac:dyDescent="0.25">
      <c r="A847" s="5" t="s">
        <v>994</v>
      </c>
      <c r="B847" s="5">
        <v>1</v>
      </c>
      <c r="C847" s="6">
        <v>46146</v>
      </c>
      <c r="D847" s="16">
        <v>46141</v>
      </c>
      <c r="E847" s="15" t="s">
        <v>15</v>
      </c>
      <c r="F847" s="5" t="s">
        <v>359</v>
      </c>
      <c r="G847" s="5" t="s">
        <v>12</v>
      </c>
      <c r="H847" s="5">
        <v>9</v>
      </c>
      <c r="I847" s="5" t="s">
        <v>20</v>
      </c>
      <c r="J847" s="13" t="s">
        <v>68</v>
      </c>
    </row>
    <row r="848" spans="1:10" ht="20.25" customHeight="1" x14ac:dyDescent="0.25">
      <c r="A848" s="5" t="s">
        <v>995</v>
      </c>
      <c r="B848" s="5">
        <v>1</v>
      </c>
      <c r="C848" s="6">
        <v>46146</v>
      </c>
      <c r="D848" s="16">
        <v>46142</v>
      </c>
      <c r="E848" s="15" t="s">
        <v>15</v>
      </c>
      <c r="F848" s="5" t="s">
        <v>359</v>
      </c>
      <c r="G848" s="5" t="s">
        <v>12</v>
      </c>
      <c r="H848" s="5">
        <v>29</v>
      </c>
      <c r="I848" s="5" t="s">
        <v>20</v>
      </c>
      <c r="J848" s="13" t="s">
        <v>68</v>
      </c>
    </row>
    <row r="849" spans="1:10" ht="20.25" customHeight="1" x14ac:dyDescent="0.25">
      <c r="A849" s="5" t="s">
        <v>996</v>
      </c>
      <c r="B849" s="5">
        <v>1</v>
      </c>
      <c r="C849" s="6">
        <v>46146</v>
      </c>
      <c r="D849" s="16">
        <v>46141</v>
      </c>
      <c r="E849" s="15" t="s">
        <v>15</v>
      </c>
      <c r="F849" s="5" t="s">
        <v>367</v>
      </c>
      <c r="G849" s="5" t="s">
        <v>12</v>
      </c>
      <c r="H849" s="5">
        <v>27</v>
      </c>
      <c r="I849" s="5" t="s">
        <v>20</v>
      </c>
      <c r="J849" s="13" t="s">
        <v>68</v>
      </c>
    </row>
    <row r="850" spans="1:10" ht="20.25" customHeight="1" x14ac:dyDescent="0.25">
      <c r="A850" s="5" t="s">
        <v>997</v>
      </c>
      <c r="B850" s="5">
        <v>1</v>
      </c>
      <c r="C850" s="6">
        <v>46146</v>
      </c>
      <c r="D850" s="16">
        <v>46142</v>
      </c>
      <c r="E850" s="15" t="s">
        <v>15</v>
      </c>
      <c r="F850" s="5" t="s">
        <v>359</v>
      </c>
      <c r="G850" s="5" t="s">
        <v>12</v>
      </c>
      <c r="H850" s="5">
        <v>11</v>
      </c>
      <c r="I850" s="5" t="s">
        <v>20</v>
      </c>
      <c r="J850" s="13" t="s">
        <v>68</v>
      </c>
    </row>
    <row r="851" spans="1:10" ht="20.25" customHeight="1" x14ac:dyDescent="0.25">
      <c r="A851" s="5" t="s">
        <v>998</v>
      </c>
      <c r="B851" s="5">
        <v>1</v>
      </c>
      <c r="C851" s="6">
        <v>46146</v>
      </c>
      <c r="D851" s="16">
        <v>46141</v>
      </c>
      <c r="E851" s="15" t="s">
        <v>15</v>
      </c>
      <c r="F851" s="5" t="s">
        <v>359</v>
      </c>
      <c r="G851" s="5" t="s">
        <v>12</v>
      </c>
      <c r="H851" s="5">
        <v>7</v>
      </c>
      <c r="I851" s="5" t="s">
        <v>20</v>
      </c>
      <c r="J851" s="13" t="s">
        <v>68</v>
      </c>
    </row>
    <row r="852" spans="1:10" ht="20.25" customHeight="1" x14ac:dyDescent="0.25">
      <c r="A852" s="5" t="s">
        <v>999</v>
      </c>
      <c r="B852" s="5">
        <v>1</v>
      </c>
      <c r="C852" s="6">
        <v>46146</v>
      </c>
      <c r="D852" s="16">
        <v>46141</v>
      </c>
      <c r="E852" s="15" t="s">
        <v>15</v>
      </c>
      <c r="F852" s="5" t="s">
        <v>367</v>
      </c>
      <c r="G852" s="5" t="s">
        <v>12</v>
      </c>
      <c r="H852" s="5">
        <v>20</v>
      </c>
      <c r="I852" s="5" t="s">
        <v>20</v>
      </c>
      <c r="J852" s="13" t="s">
        <v>68</v>
      </c>
    </row>
    <row r="853" spans="1:10" ht="20.25" customHeight="1" x14ac:dyDescent="0.25">
      <c r="A853" s="5" t="s">
        <v>1000</v>
      </c>
      <c r="B853" s="5">
        <v>1</v>
      </c>
      <c r="C853" s="6">
        <v>46146</v>
      </c>
      <c r="D853" s="16">
        <v>46141</v>
      </c>
      <c r="E853" s="15" t="s">
        <v>15</v>
      </c>
      <c r="F853" s="5" t="s">
        <v>359</v>
      </c>
      <c r="G853" s="5" t="s">
        <v>12</v>
      </c>
      <c r="H853" s="5">
        <v>21</v>
      </c>
      <c r="I853" s="5" t="s">
        <v>20</v>
      </c>
      <c r="J853" s="13" t="s">
        <v>68</v>
      </c>
    </row>
    <row r="854" spans="1:10" ht="20.25" customHeight="1" x14ac:dyDescent="0.25">
      <c r="A854" s="5" t="s">
        <v>1029</v>
      </c>
      <c r="B854" s="5">
        <v>1</v>
      </c>
      <c r="C854" s="6">
        <v>46146</v>
      </c>
      <c r="D854" s="16">
        <v>46141</v>
      </c>
      <c r="E854" s="15" t="s">
        <v>15</v>
      </c>
      <c r="F854" s="5" t="s">
        <v>359</v>
      </c>
      <c r="G854" s="5" t="s">
        <v>12</v>
      </c>
      <c r="H854" s="5">
        <v>30</v>
      </c>
      <c r="I854" s="5" t="s">
        <v>20</v>
      </c>
      <c r="J854" s="13" t="s">
        <v>68</v>
      </c>
    </row>
    <row r="855" spans="1:10" ht="20.25" customHeight="1" x14ac:dyDescent="0.25">
      <c r="A855" s="5" t="s">
        <v>1030</v>
      </c>
      <c r="B855" s="5">
        <v>1</v>
      </c>
      <c r="C855" s="6">
        <v>46146</v>
      </c>
      <c r="D855" s="16">
        <v>46141</v>
      </c>
      <c r="E855" s="15" t="s">
        <v>15</v>
      </c>
      <c r="F855" s="5" t="s">
        <v>359</v>
      </c>
      <c r="G855" s="5" t="s">
        <v>12</v>
      </c>
      <c r="H855" s="5">
        <v>24</v>
      </c>
      <c r="I855" s="5" t="s">
        <v>20</v>
      </c>
      <c r="J855" s="13" t="s">
        <v>68</v>
      </c>
    </row>
    <row r="856" spans="1:10" ht="20.25" customHeight="1" x14ac:dyDescent="0.25">
      <c r="A856" s="5" t="s">
        <v>1031</v>
      </c>
      <c r="B856" s="5">
        <v>1</v>
      </c>
      <c r="C856" s="6">
        <v>46146</v>
      </c>
      <c r="D856" s="16">
        <v>46142</v>
      </c>
      <c r="E856" s="15" t="s">
        <v>15</v>
      </c>
      <c r="F856" s="5" t="s">
        <v>359</v>
      </c>
      <c r="G856" s="5" t="s">
        <v>12</v>
      </c>
      <c r="H856" s="5">
        <v>9</v>
      </c>
      <c r="I856" s="5" t="s">
        <v>20</v>
      </c>
      <c r="J856" s="13" t="s">
        <v>68</v>
      </c>
    </row>
    <row r="857" spans="1:10" ht="20.25" customHeight="1" x14ac:dyDescent="0.25">
      <c r="A857" s="5" t="s">
        <v>1032</v>
      </c>
      <c r="B857" s="5">
        <v>1</v>
      </c>
      <c r="C857" s="6">
        <v>46146</v>
      </c>
      <c r="D857" s="16">
        <v>46141</v>
      </c>
      <c r="E857" s="15" t="s">
        <v>15</v>
      </c>
      <c r="F857" s="5" t="s">
        <v>359</v>
      </c>
      <c r="G857" s="5" t="s">
        <v>12</v>
      </c>
      <c r="H857" s="5">
        <v>15</v>
      </c>
      <c r="I857" s="5" t="s">
        <v>20</v>
      </c>
      <c r="J857" s="13" t="s">
        <v>68</v>
      </c>
    </row>
    <row r="858" spans="1:10" ht="20.25" customHeight="1" x14ac:dyDescent="0.25">
      <c r="A858" s="5" t="s">
        <v>1033</v>
      </c>
      <c r="B858" s="5">
        <v>1</v>
      </c>
      <c r="C858" s="6">
        <v>46146</v>
      </c>
      <c r="D858" s="16">
        <v>46141</v>
      </c>
      <c r="E858" s="15" t="s">
        <v>15</v>
      </c>
      <c r="F858" s="5" t="s">
        <v>359</v>
      </c>
      <c r="G858" s="5" t="s">
        <v>12</v>
      </c>
      <c r="H858" s="5">
        <v>9</v>
      </c>
      <c r="I858" s="5" t="s">
        <v>20</v>
      </c>
      <c r="J858" s="13" t="s">
        <v>68</v>
      </c>
    </row>
    <row r="859" spans="1:10" ht="20.25" customHeight="1" x14ac:dyDescent="0.25">
      <c r="A859" s="5" t="s">
        <v>1034</v>
      </c>
      <c r="B859" s="5">
        <v>1</v>
      </c>
      <c r="C859" s="6">
        <v>46146</v>
      </c>
      <c r="D859" s="16">
        <v>46142</v>
      </c>
      <c r="E859" s="15" t="s">
        <v>15</v>
      </c>
      <c r="F859" s="5" t="s">
        <v>359</v>
      </c>
      <c r="G859" s="5" t="s">
        <v>12</v>
      </c>
      <c r="H859" s="5">
        <v>10</v>
      </c>
      <c r="I859" s="5" t="s">
        <v>20</v>
      </c>
      <c r="J859" s="13" t="s">
        <v>68</v>
      </c>
    </row>
    <row r="860" spans="1:10" ht="20.25" customHeight="1" x14ac:dyDescent="0.25">
      <c r="A860" s="5" t="s">
        <v>1035</v>
      </c>
      <c r="B860" s="5">
        <v>1</v>
      </c>
      <c r="C860" s="6">
        <v>46146</v>
      </c>
      <c r="D860" s="16">
        <v>46141</v>
      </c>
      <c r="E860" s="15" t="s">
        <v>15</v>
      </c>
      <c r="F860" s="5" t="s">
        <v>359</v>
      </c>
      <c r="G860" s="5" t="s">
        <v>12</v>
      </c>
      <c r="H860" s="5">
        <v>8</v>
      </c>
      <c r="I860" s="5" t="s">
        <v>20</v>
      </c>
      <c r="J860" s="13" t="s">
        <v>68</v>
      </c>
    </row>
    <row r="861" spans="1:10" ht="20.25" customHeight="1" x14ac:dyDescent="0.25">
      <c r="A861" s="5" t="s">
        <v>1036</v>
      </c>
      <c r="B861" s="5">
        <v>1</v>
      </c>
      <c r="C861" s="6">
        <v>46146</v>
      </c>
      <c r="D861" s="16">
        <v>46141</v>
      </c>
      <c r="E861" s="15" t="s">
        <v>15</v>
      </c>
      <c r="F861" s="5" t="s">
        <v>359</v>
      </c>
      <c r="G861" s="5" t="s">
        <v>12</v>
      </c>
      <c r="H861" s="5">
        <v>12</v>
      </c>
      <c r="I861" s="5" t="s">
        <v>20</v>
      </c>
      <c r="J861" s="13" t="s">
        <v>68</v>
      </c>
    </row>
    <row r="862" spans="1:10" ht="20.25" customHeight="1" x14ac:dyDescent="0.25">
      <c r="A862" s="5" t="s">
        <v>991</v>
      </c>
      <c r="B862" s="5">
        <v>1</v>
      </c>
      <c r="C862" s="6">
        <v>46146</v>
      </c>
      <c r="D862" s="16">
        <v>46141</v>
      </c>
      <c r="E862" s="15" t="s">
        <v>15</v>
      </c>
      <c r="F862" s="5" t="s">
        <v>359</v>
      </c>
      <c r="G862" s="5" t="s">
        <v>12</v>
      </c>
      <c r="H862" s="5">
        <v>18</v>
      </c>
      <c r="I862" s="5" t="s">
        <v>20</v>
      </c>
      <c r="J862" s="13" t="s">
        <v>68</v>
      </c>
    </row>
    <row r="863" spans="1:10" ht="20.25" customHeight="1" x14ac:dyDescent="0.25">
      <c r="C863" s="6"/>
      <c r="D863" s="16"/>
      <c r="E863" s="15"/>
    </row>
    <row r="864" spans="1:10" ht="20.25" customHeight="1" x14ac:dyDescent="0.25">
      <c r="A864" s="5" t="s">
        <v>1056</v>
      </c>
      <c r="B864" s="5">
        <v>2</v>
      </c>
      <c r="C864" s="6">
        <v>46146</v>
      </c>
      <c r="D864" s="16">
        <v>46140</v>
      </c>
      <c r="E864" s="15" t="s">
        <v>15</v>
      </c>
      <c r="F864" s="5" t="s">
        <v>367</v>
      </c>
      <c r="G864" s="5" t="s">
        <v>17</v>
      </c>
      <c r="H864" s="5">
        <v>19</v>
      </c>
      <c r="I864" s="5" t="s">
        <v>20</v>
      </c>
      <c r="J864" s="13" t="s">
        <v>68</v>
      </c>
    </row>
    <row r="865" spans="1:10" ht="20.25" customHeight="1" x14ac:dyDescent="0.25">
      <c r="A865" s="5" t="s">
        <v>1057</v>
      </c>
      <c r="B865" s="5">
        <v>2</v>
      </c>
      <c r="C865" s="6">
        <v>46146</v>
      </c>
      <c r="D865" s="16">
        <v>46142</v>
      </c>
      <c r="E865" s="15" t="s">
        <v>15</v>
      </c>
      <c r="F865" s="5" t="s">
        <v>438</v>
      </c>
      <c r="G865" s="5" t="s">
        <v>12</v>
      </c>
      <c r="H865" s="5">
        <v>16</v>
      </c>
      <c r="I865" s="5" t="s">
        <v>20</v>
      </c>
      <c r="J865" s="13" t="s">
        <v>68</v>
      </c>
    </row>
    <row r="866" spans="1:10" ht="20.25" customHeight="1" x14ac:dyDescent="0.25">
      <c r="A866" s="5" t="s">
        <v>1058</v>
      </c>
      <c r="B866" s="5">
        <v>2</v>
      </c>
      <c r="C866" s="6">
        <v>46146</v>
      </c>
      <c r="D866" s="16">
        <v>46142</v>
      </c>
      <c r="E866" s="15" t="s">
        <v>15</v>
      </c>
      <c r="F866" s="5" t="s">
        <v>438</v>
      </c>
      <c r="G866" s="5" t="s">
        <v>12</v>
      </c>
      <c r="H866" s="5">
        <v>23</v>
      </c>
      <c r="I866" s="5" t="s">
        <v>20</v>
      </c>
      <c r="J866" s="13" t="s">
        <v>68</v>
      </c>
    </row>
    <row r="867" spans="1:10" ht="20.25" customHeight="1" x14ac:dyDescent="0.25">
      <c r="A867" s="5" t="s">
        <v>1059</v>
      </c>
      <c r="B867" s="5">
        <v>2</v>
      </c>
      <c r="C867" s="6">
        <v>46146</v>
      </c>
      <c r="D867" s="16">
        <v>46143</v>
      </c>
      <c r="E867" s="15" t="s">
        <v>15</v>
      </c>
      <c r="F867" s="5" t="s">
        <v>438</v>
      </c>
      <c r="G867" s="5" t="s">
        <v>13</v>
      </c>
      <c r="H867" s="5">
        <v>46</v>
      </c>
      <c r="I867" s="5" t="s">
        <v>20</v>
      </c>
      <c r="J867" s="13" t="s">
        <v>68</v>
      </c>
    </row>
    <row r="868" spans="1:10" ht="20.25" customHeight="1" x14ac:dyDescent="0.25">
      <c r="A868" s="5" t="s">
        <v>1060</v>
      </c>
      <c r="B868" s="5">
        <v>2</v>
      </c>
      <c r="C868" s="6">
        <v>46146</v>
      </c>
      <c r="D868" s="16">
        <v>46143</v>
      </c>
      <c r="E868" s="15" t="s">
        <v>15</v>
      </c>
      <c r="F868" s="5" t="s">
        <v>438</v>
      </c>
      <c r="G868" s="5" t="s">
        <v>12</v>
      </c>
      <c r="H868" s="5">
        <v>45</v>
      </c>
      <c r="I868" s="5" t="s">
        <v>20</v>
      </c>
      <c r="J868" s="13" t="s">
        <v>68</v>
      </c>
    </row>
    <row r="869" spans="1:10" ht="20.25" customHeight="1" x14ac:dyDescent="0.25">
      <c r="A869" s="5" t="s">
        <v>1061</v>
      </c>
      <c r="B869" s="5">
        <v>2</v>
      </c>
      <c r="C869" s="6">
        <v>46146</v>
      </c>
      <c r="D869" s="16">
        <v>46142</v>
      </c>
      <c r="E869" s="15" t="s">
        <v>15</v>
      </c>
      <c r="F869" s="5" t="s">
        <v>438</v>
      </c>
      <c r="G869" s="5" t="s">
        <v>12</v>
      </c>
      <c r="H869" s="5">
        <v>14</v>
      </c>
      <c r="I869" s="5" t="s">
        <v>20</v>
      </c>
      <c r="J869" s="13" t="s">
        <v>68</v>
      </c>
    </row>
    <row r="870" spans="1:10" ht="20.25" customHeight="1" x14ac:dyDescent="0.25">
      <c r="A870" s="5" t="s">
        <v>1062</v>
      </c>
      <c r="B870" s="5">
        <v>2</v>
      </c>
      <c r="C870" s="6">
        <v>46146</v>
      </c>
      <c r="D870" s="16">
        <v>46140</v>
      </c>
      <c r="E870" s="15" t="s">
        <v>16</v>
      </c>
      <c r="F870" s="5" t="s">
        <v>837</v>
      </c>
      <c r="G870" s="5" t="s">
        <v>13</v>
      </c>
      <c r="H870" s="5">
        <v>5</v>
      </c>
      <c r="I870" s="5" t="s">
        <v>67</v>
      </c>
      <c r="J870" s="13" t="s">
        <v>73</v>
      </c>
    </row>
    <row r="871" spans="1:10" ht="20.25" customHeight="1" x14ac:dyDescent="0.25">
      <c r="A871" s="5" t="s">
        <v>1063</v>
      </c>
      <c r="B871" s="5">
        <v>2</v>
      </c>
      <c r="C871" s="6">
        <v>46146</v>
      </c>
      <c r="D871" s="16">
        <v>46137</v>
      </c>
      <c r="E871" s="15" t="s">
        <v>16</v>
      </c>
      <c r="F871" s="5" t="s">
        <v>837</v>
      </c>
      <c r="G871" s="5" t="s">
        <v>10</v>
      </c>
      <c r="H871" s="5">
        <v>18</v>
      </c>
      <c r="I871" s="5" t="s">
        <v>67</v>
      </c>
      <c r="J871" s="13" t="s">
        <v>73</v>
      </c>
    </row>
    <row r="872" spans="1:10" ht="20.25" customHeight="1" x14ac:dyDescent="0.25">
      <c r="A872" s="5" t="s">
        <v>1064</v>
      </c>
      <c r="B872" s="5">
        <v>2</v>
      </c>
      <c r="C872" s="6">
        <v>46146</v>
      </c>
      <c r="D872" s="16">
        <v>46137</v>
      </c>
      <c r="E872" s="15" t="s">
        <v>16</v>
      </c>
      <c r="F872" s="5" t="s">
        <v>837</v>
      </c>
      <c r="G872" s="5" t="s">
        <v>11</v>
      </c>
      <c r="H872" s="5">
        <v>13</v>
      </c>
      <c r="I872" s="5" t="s">
        <v>67</v>
      </c>
      <c r="J872" s="13" t="s">
        <v>73</v>
      </c>
    </row>
    <row r="873" spans="1:10" ht="20.25" customHeight="1" x14ac:dyDescent="0.25">
      <c r="A873" s="5" t="s">
        <v>1065</v>
      </c>
      <c r="B873" s="5">
        <v>2</v>
      </c>
      <c r="C873" s="6">
        <v>46146</v>
      </c>
      <c r="D873" s="16">
        <v>46137</v>
      </c>
      <c r="E873" s="15" t="s">
        <v>16</v>
      </c>
      <c r="F873" s="5" t="s">
        <v>837</v>
      </c>
      <c r="G873" s="5" t="s">
        <v>11</v>
      </c>
      <c r="H873" s="5">
        <v>12</v>
      </c>
      <c r="I873" s="5" t="s">
        <v>67</v>
      </c>
      <c r="J873" s="13" t="s">
        <v>73</v>
      </c>
    </row>
    <row r="874" spans="1:10" ht="20.25" customHeight="1" x14ac:dyDescent="0.25">
      <c r="A874" s="5" t="s">
        <v>1066</v>
      </c>
      <c r="B874" s="5">
        <v>2</v>
      </c>
      <c r="C874" s="6">
        <v>46146</v>
      </c>
      <c r="D874" s="16">
        <v>46137</v>
      </c>
      <c r="E874" s="15" t="s">
        <v>16</v>
      </c>
      <c r="F874" s="5" t="s">
        <v>837</v>
      </c>
      <c r="G874" s="5" t="s">
        <v>11</v>
      </c>
      <c r="H874" s="5">
        <v>4</v>
      </c>
      <c r="I874" s="5" t="s">
        <v>67</v>
      </c>
      <c r="J874" s="13" t="s">
        <v>73</v>
      </c>
    </row>
    <row r="875" spans="1:10" ht="20.25" customHeight="1" x14ac:dyDescent="0.25">
      <c r="A875" s="5" t="s">
        <v>1067</v>
      </c>
      <c r="B875" s="5">
        <v>2</v>
      </c>
      <c r="C875" s="6">
        <v>46146</v>
      </c>
      <c r="D875" s="16">
        <v>46138</v>
      </c>
      <c r="E875" s="15" t="s">
        <v>16</v>
      </c>
      <c r="F875" s="5" t="s">
        <v>889</v>
      </c>
      <c r="G875" s="5" t="s">
        <v>11</v>
      </c>
      <c r="H875" s="5">
        <v>24</v>
      </c>
      <c r="I875" s="5" t="s">
        <v>22</v>
      </c>
      <c r="J875" s="13" t="s">
        <v>72</v>
      </c>
    </row>
    <row r="876" spans="1:10" ht="20.25" customHeight="1" x14ac:dyDescent="0.25">
      <c r="A876" s="5" t="s">
        <v>1068</v>
      </c>
      <c r="B876" s="5">
        <v>2</v>
      </c>
      <c r="C876" s="6">
        <v>46146</v>
      </c>
      <c r="D876" s="16">
        <v>46138</v>
      </c>
      <c r="E876" s="15" t="s">
        <v>16</v>
      </c>
      <c r="F876" s="5" t="s">
        <v>889</v>
      </c>
      <c r="G876" s="5" t="s">
        <v>11</v>
      </c>
      <c r="H876" s="5">
        <v>21</v>
      </c>
      <c r="I876" s="5" t="s">
        <v>22</v>
      </c>
      <c r="J876" s="13" t="s">
        <v>72</v>
      </c>
    </row>
    <row r="877" spans="1:10" ht="20.25" customHeight="1" x14ac:dyDescent="0.25">
      <c r="A877" s="5" t="s">
        <v>1069</v>
      </c>
      <c r="B877" s="5">
        <v>2</v>
      </c>
      <c r="C877" s="6">
        <v>46146</v>
      </c>
      <c r="D877" s="16">
        <v>46141</v>
      </c>
      <c r="E877" s="15" t="s">
        <v>16</v>
      </c>
      <c r="F877" s="5" t="s">
        <v>837</v>
      </c>
      <c r="G877" s="5" t="s">
        <v>12</v>
      </c>
      <c r="H877" s="5">
        <v>30</v>
      </c>
      <c r="I877" s="5" t="s">
        <v>67</v>
      </c>
      <c r="J877" s="13" t="s">
        <v>73</v>
      </c>
    </row>
    <row r="878" spans="1:10" ht="20.25" customHeight="1" x14ac:dyDescent="0.25">
      <c r="A878" s="5" t="s">
        <v>1072</v>
      </c>
      <c r="B878" s="5">
        <v>1</v>
      </c>
      <c r="C878" s="6">
        <v>46147</v>
      </c>
      <c r="D878" s="16">
        <v>46172</v>
      </c>
      <c r="E878" s="15" t="s">
        <v>15</v>
      </c>
      <c r="F878" s="5" t="s">
        <v>438</v>
      </c>
      <c r="G878" s="5" t="s">
        <v>13</v>
      </c>
      <c r="H878" s="5">
        <v>20</v>
      </c>
      <c r="I878" s="5" t="s">
        <v>20</v>
      </c>
      <c r="J878" s="13" t="s">
        <v>68</v>
      </c>
    </row>
    <row r="879" spans="1:10" ht="20.25" customHeight="1" x14ac:dyDescent="0.25">
      <c r="A879" s="5" t="s">
        <v>1073</v>
      </c>
      <c r="B879" s="5">
        <v>1</v>
      </c>
      <c r="C879" s="6">
        <v>46147</v>
      </c>
      <c r="D879" s="16">
        <v>46172</v>
      </c>
      <c r="E879" s="15" t="s">
        <v>15</v>
      </c>
      <c r="F879" s="5" t="s">
        <v>438</v>
      </c>
      <c r="G879" s="5" t="s">
        <v>13</v>
      </c>
      <c r="H879" s="5">
        <v>9</v>
      </c>
      <c r="I879" s="5" t="s">
        <v>20</v>
      </c>
      <c r="J879" s="13" t="s">
        <v>68</v>
      </c>
    </row>
    <row r="880" spans="1:10" ht="20.25" customHeight="1" x14ac:dyDescent="0.25">
      <c r="A880" s="5" t="s">
        <v>1072</v>
      </c>
      <c r="B880" s="5">
        <v>1</v>
      </c>
      <c r="C880" s="6">
        <v>46147</v>
      </c>
      <c r="D880" s="16">
        <v>46172</v>
      </c>
      <c r="E880" s="15" t="s">
        <v>15</v>
      </c>
      <c r="F880" s="5" t="s">
        <v>438</v>
      </c>
      <c r="G880" s="5" t="s">
        <v>12</v>
      </c>
      <c r="H880" s="5">
        <v>25</v>
      </c>
      <c r="I880" s="5" t="s">
        <v>20</v>
      </c>
      <c r="J880" s="13" t="s">
        <v>68</v>
      </c>
    </row>
    <row r="881" spans="1:17" ht="20.25" customHeight="1" x14ac:dyDescent="0.25">
      <c r="A881" s="5" t="s">
        <v>1074</v>
      </c>
      <c r="B881" s="5">
        <v>1</v>
      </c>
      <c r="C881" s="6">
        <v>46147</v>
      </c>
      <c r="D881" s="16">
        <v>46172</v>
      </c>
      <c r="E881" s="15" t="s">
        <v>15</v>
      </c>
      <c r="F881" s="5" t="s">
        <v>438</v>
      </c>
      <c r="G881" s="5" t="s">
        <v>12</v>
      </c>
      <c r="H881" s="5">
        <v>36</v>
      </c>
      <c r="I881" s="5" t="s">
        <v>20</v>
      </c>
      <c r="J881" s="13" t="s">
        <v>68</v>
      </c>
    </row>
    <row r="882" spans="1:17" ht="20.25" customHeight="1" x14ac:dyDescent="0.25">
      <c r="A882" s="5" t="s">
        <v>1076</v>
      </c>
      <c r="B882" s="5">
        <v>1</v>
      </c>
      <c r="C882" s="6">
        <v>46147</v>
      </c>
      <c r="D882" s="16">
        <v>46137</v>
      </c>
      <c r="E882" s="15" t="s">
        <v>8</v>
      </c>
      <c r="F882" s="5" t="s">
        <v>837</v>
      </c>
      <c r="G882" s="5" t="s">
        <v>10</v>
      </c>
      <c r="H882" s="5">
        <v>12</v>
      </c>
      <c r="I882" s="5" t="s">
        <v>67</v>
      </c>
      <c r="J882" s="13" t="s">
        <v>73</v>
      </c>
    </row>
    <row r="883" spans="1:17" ht="20.25" customHeight="1" x14ac:dyDescent="0.25">
      <c r="A883" s="5" t="s">
        <v>1075</v>
      </c>
      <c r="B883" s="5">
        <v>1</v>
      </c>
      <c r="C883" s="6">
        <v>46147</v>
      </c>
      <c r="D883" s="16">
        <v>46138</v>
      </c>
      <c r="E883" s="15" t="s">
        <v>8</v>
      </c>
      <c r="F883" s="5" t="s">
        <v>837</v>
      </c>
      <c r="G883" s="5" t="s">
        <v>13</v>
      </c>
      <c r="H883" s="5">
        <v>23</v>
      </c>
      <c r="I883" s="5" t="s">
        <v>67</v>
      </c>
      <c r="J883" s="13" t="s">
        <v>73</v>
      </c>
    </row>
    <row r="884" spans="1:17" ht="20.25" customHeight="1" x14ac:dyDescent="0.25">
      <c r="A884" s="5" t="s">
        <v>1077</v>
      </c>
      <c r="B884" s="5">
        <v>1</v>
      </c>
      <c r="C884" s="6">
        <v>46147</v>
      </c>
      <c r="D884" s="16">
        <v>46137</v>
      </c>
      <c r="E884" s="15" t="s">
        <v>8</v>
      </c>
      <c r="F884" s="5" t="s">
        <v>837</v>
      </c>
      <c r="G884" s="5" t="s">
        <v>11</v>
      </c>
      <c r="H884" s="5">
        <v>11</v>
      </c>
      <c r="I884" s="5" t="s">
        <v>67</v>
      </c>
      <c r="J884" s="13" t="s">
        <v>73</v>
      </c>
    </row>
    <row r="885" spans="1:17" ht="20.25" customHeight="1" x14ac:dyDescent="0.25">
      <c r="A885" s="5" t="s">
        <v>1078</v>
      </c>
      <c r="B885" s="5">
        <v>1</v>
      </c>
      <c r="C885" s="6">
        <v>46147</v>
      </c>
      <c r="D885" s="16">
        <v>46137</v>
      </c>
      <c r="E885" s="15" t="s">
        <v>8</v>
      </c>
      <c r="F885" s="5" t="s">
        <v>837</v>
      </c>
      <c r="G885" s="5" t="s">
        <v>13</v>
      </c>
      <c r="H885" s="5">
        <v>21</v>
      </c>
      <c r="I885" s="5" t="s">
        <v>67</v>
      </c>
      <c r="J885" s="13" t="s">
        <v>73</v>
      </c>
    </row>
    <row r="886" spans="1:17" ht="20.25" customHeight="1" x14ac:dyDescent="0.25">
      <c r="A886" s="5" t="s">
        <v>1090</v>
      </c>
      <c r="B886" s="5">
        <v>1</v>
      </c>
      <c r="C886" s="6">
        <v>46147</v>
      </c>
      <c r="D886" s="16">
        <v>46137</v>
      </c>
      <c r="E886" s="15" t="s">
        <v>8</v>
      </c>
      <c r="F886" s="5" t="s">
        <v>837</v>
      </c>
      <c r="G886" s="5" t="s">
        <v>10</v>
      </c>
      <c r="H886" s="5">
        <v>17</v>
      </c>
      <c r="I886" s="5" t="s">
        <v>67</v>
      </c>
      <c r="J886" s="13" t="s">
        <v>73</v>
      </c>
    </row>
    <row r="887" spans="1:17" ht="20.25" customHeight="1" x14ac:dyDescent="0.25">
      <c r="A887" s="5" t="s">
        <v>1091</v>
      </c>
      <c r="B887" s="5">
        <v>1</v>
      </c>
      <c r="C887" s="6">
        <v>46147</v>
      </c>
      <c r="D887" s="16">
        <v>46137</v>
      </c>
      <c r="E887" s="15" t="s">
        <v>8</v>
      </c>
      <c r="F887" s="5" t="s">
        <v>837</v>
      </c>
      <c r="G887" s="5" t="s">
        <v>11</v>
      </c>
      <c r="H887" s="5">
        <v>7</v>
      </c>
      <c r="I887" s="5" t="s">
        <v>67</v>
      </c>
      <c r="J887" s="13" t="s">
        <v>73</v>
      </c>
    </row>
    <row r="888" spans="1:17" ht="20.25" customHeight="1" x14ac:dyDescent="0.25">
      <c r="A888" s="5" t="s">
        <v>1079</v>
      </c>
      <c r="B888" s="5">
        <v>1</v>
      </c>
      <c r="C888" s="6">
        <v>46147</v>
      </c>
      <c r="D888" s="16">
        <v>46137</v>
      </c>
      <c r="E888" s="15" t="s">
        <v>8</v>
      </c>
      <c r="F888" s="5" t="s">
        <v>837</v>
      </c>
      <c r="G888" s="5" t="s">
        <v>17</v>
      </c>
      <c r="H888" s="5">
        <v>12</v>
      </c>
      <c r="I888" s="5" t="s">
        <v>67</v>
      </c>
      <c r="J888" s="13" t="s">
        <v>73</v>
      </c>
    </row>
    <row r="889" spans="1:17" ht="20.25" customHeight="1" x14ac:dyDescent="0.25">
      <c r="A889" s="5" t="s">
        <v>1080</v>
      </c>
      <c r="B889" s="5">
        <v>1</v>
      </c>
      <c r="C889" s="6">
        <v>46147</v>
      </c>
      <c r="D889" s="16">
        <v>46137</v>
      </c>
      <c r="E889" s="15" t="s">
        <v>8</v>
      </c>
      <c r="F889" s="5" t="s">
        <v>837</v>
      </c>
      <c r="G889" s="5" t="s">
        <v>10</v>
      </c>
      <c r="H889" s="5">
        <v>6</v>
      </c>
      <c r="I889" s="5" t="s">
        <v>67</v>
      </c>
      <c r="J889" s="13" t="s">
        <v>73</v>
      </c>
    </row>
    <row r="890" spans="1:17" ht="20.25" customHeight="1" x14ac:dyDescent="0.25">
      <c r="A890" s="5" t="s">
        <v>1081</v>
      </c>
      <c r="B890" s="5">
        <v>1</v>
      </c>
      <c r="C890" s="6">
        <v>46147</v>
      </c>
      <c r="D890" s="16">
        <v>46137</v>
      </c>
      <c r="E890" s="15" t="s">
        <v>8</v>
      </c>
      <c r="F890" s="5" t="s">
        <v>837</v>
      </c>
      <c r="G890" s="5" t="s">
        <v>10</v>
      </c>
      <c r="H890" s="5">
        <v>15</v>
      </c>
      <c r="I890" s="5" t="s">
        <v>67</v>
      </c>
      <c r="J890" s="13" t="s">
        <v>73</v>
      </c>
    </row>
    <row r="891" spans="1:17" ht="20.25" customHeight="1" x14ac:dyDescent="0.25">
      <c r="A891" s="5" t="s">
        <v>1082</v>
      </c>
      <c r="B891" s="5">
        <v>1</v>
      </c>
      <c r="C891" s="6">
        <v>46147</v>
      </c>
      <c r="D891" s="16">
        <v>46137</v>
      </c>
      <c r="E891" s="15" t="s">
        <v>8</v>
      </c>
      <c r="F891" s="5" t="s">
        <v>837</v>
      </c>
      <c r="G891" s="5" t="s">
        <v>11</v>
      </c>
      <c r="H891" s="5">
        <v>3</v>
      </c>
      <c r="I891" s="5" t="s">
        <v>67</v>
      </c>
      <c r="J891" s="13" t="s">
        <v>73</v>
      </c>
    </row>
    <row r="892" spans="1:17" ht="20.25" customHeight="1" x14ac:dyDescent="0.25">
      <c r="A892" s="5" t="s">
        <v>1083</v>
      </c>
      <c r="B892" s="5">
        <v>1</v>
      </c>
      <c r="C892" s="6">
        <v>46147</v>
      </c>
      <c r="D892" s="16">
        <v>46137</v>
      </c>
      <c r="E892" s="15" t="s">
        <v>8</v>
      </c>
      <c r="F892" s="5" t="s">
        <v>837</v>
      </c>
      <c r="G892" s="5" t="s">
        <v>11</v>
      </c>
      <c r="H892" s="5">
        <v>5</v>
      </c>
      <c r="I892" s="5" t="s">
        <v>67</v>
      </c>
      <c r="J892" s="13" t="s">
        <v>73</v>
      </c>
      <c r="Q892" s="1">
        <f>310-268</f>
        <v>42</v>
      </c>
    </row>
    <row r="893" spans="1:17" ht="20.25" customHeight="1" x14ac:dyDescent="0.25">
      <c r="A893" s="5" t="s">
        <v>1084</v>
      </c>
      <c r="B893" s="5">
        <v>1</v>
      </c>
      <c r="C893" s="6">
        <v>46147</v>
      </c>
      <c r="D893" s="16">
        <v>46138</v>
      </c>
      <c r="E893" s="15" t="s">
        <v>8</v>
      </c>
      <c r="F893" s="5" t="s">
        <v>837</v>
      </c>
      <c r="G893" s="5" t="s">
        <v>11</v>
      </c>
      <c r="H893" s="5">
        <v>6</v>
      </c>
      <c r="I893" s="5" t="s">
        <v>67</v>
      </c>
      <c r="J893" s="13" t="s">
        <v>73</v>
      </c>
    </row>
    <row r="894" spans="1:17" ht="20.25" customHeight="1" x14ac:dyDescent="0.25">
      <c r="A894" s="5" t="s">
        <v>1085</v>
      </c>
      <c r="B894" s="5">
        <v>1</v>
      </c>
      <c r="C894" s="6">
        <v>46147</v>
      </c>
      <c r="D894" s="16">
        <v>46138</v>
      </c>
      <c r="E894" s="15" t="s">
        <v>8</v>
      </c>
      <c r="F894" s="5" t="s">
        <v>837</v>
      </c>
      <c r="G894" s="5" t="s">
        <v>11</v>
      </c>
      <c r="H894" s="5">
        <v>21</v>
      </c>
      <c r="I894" s="5" t="s">
        <v>67</v>
      </c>
      <c r="J894" s="13" t="s">
        <v>73</v>
      </c>
    </row>
    <row r="895" spans="1:17" ht="20.25" customHeight="1" x14ac:dyDescent="0.25">
      <c r="A895" s="5" t="s">
        <v>1086</v>
      </c>
      <c r="B895" s="5">
        <v>1</v>
      </c>
      <c r="C895" s="6">
        <v>46147</v>
      </c>
      <c r="D895" s="16">
        <v>46142</v>
      </c>
      <c r="E895" s="15" t="s">
        <v>8</v>
      </c>
      <c r="F895" s="5" t="s">
        <v>837</v>
      </c>
      <c r="G895" s="5" t="s">
        <v>12</v>
      </c>
      <c r="H895" s="5">
        <v>17</v>
      </c>
      <c r="I895" s="5" t="s">
        <v>67</v>
      </c>
      <c r="J895" s="13" t="s">
        <v>73</v>
      </c>
    </row>
    <row r="896" spans="1:17" ht="20.25" customHeight="1" x14ac:dyDescent="0.25">
      <c r="A896" s="5" t="s">
        <v>1087</v>
      </c>
      <c r="B896" s="5">
        <v>1</v>
      </c>
      <c r="C896" s="6">
        <v>46147</v>
      </c>
      <c r="D896" s="16">
        <v>46137</v>
      </c>
      <c r="E896" s="15" t="s">
        <v>8</v>
      </c>
      <c r="F896" s="5" t="s">
        <v>837</v>
      </c>
      <c r="G896" s="5" t="s">
        <v>11</v>
      </c>
      <c r="H896" s="5">
        <v>12</v>
      </c>
      <c r="I896" s="5" t="s">
        <v>67</v>
      </c>
      <c r="J896" s="13" t="s">
        <v>73</v>
      </c>
    </row>
    <row r="897" spans="1:10" ht="19.5" customHeight="1" x14ac:dyDescent="0.25">
      <c r="A897" s="5" t="s">
        <v>1093</v>
      </c>
      <c r="B897" s="5">
        <v>1</v>
      </c>
      <c r="C897" s="6">
        <v>46147</v>
      </c>
      <c r="D897" s="6">
        <v>46138</v>
      </c>
      <c r="E897" s="15" t="s">
        <v>8</v>
      </c>
      <c r="F897" s="5" t="s">
        <v>837</v>
      </c>
      <c r="G897" s="5" t="s">
        <v>10</v>
      </c>
      <c r="H897" s="5">
        <v>7</v>
      </c>
      <c r="I897" s="5" t="s">
        <v>67</v>
      </c>
      <c r="J897" s="13" t="s">
        <v>73</v>
      </c>
    </row>
    <row r="898" spans="1:10" x14ac:dyDescent="0.25">
      <c r="A898" s="5" t="s">
        <v>1092</v>
      </c>
      <c r="B898" s="5">
        <v>1</v>
      </c>
      <c r="C898" s="6">
        <v>46147</v>
      </c>
      <c r="D898" s="6">
        <v>46137</v>
      </c>
      <c r="E898" s="15" t="s">
        <v>8</v>
      </c>
      <c r="F898" s="5" t="s">
        <v>837</v>
      </c>
      <c r="G898" s="5" t="s">
        <v>10</v>
      </c>
      <c r="H898" s="5">
        <v>25</v>
      </c>
      <c r="I898" s="5" t="s">
        <v>67</v>
      </c>
      <c r="J898" s="13" t="s">
        <v>73</v>
      </c>
    </row>
    <row r="899" spans="1:10" x14ac:dyDescent="0.25">
      <c r="A899" s="5" t="s">
        <v>1094</v>
      </c>
      <c r="B899" s="5">
        <v>2</v>
      </c>
      <c r="C899" s="127">
        <v>46147</v>
      </c>
      <c r="D899" s="6">
        <v>46137</v>
      </c>
      <c r="E899" s="5" t="s">
        <v>8</v>
      </c>
      <c r="F899" s="5" t="s">
        <v>837</v>
      </c>
      <c r="G899" s="5" t="s">
        <v>11</v>
      </c>
      <c r="H899" s="5">
        <v>15</v>
      </c>
      <c r="I899" s="5" t="s">
        <v>67</v>
      </c>
      <c r="J899" s="13" t="s">
        <v>73</v>
      </c>
    </row>
    <row r="900" spans="1:10" x14ac:dyDescent="0.25">
      <c r="A900" s="5" t="s">
        <v>1095</v>
      </c>
      <c r="B900" s="5">
        <v>2</v>
      </c>
      <c r="C900" s="127">
        <v>46147</v>
      </c>
      <c r="D900" s="127">
        <v>46142</v>
      </c>
      <c r="E900" s="5" t="s">
        <v>8</v>
      </c>
      <c r="F900" s="5" t="s">
        <v>837</v>
      </c>
      <c r="G900" s="5" t="s">
        <v>12</v>
      </c>
      <c r="H900" s="5">
        <v>42</v>
      </c>
      <c r="I900" s="5" t="s">
        <v>67</v>
      </c>
      <c r="J900" s="13" t="s">
        <v>73</v>
      </c>
    </row>
    <row r="901" spans="1:10" x14ac:dyDescent="0.25">
      <c r="A901" s="5" t="s">
        <v>1096</v>
      </c>
      <c r="B901" s="5">
        <v>2</v>
      </c>
      <c r="C901" s="127">
        <v>46147</v>
      </c>
      <c r="D901" s="6">
        <v>46138</v>
      </c>
      <c r="E901" s="5" t="s">
        <v>8</v>
      </c>
      <c r="F901" s="5" t="s">
        <v>889</v>
      </c>
      <c r="G901" s="5" t="s">
        <v>11</v>
      </c>
      <c r="H901" s="5">
        <v>9</v>
      </c>
      <c r="I901" s="5" t="s">
        <v>22</v>
      </c>
      <c r="J901" s="13" t="s">
        <v>72</v>
      </c>
    </row>
    <row r="902" spans="1:10" x14ac:dyDescent="0.25">
      <c r="A902" s="5" t="s">
        <v>1097</v>
      </c>
      <c r="B902" s="5">
        <v>2</v>
      </c>
      <c r="C902" s="127">
        <v>46147</v>
      </c>
      <c r="D902" s="6">
        <v>46138</v>
      </c>
      <c r="E902" s="5" t="s">
        <v>8</v>
      </c>
      <c r="F902" s="5" t="s">
        <v>889</v>
      </c>
      <c r="G902" s="5" t="s">
        <v>11</v>
      </c>
      <c r="H902" s="5">
        <v>24</v>
      </c>
      <c r="I902" s="5" t="s">
        <v>22</v>
      </c>
      <c r="J902" s="13" t="s">
        <v>72</v>
      </c>
    </row>
    <row r="903" spans="1:10" x14ac:dyDescent="0.25">
      <c r="A903" s="5" t="s">
        <v>1098</v>
      </c>
      <c r="B903" s="5">
        <v>2</v>
      </c>
      <c r="C903" s="127">
        <v>46147</v>
      </c>
      <c r="D903" s="6">
        <v>46138</v>
      </c>
      <c r="E903" s="5" t="s">
        <v>8</v>
      </c>
      <c r="F903" s="5" t="s">
        <v>889</v>
      </c>
      <c r="G903" s="5" t="s">
        <v>17</v>
      </c>
      <c r="H903" s="5">
        <v>1</v>
      </c>
      <c r="I903" s="5" t="s">
        <v>22</v>
      </c>
      <c r="J903" s="13" t="s">
        <v>72</v>
      </c>
    </row>
    <row r="904" spans="1:10" x14ac:dyDescent="0.25">
      <c r="A904" s="5" t="s">
        <v>1099</v>
      </c>
      <c r="B904" s="5">
        <v>2</v>
      </c>
      <c r="C904" s="127">
        <v>46147</v>
      </c>
      <c r="D904" s="6">
        <v>46138</v>
      </c>
      <c r="E904" s="5" t="s">
        <v>8</v>
      </c>
      <c r="F904" s="5" t="s">
        <v>889</v>
      </c>
      <c r="G904" s="5" t="s">
        <v>17</v>
      </c>
      <c r="H904" s="5">
        <v>4</v>
      </c>
      <c r="I904" s="5" t="s">
        <v>22</v>
      </c>
      <c r="J904" s="13" t="s">
        <v>72</v>
      </c>
    </row>
    <row r="905" spans="1:10" x14ac:dyDescent="0.25">
      <c r="A905" s="5" t="s">
        <v>1100</v>
      </c>
      <c r="B905" s="5">
        <v>2</v>
      </c>
      <c r="C905" s="127">
        <v>46147</v>
      </c>
      <c r="D905" s="6">
        <v>46138</v>
      </c>
      <c r="E905" s="5" t="s">
        <v>8</v>
      </c>
      <c r="F905" s="5" t="s">
        <v>889</v>
      </c>
      <c r="G905" s="5" t="s">
        <v>10</v>
      </c>
      <c r="H905" s="5">
        <v>10</v>
      </c>
      <c r="I905" s="5" t="s">
        <v>22</v>
      </c>
      <c r="J905" s="13" t="s">
        <v>72</v>
      </c>
    </row>
    <row r="906" spans="1:10" x14ac:dyDescent="0.25">
      <c r="A906" s="5" t="s">
        <v>1101</v>
      </c>
      <c r="B906" s="5">
        <v>2</v>
      </c>
      <c r="C906" s="127">
        <v>46147</v>
      </c>
      <c r="D906" s="6">
        <v>46138</v>
      </c>
      <c r="E906" s="5" t="s">
        <v>8</v>
      </c>
      <c r="F906" s="5" t="s">
        <v>889</v>
      </c>
      <c r="G906" s="5" t="s">
        <v>11</v>
      </c>
      <c r="H906" s="5">
        <v>9</v>
      </c>
      <c r="I906" s="5" t="s">
        <v>22</v>
      </c>
      <c r="J906" s="13" t="s">
        <v>72</v>
      </c>
    </row>
    <row r="907" spans="1:10" x14ac:dyDescent="0.25">
      <c r="A907" s="5" t="s">
        <v>1102</v>
      </c>
      <c r="B907" s="5">
        <v>2</v>
      </c>
      <c r="C907" s="127">
        <v>46147</v>
      </c>
      <c r="D907" s="6">
        <v>46138</v>
      </c>
      <c r="E907" s="5" t="s">
        <v>8</v>
      </c>
      <c r="F907" s="5" t="s">
        <v>889</v>
      </c>
      <c r="G907" s="5" t="s">
        <v>17</v>
      </c>
      <c r="H907" s="5">
        <v>12</v>
      </c>
      <c r="I907" s="5" t="s">
        <v>22</v>
      </c>
      <c r="J907" s="13" t="s">
        <v>72</v>
      </c>
    </row>
    <row r="908" spans="1:10" x14ac:dyDescent="0.25">
      <c r="A908" s="5" t="s">
        <v>1103</v>
      </c>
      <c r="B908" s="5">
        <v>2</v>
      </c>
      <c r="C908" s="127">
        <v>46147</v>
      </c>
      <c r="D908" s="6">
        <v>46140</v>
      </c>
      <c r="E908" s="5" t="s">
        <v>8</v>
      </c>
      <c r="F908" s="5" t="s">
        <v>889</v>
      </c>
      <c r="G908" s="5" t="s">
        <v>17</v>
      </c>
      <c r="H908" s="5">
        <v>21</v>
      </c>
      <c r="I908" s="5" t="s">
        <v>22</v>
      </c>
      <c r="J908" s="13" t="s">
        <v>72</v>
      </c>
    </row>
    <row r="909" spans="1:10" x14ac:dyDescent="0.25">
      <c r="A909" s="5" t="s">
        <v>1104</v>
      </c>
      <c r="B909" s="5">
        <v>2</v>
      </c>
      <c r="C909" s="127">
        <v>46147</v>
      </c>
      <c r="D909" s="6">
        <v>46138</v>
      </c>
      <c r="E909" s="5" t="s">
        <v>8</v>
      </c>
      <c r="F909" s="5" t="s">
        <v>936</v>
      </c>
      <c r="G909" s="5" t="s">
        <v>11</v>
      </c>
      <c r="H909" s="5">
        <v>15</v>
      </c>
      <c r="I909" s="5" t="s">
        <v>21</v>
      </c>
      <c r="J909" s="13" t="s">
        <v>70</v>
      </c>
    </row>
    <row r="910" spans="1:10" ht="19.5" customHeight="1" x14ac:dyDescent="0.25">
      <c r="A910" s="5" t="s">
        <v>1117</v>
      </c>
      <c r="B910" s="5">
        <v>2</v>
      </c>
      <c r="C910" s="127">
        <v>46147</v>
      </c>
      <c r="D910" s="6">
        <v>46137</v>
      </c>
      <c r="E910" s="5" t="s">
        <v>8</v>
      </c>
      <c r="F910" s="5" t="s">
        <v>936</v>
      </c>
      <c r="G910" s="5" t="s">
        <v>10</v>
      </c>
      <c r="H910" s="5">
        <v>8</v>
      </c>
      <c r="I910" s="5" t="s">
        <v>21</v>
      </c>
      <c r="J910" s="13" t="s">
        <v>70</v>
      </c>
    </row>
    <row r="911" spans="1:10" ht="19.5" customHeight="1" x14ac:dyDescent="0.25">
      <c r="A911" s="5" t="s">
        <v>1118</v>
      </c>
      <c r="B911" s="5">
        <v>2</v>
      </c>
      <c r="C911" s="127">
        <v>46147</v>
      </c>
      <c r="D911" s="6">
        <v>46137</v>
      </c>
      <c r="E911" s="5" t="s">
        <v>8</v>
      </c>
      <c r="F911" s="5" t="s">
        <v>936</v>
      </c>
      <c r="G911" s="5" t="s">
        <v>10</v>
      </c>
      <c r="H911" s="5">
        <v>28</v>
      </c>
      <c r="I911" s="5" t="s">
        <v>21</v>
      </c>
      <c r="J911" s="13" t="s">
        <v>70</v>
      </c>
    </row>
    <row r="912" spans="1:10" ht="19.5" customHeight="1" x14ac:dyDescent="0.25">
      <c r="A912" s="5" t="s">
        <v>897</v>
      </c>
      <c r="B912" s="5">
        <v>2</v>
      </c>
      <c r="C912" s="127">
        <v>46147</v>
      </c>
      <c r="D912" s="6">
        <v>46137</v>
      </c>
      <c r="E912" s="5" t="s">
        <v>16</v>
      </c>
      <c r="F912" s="5" t="s">
        <v>936</v>
      </c>
      <c r="G912" s="5" t="s">
        <v>11</v>
      </c>
      <c r="H912" s="5">
        <v>5</v>
      </c>
      <c r="I912" s="5" t="s">
        <v>21</v>
      </c>
      <c r="J912" s="13" t="s">
        <v>70</v>
      </c>
    </row>
    <row r="913" spans="1:10" ht="19.5" customHeight="1" x14ac:dyDescent="0.25">
      <c r="A913" s="5" t="s">
        <v>1120</v>
      </c>
      <c r="B913" s="5">
        <v>2</v>
      </c>
      <c r="C913" s="127">
        <v>46147</v>
      </c>
      <c r="D913" s="6">
        <v>46137</v>
      </c>
      <c r="E913" s="5" t="s">
        <v>16</v>
      </c>
      <c r="F913" s="5" t="s">
        <v>837</v>
      </c>
      <c r="G913" s="5" t="s">
        <v>11</v>
      </c>
      <c r="H913" s="5">
        <v>11</v>
      </c>
      <c r="I913" s="5" t="s">
        <v>67</v>
      </c>
      <c r="J913" s="13" t="s">
        <v>73</v>
      </c>
    </row>
    <row r="914" spans="1:10" ht="19.5" customHeight="1" x14ac:dyDescent="0.25">
      <c r="A914" s="5" t="s">
        <v>1119</v>
      </c>
      <c r="B914" s="5">
        <v>2</v>
      </c>
      <c r="C914" s="127">
        <v>46147</v>
      </c>
      <c r="D914" s="6">
        <v>46137</v>
      </c>
      <c r="E914" s="5" t="s">
        <v>16</v>
      </c>
      <c r="F914" s="5" t="s">
        <v>837</v>
      </c>
      <c r="G914" s="5" t="s">
        <v>11</v>
      </c>
      <c r="H914" s="5">
        <v>5</v>
      </c>
      <c r="I914" s="5" t="s">
        <v>67</v>
      </c>
      <c r="J914" s="13" t="s">
        <v>73</v>
      </c>
    </row>
    <row r="915" spans="1:10" ht="19.5" customHeight="1" x14ac:dyDescent="0.25">
      <c r="A915" s="5" t="s">
        <v>1125</v>
      </c>
      <c r="B915" s="5">
        <v>2</v>
      </c>
      <c r="C915" s="127">
        <v>46147</v>
      </c>
      <c r="D915" s="6">
        <v>46138</v>
      </c>
      <c r="E915" s="5" t="s">
        <v>16</v>
      </c>
      <c r="F915" s="5" t="s">
        <v>889</v>
      </c>
      <c r="G915" s="5" t="s">
        <v>17</v>
      </c>
      <c r="H915" s="5">
        <v>3</v>
      </c>
      <c r="I915" s="5" t="s">
        <v>22</v>
      </c>
      <c r="J915" s="13" t="s">
        <v>72</v>
      </c>
    </row>
    <row r="916" spans="1:10" ht="19.5" customHeight="1" x14ac:dyDescent="0.25">
      <c r="A916" s="5" t="s">
        <v>1126</v>
      </c>
      <c r="B916" s="5">
        <v>2</v>
      </c>
      <c r="C916" s="127">
        <v>46147</v>
      </c>
      <c r="D916" s="6">
        <v>46138</v>
      </c>
      <c r="E916" s="5" t="s">
        <v>16</v>
      </c>
      <c r="F916" s="5" t="s">
        <v>889</v>
      </c>
      <c r="G916" s="5" t="s">
        <v>17</v>
      </c>
      <c r="H916" s="5">
        <v>3</v>
      </c>
      <c r="I916" s="5" t="s">
        <v>22</v>
      </c>
      <c r="J916" s="13" t="s">
        <v>72</v>
      </c>
    </row>
    <row r="917" spans="1:10" ht="19.5" customHeight="1" x14ac:dyDescent="0.25">
      <c r="A917" s="5" t="s">
        <v>1127</v>
      </c>
      <c r="B917" s="5">
        <v>2</v>
      </c>
      <c r="C917" s="127">
        <v>46147</v>
      </c>
      <c r="D917" s="6">
        <v>46138</v>
      </c>
      <c r="E917" s="5" t="s">
        <v>16</v>
      </c>
      <c r="F917" s="5" t="s">
        <v>889</v>
      </c>
      <c r="G917" s="5" t="s">
        <v>17</v>
      </c>
      <c r="H917" s="5">
        <v>2</v>
      </c>
      <c r="I917" s="5" t="s">
        <v>22</v>
      </c>
      <c r="J917" s="13" t="s">
        <v>72</v>
      </c>
    </row>
    <row r="918" spans="1:10" ht="19.5" customHeight="1" x14ac:dyDescent="0.25">
      <c r="A918" s="5" t="s">
        <v>1128</v>
      </c>
      <c r="B918" s="5">
        <v>2</v>
      </c>
      <c r="C918" s="127">
        <v>46147</v>
      </c>
      <c r="D918" s="6">
        <v>46138</v>
      </c>
      <c r="E918" s="5" t="s">
        <v>16</v>
      </c>
      <c r="F918" s="5" t="s">
        <v>889</v>
      </c>
      <c r="G918" s="5" t="s">
        <v>17</v>
      </c>
      <c r="H918" s="5">
        <v>3</v>
      </c>
      <c r="I918" s="5" t="s">
        <v>22</v>
      </c>
      <c r="J918" s="13" t="s">
        <v>72</v>
      </c>
    </row>
    <row r="919" spans="1:10" ht="19.5" customHeight="1" x14ac:dyDescent="0.25">
      <c r="A919" s="5" t="s">
        <v>1121</v>
      </c>
      <c r="B919" s="5">
        <v>2</v>
      </c>
      <c r="C919" s="127">
        <v>46147</v>
      </c>
      <c r="D919" s="6">
        <v>46138</v>
      </c>
      <c r="E919" s="5" t="s">
        <v>16</v>
      </c>
      <c r="F919" s="5" t="s">
        <v>889</v>
      </c>
      <c r="G919" s="5" t="s">
        <v>11</v>
      </c>
      <c r="H919" s="5">
        <v>5</v>
      </c>
      <c r="I919" s="5" t="s">
        <v>22</v>
      </c>
      <c r="J919" s="13" t="s">
        <v>72</v>
      </c>
    </row>
    <row r="920" spans="1:10" ht="19.5" customHeight="1" x14ac:dyDescent="0.25">
      <c r="A920" s="5" t="s">
        <v>1122</v>
      </c>
      <c r="B920" s="5">
        <v>2</v>
      </c>
      <c r="C920" s="127">
        <v>46147</v>
      </c>
      <c r="D920" s="6">
        <v>46140</v>
      </c>
      <c r="E920" s="5" t="s">
        <v>16</v>
      </c>
      <c r="F920" s="5" t="s">
        <v>889</v>
      </c>
      <c r="G920" s="5" t="s">
        <v>17</v>
      </c>
      <c r="H920" s="5">
        <v>13</v>
      </c>
      <c r="I920" s="5" t="s">
        <v>22</v>
      </c>
      <c r="J920" s="13" t="s">
        <v>72</v>
      </c>
    </row>
    <row r="921" spans="1:10" ht="19.5" customHeight="1" x14ac:dyDescent="0.25">
      <c r="A921" s="5" t="s">
        <v>1123</v>
      </c>
      <c r="B921" s="5">
        <v>2</v>
      </c>
      <c r="C921" s="127">
        <v>46147</v>
      </c>
      <c r="D921" s="6">
        <v>46140</v>
      </c>
      <c r="E921" s="5" t="s">
        <v>16</v>
      </c>
      <c r="F921" s="5" t="s">
        <v>837</v>
      </c>
      <c r="G921" s="5" t="s">
        <v>17</v>
      </c>
      <c r="H921" s="5">
        <v>15</v>
      </c>
      <c r="I921" s="5" t="s">
        <v>67</v>
      </c>
      <c r="J921" s="13" t="s">
        <v>73</v>
      </c>
    </row>
    <row r="922" spans="1:10" ht="19.5" customHeight="1" x14ac:dyDescent="0.25">
      <c r="A922" s="5" t="s">
        <v>1124</v>
      </c>
      <c r="B922" s="5">
        <v>2</v>
      </c>
      <c r="C922" s="127">
        <v>46147</v>
      </c>
      <c r="D922" s="6">
        <v>46140</v>
      </c>
      <c r="E922" s="5" t="s">
        <v>16</v>
      </c>
      <c r="F922" s="5" t="s">
        <v>837</v>
      </c>
      <c r="G922" s="5" t="s">
        <v>17</v>
      </c>
      <c r="H922" s="5">
        <v>9</v>
      </c>
      <c r="I922" s="5" t="s">
        <v>67</v>
      </c>
      <c r="J922" s="13" t="s">
        <v>73</v>
      </c>
    </row>
    <row r="923" spans="1:10" ht="19.5" customHeight="1" x14ac:dyDescent="0.25">
      <c r="A923" s="5" t="s">
        <v>1129</v>
      </c>
      <c r="B923" s="5">
        <v>2</v>
      </c>
      <c r="C923" s="127">
        <v>46147</v>
      </c>
      <c r="D923" s="6">
        <v>46137</v>
      </c>
      <c r="E923" s="5" t="s">
        <v>16</v>
      </c>
      <c r="F923" s="5" t="s">
        <v>837</v>
      </c>
      <c r="G923" s="5" t="s">
        <v>17</v>
      </c>
      <c r="H923" s="5">
        <v>27</v>
      </c>
      <c r="I923" s="5" t="s">
        <v>67</v>
      </c>
      <c r="J923" s="13" t="s">
        <v>73</v>
      </c>
    </row>
    <row r="924" spans="1:10" ht="19.5" customHeight="1" x14ac:dyDescent="0.25">
      <c r="A924" s="5" t="s">
        <v>1105</v>
      </c>
      <c r="C924" s="6"/>
    </row>
    <row r="925" spans="1:10" ht="19.5" customHeight="1" x14ac:dyDescent="0.25">
      <c r="A925" s="5" t="s">
        <v>1106</v>
      </c>
    </row>
    <row r="926" spans="1:10" ht="19.5" customHeight="1" x14ac:dyDescent="0.25">
      <c r="A926" s="5" t="s">
        <v>1107</v>
      </c>
    </row>
    <row r="927" spans="1:10" ht="19.5" customHeight="1" x14ac:dyDescent="0.25">
      <c r="A927" s="5" t="s">
        <v>1092</v>
      </c>
    </row>
    <row r="928" spans="1:10" ht="19.5" customHeight="1" x14ac:dyDescent="0.25">
      <c r="A928" s="5" t="s">
        <v>1108</v>
      </c>
    </row>
    <row r="929" spans="1:10" ht="19.5" customHeight="1" x14ac:dyDescent="0.25">
      <c r="A929" s="5" t="s">
        <v>1109</v>
      </c>
    </row>
    <row r="930" spans="1:10" ht="19.5" customHeight="1" x14ac:dyDescent="0.25">
      <c r="A930" s="5" t="s">
        <v>1110</v>
      </c>
    </row>
    <row r="931" spans="1:10" ht="19.5" customHeight="1" x14ac:dyDescent="0.25">
      <c r="A931" s="5" t="s">
        <v>1111</v>
      </c>
    </row>
    <row r="932" spans="1:10" ht="19.5" customHeight="1" x14ac:dyDescent="0.25">
      <c r="A932" s="5" t="s">
        <v>1112</v>
      </c>
    </row>
    <row r="933" spans="1:10" ht="19.5" customHeight="1" x14ac:dyDescent="0.25">
      <c r="A933" s="5" t="s">
        <v>1113</v>
      </c>
    </row>
    <row r="934" spans="1:10" ht="19.5" customHeight="1" x14ac:dyDescent="0.25">
      <c r="A934" s="5" t="s">
        <v>1114</v>
      </c>
    </row>
    <row r="935" spans="1:10" ht="19.5" customHeight="1" x14ac:dyDescent="0.25">
      <c r="A935" s="5" t="s">
        <v>1115</v>
      </c>
    </row>
    <row r="936" spans="1:10" ht="19.5" customHeight="1" x14ac:dyDescent="0.25">
      <c r="A936" s="5" t="s">
        <v>1116</v>
      </c>
    </row>
    <row r="937" spans="1:10" ht="19.5" customHeight="1" x14ac:dyDescent="0.25">
      <c r="A937" s="5" t="s">
        <v>1134</v>
      </c>
      <c r="B937" s="5">
        <v>1</v>
      </c>
      <c r="C937" s="6">
        <v>46148</v>
      </c>
      <c r="D937" s="6">
        <v>46146</v>
      </c>
      <c r="E937" s="5" t="s">
        <v>15</v>
      </c>
      <c r="F937" s="5" t="s">
        <v>438</v>
      </c>
      <c r="G937" s="5" t="s">
        <v>12</v>
      </c>
      <c r="H937" s="5">
        <v>70</v>
      </c>
      <c r="I937" s="5" t="s">
        <v>20</v>
      </c>
      <c r="J937" s="13" t="s">
        <v>68</v>
      </c>
    </row>
    <row r="938" spans="1:10" ht="19.5" customHeight="1" x14ac:dyDescent="0.25">
      <c r="A938" s="5" t="s">
        <v>1135</v>
      </c>
      <c r="B938" s="5">
        <v>1</v>
      </c>
      <c r="C938" s="6">
        <v>46148</v>
      </c>
      <c r="D938" s="6">
        <v>46143</v>
      </c>
      <c r="E938" s="5" t="s">
        <v>15</v>
      </c>
      <c r="F938" s="5" t="s">
        <v>438</v>
      </c>
      <c r="G938" s="5" t="s">
        <v>17</v>
      </c>
      <c r="H938" s="5">
        <v>41</v>
      </c>
      <c r="I938" s="5" t="s">
        <v>20</v>
      </c>
      <c r="J938" s="13" t="s">
        <v>68</v>
      </c>
    </row>
    <row r="939" spans="1:10" ht="19.5" customHeight="1" x14ac:dyDescent="0.25">
      <c r="A939" s="5" t="s">
        <v>1136</v>
      </c>
      <c r="B939" s="5">
        <v>1</v>
      </c>
      <c r="C939" s="6">
        <v>46148</v>
      </c>
      <c r="D939" s="6">
        <v>46142</v>
      </c>
      <c r="E939" s="5" t="s">
        <v>15</v>
      </c>
      <c r="F939" s="5" t="s">
        <v>438</v>
      </c>
      <c r="G939" s="5" t="s">
        <v>17</v>
      </c>
      <c r="H939" s="5">
        <v>32</v>
      </c>
      <c r="I939" s="5" t="s">
        <v>20</v>
      </c>
      <c r="J939" s="13" t="s">
        <v>68</v>
      </c>
    </row>
    <row r="940" spans="1:10" ht="19.5" customHeight="1" x14ac:dyDescent="0.25">
      <c r="A940" s="5" t="s">
        <v>1137</v>
      </c>
      <c r="B940" s="5">
        <v>1</v>
      </c>
      <c r="C940" s="6">
        <v>46148</v>
      </c>
      <c r="D940" s="6">
        <v>46143</v>
      </c>
      <c r="E940" s="5" t="s">
        <v>15</v>
      </c>
      <c r="F940" s="5" t="s">
        <v>438</v>
      </c>
      <c r="G940" s="5" t="s">
        <v>17</v>
      </c>
      <c r="H940" s="5">
        <v>5</v>
      </c>
      <c r="I940" s="5" t="s">
        <v>20</v>
      </c>
      <c r="J940" s="13" t="s">
        <v>68</v>
      </c>
    </row>
    <row r="941" spans="1:10" ht="19.5" customHeight="1" x14ac:dyDescent="0.25">
      <c r="A941" s="5" t="s">
        <v>1138</v>
      </c>
      <c r="B941" s="5">
        <v>1</v>
      </c>
      <c r="C941" s="6">
        <v>46148</v>
      </c>
      <c r="D941" s="6">
        <v>46146</v>
      </c>
      <c r="E941" s="5" t="s">
        <v>15</v>
      </c>
      <c r="F941" s="5" t="s">
        <v>438</v>
      </c>
      <c r="G941" s="5" t="s">
        <v>12</v>
      </c>
      <c r="H941" s="5">
        <v>45</v>
      </c>
      <c r="I941" s="5" t="s">
        <v>20</v>
      </c>
      <c r="J941" s="13" t="s">
        <v>68</v>
      </c>
    </row>
    <row r="942" spans="1:10" ht="19.5" customHeight="1" x14ac:dyDescent="0.25">
      <c r="A942" s="5" t="s">
        <v>1139</v>
      </c>
      <c r="B942" s="5">
        <v>1</v>
      </c>
      <c r="C942" s="6">
        <v>46148</v>
      </c>
      <c r="D942" s="6">
        <v>46146</v>
      </c>
      <c r="E942" s="5" t="s">
        <v>15</v>
      </c>
      <c r="F942" s="5" t="s">
        <v>438</v>
      </c>
      <c r="G942" s="5" t="s">
        <v>13</v>
      </c>
      <c r="H942" s="5">
        <v>36</v>
      </c>
      <c r="I942" s="5" t="s">
        <v>20</v>
      </c>
      <c r="J942" s="13" t="s">
        <v>68</v>
      </c>
    </row>
    <row r="943" spans="1:10" ht="19.5" customHeight="1" x14ac:dyDescent="0.25">
      <c r="A943" s="5" t="s">
        <v>1069</v>
      </c>
      <c r="B943" s="5">
        <v>1</v>
      </c>
      <c r="C943" s="6">
        <v>46148</v>
      </c>
      <c r="D943" s="6">
        <v>46141</v>
      </c>
      <c r="E943" s="5" t="s">
        <v>16</v>
      </c>
      <c r="F943" s="5" t="s">
        <v>837</v>
      </c>
      <c r="G943" s="5" t="s">
        <v>12</v>
      </c>
      <c r="H943" s="5">
        <v>46</v>
      </c>
      <c r="I943" s="5" t="s">
        <v>67</v>
      </c>
      <c r="J943" s="13" t="s">
        <v>73</v>
      </c>
    </row>
    <row r="944" spans="1:10" ht="19.5" customHeight="1" x14ac:dyDescent="0.25">
      <c r="A944" s="5" t="s">
        <v>1140</v>
      </c>
      <c r="B944" s="5">
        <v>1</v>
      </c>
      <c r="C944" s="6">
        <v>46148</v>
      </c>
      <c r="D944" s="6">
        <v>46140</v>
      </c>
      <c r="E944" s="5" t="s">
        <v>16</v>
      </c>
      <c r="F944" s="5" t="s">
        <v>837</v>
      </c>
      <c r="G944" s="5" t="s">
        <v>10</v>
      </c>
      <c r="H944" s="5">
        <v>30</v>
      </c>
      <c r="I944" s="5" t="s">
        <v>67</v>
      </c>
      <c r="J944" s="13" t="s">
        <v>73</v>
      </c>
    </row>
    <row r="945" spans="1:10" ht="19.5" customHeight="1" x14ac:dyDescent="0.25">
      <c r="A945" s="5" t="s">
        <v>1141</v>
      </c>
      <c r="B945" s="5">
        <v>1</v>
      </c>
      <c r="C945" s="6">
        <v>46148</v>
      </c>
      <c r="D945" s="6">
        <v>46140</v>
      </c>
      <c r="E945" s="5" t="s">
        <v>16</v>
      </c>
      <c r="F945" s="5" t="s">
        <v>837</v>
      </c>
      <c r="G945" s="5" t="s">
        <v>11</v>
      </c>
      <c r="H945" s="5">
        <v>28</v>
      </c>
      <c r="I945" s="5" t="s">
        <v>67</v>
      </c>
      <c r="J945" s="13" t="s">
        <v>73</v>
      </c>
    </row>
    <row r="946" spans="1:10" ht="19.5" customHeight="1" x14ac:dyDescent="0.25">
      <c r="A946" s="5" t="s">
        <v>1159</v>
      </c>
      <c r="B946" s="5">
        <v>1</v>
      </c>
      <c r="C946" s="6">
        <v>46148</v>
      </c>
      <c r="D946" s="6">
        <v>46140</v>
      </c>
      <c r="E946" s="5" t="s">
        <v>16</v>
      </c>
      <c r="F946" s="5" t="s">
        <v>837</v>
      </c>
      <c r="G946" s="5" t="s">
        <v>10</v>
      </c>
      <c r="H946" s="5">
        <v>30</v>
      </c>
      <c r="I946" s="5" t="s">
        <v>67</v>
      </c>
      <c r="J946" s="13" t="s">
        <v>73</v>
      </c>
    </row>
    <row r="947" spans="1:10" ht="19.5" customHeight="1" x14ac:dyDescent="0.25">
      <c r="A947" s="5" t="s">
        <v>1142</v>
      </c>
      <c r="B947" s="5">
        <v>2</v>
      </c>
      <c r="C947" s="6">
        <v>46148</v>
      </c>
      <c r="D947" s="6">
        <v>46141</v>
      </c>
      <c r="E947" s="5" t="s">
        <v>16</v>
      </c>
      <c r="F947" s="5" t="s">
        <v>837</v>
      </c>
      <c r="G947" s="5" t="s">
        <v>17</v>
      </c>
      <c r="H947" s="5">
        <v>29</v>
      </c>
      <c r="I947" s="5" t="s">
        <v>67</v>
      </c>
      <c r="J947" s="13" t="s">
        <v>73</v>
      </c>
    </row>
    <row r="948" spans="1:10" ht="19.5" customHeight="1" x14ac:dyDescent="0.25">
      <c r="A948" s="5" t="s">
        <v>1143</v>
      </c>
      <c r="B948" s="5">
        <v>2</v>
      </c>
      <c r="C948" s="6">
        <v>46148</v>
      </c>
      <c r="D948" s="6">
        <v>46141</v>
      </c>
      <c r="E948" s="5" t="s">
        <v>16</v>
      </c>
      <c r="F948" s="5" t="s">
        <v>837</v>
      </c>
      <c r="G948" s="5" t="s">
        <v>13</v>
      </c>
      <c r="H948" s="5">
        <v>28</v>
      </c>
      <c r="I948" s="5" t="s">
        <v>67</v>
      </c>
      <c r="J948" s="13" t="s">
        <v>73</v>
      </c>
    </row>
    <row r="949" spans="1:10" ht="19.5" customHeight="1" x14ac:dyDescent="0.25">
      <c r="A949" s="5" t="s">
        <v>1144</v>
      </c>
      <c r="B949" s="5">
        <v>2</v>
      </c>
      <c r="C949" s="6">
        <v>46148</v>
      </c>
      <c r="D949" s="6">
        <v>46142</v>
      </c>
      <c r="E949" s="5" t="s">
        <v>16</v>
      </c>
      <c r="F949" s="5" t="s">
        <v>837</v>
      </c>
      <c r="G949" s="5" t="s">
        <v>17</v>
      </c>
      <c r="H949" s="5">
        <v>14</v>
      </c>
      <c r="I949" s="5" t="s">
        <v>67</v>
      </c>
      <c r="J949" s="13" t="s">
        <v>73</v>
      </c>
    </row>
    <row r="950" spans="1:10" ht="19.5" customHeight="1" x14ac:dyDescent="0.25">
      <c r="A950" s="5" t="s">
        <v>1145</v>
      </c>
      <c r="B950" s="5">
        <v>2</v>
      </c>
      <c r="C950" s="6">
        <v>46148</v>
      </c>
      <c r="D950" s="6">
        <v>46140</v>
      </c>
      <c r="E950" s="5" t="s">
        <v>16</v>
      </c>
      <c r="F950" s="5" t="s">
        <v>837</v>
      </c>
      <c r="G950" s="5" t="s">
        <v>13</v>
      </c>
      <c r="H950" s="5">
        <v>20</v>
      </c>
      <c r="I950" s="5" t="s">
        <v>67</v>
      </c>
      <c r="J950" s="13" t="s">
        <v>73</v>
      </c>
    </row>
    <row r="951" spans="1:10" ht="19.5" customHeight="1" x14ac:dyDescent="0.25">
      <c r="A951" s="5" t="s">
        <v>1146</v>
      </c>
      <c r="B951" s="5">
        <v>2</v>
      </c>
      <c r="C951" s="6">
        <v>46148</v>
      </c>
      <c r="D951" s="6">
        <v>46140</v>
      </c>
      <c r="E951" s="5" t="s">
        <v>16</v>
      </c>
      <c r="F951" s="5" t="s">
        <v>837</v>
      </c>
      <c r="G951" s="5" t="s">
        <v>17</v>
      </c>
      <c r="H951" s="5">
        <v>30</v>
      </c>
      <c r="I951" s="5" t="s">
        <v>67</v>
      </c>
      <c r="J951" s="13" t="s">
        <v>73</v>
      </c>
    </row>
    <row r="952" spans="1:10" ht="19.5" customHeight="1" x14ac:dyDescent="0.25">
      <c r="A952" s="5" t="s">
        <v>1129</v>
      </c>
      <c r="B952" s="5">
        <v>2</v>
      </c>
      <c r="C952" s="6">
        <v>46148</v>
      </c>
      <c r="D952" s="6">
        <v>46137</v>
      </c>
      <c r="E952" s="5" t="s">
        <v>16</v>
      </c>
      <c r="F952" s="5" t="s">
        <v>837</v>
      </c>
      <c r="G952" s="5" t="s">
        <v>17</v>
      </c>
      <c r="H952" s="5">
        <v>3</v>
      </c>
      <c r="I952" s="5" t="s">
        <v>67</v>
      </c>
      <c r="J952" s="13" t="s">
        <v>73</v>
      </c>
    </row>
    <row r="953" spans="1:10" ht="19.5" customHeight="1" x14ac:dyDescent="0.25">
      <c r="A953" s="5" t="s">
        <v>1147</v>
      </c>
      <c r="B953" s="5">
        <v>2</v>
      </c>
      <c r="C953" s="6">
        <v>46148</v>
      </c>
      <c r="D953" s="6">
        <v>46140</v>
      </c>
      <c r="E953" s="5" t="s">
        <v>16</v>
      </c>
      <c r="F953" s="5" t="s">
        <v>837</v>
      </c>
      <c r="G953" s="5" t="s">
        <v>13</v>
      </c>
      <c r="H953" s="5">
        <v>30</v>
      </c>
      <c r="I953" s="5" t="s">
        <v>67</v>
      </c>
      <c r="J953" s="13" t="s">
        <v>73</v>
      </c>
    </row>
    <row r="954" spans="1:10" ht="19.5" customHeight="1" x14ac:dyDescent="0.25">
      <c r="A954" s="5" t="s">
        <v>1148</v>
      </c>
      <c r="B954" s="5">
        <v>2</v>
      </c>
      <c r="C954" s="6">
        <v>46148</v>
      </c>
      <c r="D954" s="6">
        <v>46140</v>
      </c>
      <c r="E954" s="5" t="s">
        <v>16</v>
      </c>
      <c r="F954" s="5" t="s">
        <v>837</v>
      </c>
      <c r="G954" s="5" t="s">
        <v>17</v>
      </c>
      <c r="H954" s="5">
        <v>30</v>
      </c>
      <c r="I954" s="5" t="s">
        <v>67</v>
      </c>
      <c r="J954" s="13" t="s">
        <v>73</v>
      </c>
    </row>
    <row r="955" spans="1:10" ht="19.5" customHeight="1" x14ac:dyDescent="0.25">
      <c r="A955" s="5" t="s">
        <v>1149</v>
      </c>
      <c r="B955" s="5">
        <v>2</v>
      </c>
      <c r="C955" s="6">
        <v>46148</v>
      </c>
      <c r="D955" s="6">
        <v>46140</v>
      </c>
      <c r="E955" s="5" t="s">
        <v>16</v>
      </c>
      <c r="F955" s="5" t="s">
        <v>837</v>
      </c>
      <c r="G955" s="5" t="s">
        <v>10</v>
      </c>
      <c r="H955" s="5">
        <v>30</v>
      </c>
      <c r="I955" s="5" t="s">
        <v>67</v>
      </c>
      <c r="J955" s="13" t="s">
        <v>73</v>
      </c>
    </row>
    <row r="956" spans="1:10" ht="19.5" customHeight="1" x14ac:dyDescent="0.25">
      <c r="A956" s="5" t="s">
        <v>1151</v>
      </c>
      <c r="B956" s="5">
        <v>2</v>
      </c>
      <c r="C956" s="6">
        <v>46148</v>
      </c>
      <c r="D956" s="6">
        <v>46140</v>
      </c>
      <c r="E956" s="5" t="s">
        <v>16</v>
      </c>
      <c r="F956" s="5" t="s">
        <v>837</v>
      </c>
      <c r="G956" s="5" t="s">
        <v>10</v>
      </c>
      <c r="H956" s="5">
        <v>30</v>
      </c>
      <c r="I956" s="5" t="s">
        <v>67</v>
      </c>
      <c r="J956" s="13" t="s">
        <v>73</v>
      </c>
    </row>
    <row r="957" spans="1:10" ht="19.5" customHeight="1" x14ac:dyDescent="0.25">
      <c r="A957" s="5" t="s">
        <v>1152</v>
      </c>
      <c r="B957" s="5">
        <v>2</v>
      </c>
      <c r="C957" s="6">
        <v>46148</v>
      </c>
      <c r="D957" s="6">
        <v>46142</v>
      </c>
      <c r="E957" s="5" t="s">
        <v>16</v>
      </c>
      <c r="F957" s="5" t="s">
        <v>837</v>
      </c>
      <c r="G957" s="5" t="s">
        <v>12</v>
      </c>
      <c r="H957" s="5">
        <v>2</v>
      </c>
      <c r="I957" s="5" t="s">
        <v>67</v>
      </c>
      <c r="J957" s="13" t="s">
        <v>73</v>
      </c>
    </row>
    <row r="958" spans="1:10" ht="19.5" customHeight="1" x14ac:dyDescent="0.25">
      <c r="A958" s="5" t="s">
        <v>1153</v>
      </c>
      <c r="B958" s="5">
        <v>2</v>
      </c>
      <c r="C958" s="6">
        <v>46148</v>
      </c>
      <c r="D958" s="6">
        <v>46140</v>
      </c>
      <c r="E958" s="5" t="s">
        <v>16</v>
      </c>
      <c r="F958" s="5" t="s">
        <v>837</v>
      </c>
      <c r="G958" s="5" t="s">
        <v>17</v>
      </c>
      <c r="H958" s="5">
        <v>6</v>
      </c>
      <c r="I958" s="5" t="s">
        <v>67</v>
      </c>
      <c r="J958" s="13" t="s">
        <v>73</v>
      </c>
    </row>
    <row r="959" spans="1:10" ht="19.5" customHeight="1" x14ac:dyDescent="0.25">
      <c r="A959" s="5" t="s">
        <v>1154</v>
      </c>
      <c r="B959" s="5">
        <v>2</v>
      </c>
      <c r="C959" s="6">
        <v>46148</v>
      </c>
      <c r="D959" s="6">
        <v>46140</v>
      </c>
      <c r="E959" s="5" t="s">
        <v>16</v>
      </c>
      <c r="F959" s="5" t="s">
        <v>837</v>
      </c>
      <c r="G959" s="5" t="s">
        <v>17</v>
      </c>
      <c r="H959" s="5">
        <v>25</v>
      </c>
      <c r="I959" s="5" t="s">
        <v>67</v>
      </c>
      <c r="J959" s="13" t="s">
        <v>73</v>
      </c>
    </row>
    <row r="960" spans="1:10" ht="19.5" customHeight="1" x14ac:dyDescent="0.25">
      <c r="A960" s="5" t="s">
        <v>1155</v>
      </c>
      <c r="B960" s="5">
        <v>2</v>
      </c>
      <c r="C960" s="6">
        <v>46148</v>
      </c>
      <c r="D960" s="6">
        <v>46146</v>
      </c>
      <c r="E960" s="5" t="s">
        <v>16</v>
      </c>
      <c r="F960" s="5" t="s">
        <v>837</v>
      </c>
      <c r="G960" s="5" t="s">
        <v>12</v>
      </c>
      <c r="H960" s="5">
        <v>29</v>
      </c>
      <c r="I960" s="5" t="s">
        <v>67</v>
      </c>
      <c r="J960" s="13" t="s">
        <v>73</v>
      </c>
    </row>
    <row r="961" spans="1:10" ht="19.5" customHeight="1" x14ac:dyDescent="0.25">
      <c r="A961" s="5" t="s">
        <v>1156</v>
      </c>
      <c r="B961" s="5">
        <v>2</v>
      </c>
      <c r="C961" s="6">
        <v>46148</v>
      </c>
      <c r="D961" s="6">
        <v>46146</v>
      </c>
      <c r="E961" s="5" t="s">
        <v>16</v>
      </c>
      <c r="F961" s="5" t="s">
        <v>837</v>
      </c>
      <c r="G961" s="5" t="s">
        <v>12</v>
      </c>
      <c r="H961" s="5">
        <v>4</v>
      </c>
      <c r="I961" s="5" t="s">
        <v>67</v>
      </c>
      <c r="J961" s="13" t="s">
        <v>73</v>
      </c>
    </row>
    <row r="962" spans="1:10" ht="19.5" customHeight="1" x14ac:dyDescent="0.25">
      <c r="A962" s="5" t="s">
        <v>1157</v>
      </c>
      <c r="B962" s="5">
        <v>2</v>
      </c>
      <c r="C962" s="6">
        <v>46148</v>
      </c>
      <c r="D962" s="6">
        <v>46145</v>
      </c>
      <c r="E962" s="5" t="s">
        <v>16</v>
      </c>
      <c r="F962" s="5" t="s">
        <v>837</v>
      </c>
      <c r="G962" s="5" t="s">
        <v>12</v>
      </c>
      <c r="H962" s="5">
        <v>24</v>
      </c>
      <c r="I962" s="5" t="s">
        <v>67</v>
      </c>
      <c r="J962" s="13" t="s">
        <v>73</v>
      </c>
    </row>
    <row r="963" spans="1:10" ht="19.5" customHeight="1" x14ac:dyDescent="0.25">
      <c r="A963" s="5" t="s">
        <v>1163</v>
      </c>
      <c r="B963" s="5">
        <v>1</v>
      </c>
      <c r="C963" s="6">
        <v>46149</v>
      </c>
      <c r="D963" s="6">
        <v>46142</v>
      </c>
      <c r="E963" s="5" t="s">
        <v>15</v>
      </c>
      <c r="F963" s="5" t="s">
        <v>359</v>
      </c>
      <c r="G963" s="5" t="s">
        <v>10</v>
      </c>
      <c r="H963" s="5">
        <v>10</v>
      </c>
      <c r="I963" s="5" t="s">
        <v>20</v>
      </c>
      <c r="J963" s="13" t="s">
        <v>68</v>
      </c>
    </row>
    <row r="964" spans="1:10" ht="19.5" customHeight="1" x14ac:dyDescent="0.25">
      <c r="A964" s="5" t="s">
        <v>1164</v>
      </c>
      <c r="B964" s="5">
        <v>1</v>
      </c>
      <c r="C964" s="6">
        <v>46149</v>
      </c>
      <c r="D964" s="6">
        <v>46142</v>
      </c>
      <c r="E964" s="5" t="s">
        <v>15</v>
      </c>
      <c r="F964" s="5" t="s">
        <v>359</v>
      </c>
      <c r="G964" s="5" t="s">
        <v>10</v>
      </c>
      <c r="H964" s="5">
        <v>13</v>
      </c>
      <c r="I964" s="5" t="s">
        <v>20</v>
      </c>
      <c r="J964" s="13" t="s">
        <v>68</v>
      </c>
    </row>
    <row r="965" spans="1:10" ht="19.5" customHeight="1" x14ac:dyDescent="0.25">
      <c r="A965" s="5" t="s">
        <v>1165</v>
      </c>
      <c r="B965" s="5">
        <v>1</v>
      </c>
      <c r="C965" s="6">
        <v>46149</v>
      </c>
      <c r="D965" s="6">
        <v>46142</v>
      </c>
      <c r="E965" s="5" t="s">
        <v>15</v>
      </c>
      <c r="F965" s="5" t="s">
        <v>359</v>
      </c>
      <c r="G965" s="5" t="s">
        <v>10</v>
      </c>
      <c r="H965" s="5">
        <v>3</v>
      </c>
      <c r="I965" s="5" t="s">
        <v>20</v>
      </c>
      <c r="J965" s="13" t="s">
        <v>68</v>
      </c>
    </row>
    <row r="966" spans="1:10" ht="19.5" customHeight="1" x14ac:dyDescent="0.25">
      <c r="A966" s="5" t="s">
        <v>1166</v>
      </c>
      <c r="B966" s="5">
        <v>1</v>
      </c>
      <c r="C966" s="6">
        <v>46149</v>
      </c>
      <c r="D966" s="6">
        <v>46141</v>
      </c>
      <c r="E966" s="5" t="s">
        <v>15</v>
      </c>
      <c r="F966" s="5" t="s">
        <v>359</v>
      </c>
      <c r="G966" s="5" t="s">
        <v>10</v>
      </c>
      <c r="H966" s="5">
        <v>23</v>
      </c>
      <c r="I966" s="5" t="s">
        <v>20</v>
      </c>
      <c r="J966" s="13" t="s">
        <v>68</v>
      </c>
    </row>
    <row r="967" spans="1:10" ht="19.5" customHeight="1" x14ac:dyDescent="0.25">
      <c r="A967" s="5" t="s">
        <v>1160</v>
      </c>
      <c r="B967" s="5">
        <v>1</v>
      </c>
      <c r="C967" s="6">
        <v>46149</v>
      </c>
      <c r="D967" s="6">
        <v>46140</v>
      </c>
      <c r="E967" s="5" t="s">
        <v>15</v>
      </c>
      <c r="F967" s="5" t="s">
        <v>367</v>
      </c>
      <c r="G967" s="5" t="s">
        <v>10</v>
      </c>
      <c r="H967" s="5">
        <v>7</v>
      </c>
      <c r="I967" s="5" t="s">
        <v>20</v>
      </c>
      <c r="J967" s="13" t="s">
        <v>68</v>
      </c>
    </row>
    <row r="968" spans="1:10" ht="19.5" customHeight="1" x14ac:dyDescent="0.25">
      <c r="A968" s="5" t="s">
        <v>1161</v>
      </c>
      <c r="B968" s="5">
        <v>1</v>
      </c>
      <c r="C968" s="6">
        <v>46149</v>
      </c>
      <c r="D968" s="6">
        <v>46140</v>
      </c>
      <c r="E968" s="5" t="s">
        <v>15</v>
      </c>
      <c r="F968" s="5" t="s">
        <v>367</v>
      </c>
      <c r="G968" s="5" t="s">
        <v>17</v>
      </c>
      <c r="H968" s="5">
        <v>36</v>
      </c>
      <c r="I968" s="5" t="s">
        <v>20</v>
      </c>
      <c r="J968" s="13" t="s">
        <v>68</v>
      </c>
    </row>
    <row r="969" spans="1:10" ht="19.5" customHeight="1" x14ac:dyDescent="0.25">
      <c r="A969" s="5" t="s">
        <v>1162</v>
      </c>
      <c r="B969" s="5">
        <v>1</v>
      </c>
      <c r="C969" s="6">
        <v>46149</v>
      </c>
      <c r="D969" s="6">
        <v>46140</v>
      </c>
      <c r="E969" s="5" t="s">
        <v>15</v>
      </c>
      <c r="F969" s="5" t="s">
        <v>367</v>
      </c>
      <c r="G969" s="5" t="s">
        <v>17</v>
      </c>
      <c r="H969" s="5">
        <v>17</v>
      </c>
      <c r="I969" s="5" t="s">
        <v>20</v>
      </c>
      <c r="J969" s="13" t="s">
        <v>68</v>
      </c>
    </row>
    <row r="970" spans="1:10" ht="19.5" customHeight="1" x14ac:dyDescent="0.25">
      <c r="A970" s="5" t="s">
        <v>1167</v>
      </c>
      <c r="B970" s="5">
        <v>1</v>
      </c>
      <c r="C970" s="6">
        <v>46149</v>
      </c>
      <c r="D970" s="6">
        <v>46142</v>
      </c>
      <c r="E970" s="5" t="s">
        <v>15</v>
      </c>
      <c r="F970" s="5" t="s">
        <v>438</v>
      </c>
      <c r="G970" s="5" t="s">
        <v>17</v>
      </c>
      <c r="H970" s="5">
        <v>6</v>
      </c>
      <c r="I970" s="5" t="s">
        <v>20</v>
      </c>
      <c r="J970" s="13" t="s">
        <v>68</v>
      </c>
    </row>
    <row r="971" spans="1:10" ht="19.5" customHeight="1" x14ac:dyDescent="0.25">
      <c r="A971" s="5" t="s">
        <v>1168</v>
      </c>
      <c r="B971" s="5">
        <v>1</v>
      </c>
      <c r="C971" s="6">
        <v>46149</v>
      </c>
      <c r="D971" s="6">
        <v>46146</v>
      </c>
      <c r="E971" s="5" t="s">
        <v>15</v>
      </c>
      <c r="F971" s="5" t="s">
        <v>438</v>
      </c>
      <c r="G971" s="5" t="s">
        <v>12</v>
      </c>
      <c r="H971" s="5">
        <v>18</v>
      </c>
      <c r="I971" s="5" t="s">
        <v>20</v>
      </c>
      <c r="J971" s="13" t="s">
        <v>68</v>
      </c>
    </row>
    <row r="972" spans="1:10" ht="19.5" customHeight="1" x14ac:dyDescent="0.25">
      <c r="A972" s="5" t="s">
        <v>1169</v>
      </c>
      <c r="B972" s="5">
        <v>1</v>
      </c>
      <c r="C972" s="6">
        <v>46149</v>
      </c>
      <c r="D972" s="6">
        <v>46147</v>
      </c>
      <c r="E972" s="5" t="s">
        <v>15</v>
      </c>
      <c r="F972" s="5" t="s">
        <v>438</v>
      </c>
      <c r="G972" s="5" t="s">
        <v>12</v>
      </c>
      <c r="H972" s="5">
        <v>31</v>
      </c>
      <c r="I972" s="5" t="s">
        <v>20</v>
      </c>
      <c r="J972" s="13" t="s">
        <v>68</v>
      </c>
    </row>
    <row r="973" spans="1:10" ht="19.5" customHeight="1" x14ac:dyDescent="0.25">
      <c r="A973" s="5" t="s">
        <v>1170</v>
      </c>
      <c r="B973" s="5">
        <v>1</v>
      </c>
      <c r="C973" s="6">
        <v>46149</v>
      </c>
      <c r="D973" s="6">
        <v>46146</v>
      </c>
      <c r="E973" s="5" t="s">
        <v>15</v>
      </c>
      <c r="F973" s="5" t="s">
        <v>438</v>
      </c>
      <c r="G973" s="5" t="s">
        <v>13</v>
      </c>
      <c r="H973" s="5">
        <v>2</v>
      </c>
      <c r="I973" s="5" t="s">
        <v>20</v>
      </c>
      <c r="J973" s="13" t="s">
        <v>68</v>
      </c>
    </row>
    <row r="974" spans="1:10" ht="19.5" customHeight="1" x14ac:dyDescent="0.25">
      <c r="A974" s="5" t="s">
        <v>1171</v>
      </c>
      <c r="B974" s="5">
        <v>1</v>
      </c>
      <c r="C974" s="6">
        <v>46149</v>
      </c>
      <c r="D974" s="6">
        <v>46146</v>
      </c>
      <c r="E974" s="5" t="s">
        <v>15</v>
      </c>
      <c r="F974" s="5" t="s">
        <v>438</v>
      </c>
      <c r="G974" s="5" t="s">
        <v>12</v>
      </c>
      <c r="H974" s="5">
        <v>24</v>
      </c>
      <c r="I974" s="5" t="s">
        <v>20</v>
      </c>
      <c r="J974" s="13" t="s">
        <v>68</v>
      </c>
    </row>
    <row r="975" spans="1:10" ht="19.5" customHeight="1" x14ac:dyDescent="0.25">
      <c r="A975" s="5" t="s">
        <v>1172</v>
      </c>
      <c r="B975" s="5">
        <v>1</v>
      </c>
      <c r="C975" s="6">
        <v>46149</v>
      </c>
      <c r="D975" s="6">
        <v>46147</v>
      </c>
      <c r="E975" s="5" t="s">
        <v>15</v>
      </c>
      <c r="F975" s="5" t="s">
        <v>440</v>
      </c>
      <c r="G975" s="5" t="s">
        <v>12</v>
      </c>
      <c r="H975" s="5">
        <v>42</v>
      </c>
      <c r="I975" s="5" t="s">
        <v>20</v>
      </c>
      <c r="J975" s="13" t="s">
        <v>68</v>
      </c>
    </row>
    <row r="976" spans="1:10" ht="19.5" customHeight="1" x14ac:dyDescent="0.25">
      <c r="A976" s="5" t="s">
        <v>1173</v>
      </c>
      <c r="B976" s="5">
        <v>1</v>
      </c>
      <c r="C976" s="6">
        <v>46149</v>
      </c>
      <c r="D976" s="6">
        <v>46147</v>
      </c>
      <c r="E976" s="5" t="s">
        <v>15</v>
      </c>
      <c r="F976" s="5" t="s">
        <v>440</v>
      </c>
      <c r="G976" s="5" t="s">
        <v>12</v>
      </c>
      <c r="H976" s="5">
        <v>36</v>
      </c>
      <c r="I976" s="5" t="s">
        <v>20</v>
      </c>
      <c r="J976" s="13" t="s">
        <v>68</v>
      </c>
    </row>
    <row r="977" spans="1:10" ht="19.5" customHeight="1" x14ac:dyDescent="0.25">
      <c r="A977" s="5" t="s">
        <v>1174</v>
      </c>
      <c r="B977" s="5">
        <v>1</v>
      </c>
      <c r="C977" s="6">
        <v>46149</v>
      </c>
      <c r="D977" s="6">
        <v>46147</v>
      </c>
      <c r="E977" s="5" t="s">
        <v>15</v>
      </c>
      <c r="F977" s="5" t="s">
        <v>440</v>
      </c>
      <c r="G977" s="5" t="s">
        <v>12</v>
      </c>
      <c r="H977" s="5">
        <v>18</v>
      </c>
      <c r="I977" s="5" t="s">
        <v>20</v>
      </c>
      <c r="J977" s="13" t="s">
        <v>68</v>
      </c>
    </row>
    <row r="978" spans="1:10" ht="19.5" customHeight="1" x14ac:dyDescent="0.25">
      <c r="A978" s="5" t="s">
        <v>1175</v>
      </c>
      <c r="B978" s="5">
        <v>1</v>
      </c>
      <c r="C978" s="6">
        <v>46149</v>
      </c>
      <c r="E978" s="5" t="s">
        <v>15</v>
      </c>
      <c r="F978" s="5" t="s">
        <v>645</v>
      </c>
      <c r="G978" s="5" t="s">
        <v>10</v>
      </c>
      <c r="H978" s="5">
        <v>5</v>
      </c>
      <c r="I978" s="5" t="s">
        <v>185</v>
      </c>
      <c r="J978" s="13" t="s">
        <v>48</v>
      </c>
    </row>
    <row r="979" spans="1:10" ht="19.5" customHeight="1" x14ac:dyDescent="0.25">
      <c r="A979" s="5" t="s">
        <v>1176</v>
      </c>
      <c r="B979" s="5">
        <v>1</v>
      </c>
      <c r="C979" s="6">
        <v>46149</v>
      </c>
      <c r="E979" s="5" t="s">
        <v>15</v>
      </c>
      <c r="F979" s="5" t="s">
        <v>645</v>
      </c>
      <c r="G979" s="5" t="s">
        <v>12</v>
      </c>
      <c r="H979" s="5">
        <v>4</v>
      </c>
      <c r="I979" s="5" t="s">
        <v>185</v>
      </c>
      <c r="J979" s="13" t="s">
        <v>48</v>
      </c>
    </row>
    <row r="980" spans="1:10" ht="19.5" customHeight="1" x14ac:dyDescent="0.25">
      <c r="A980" s="5" t="s">
        <v>1177</v>
      </c>
      <c r="B980" s="5">
        <v>1</v>
      </c>
      <c r="C980" s="6">
        <v>46149</v>
      </c>
      <c r="E980" s="5" t="s">
        <v>15</v>
      </c>
      <c r="F980" s="5" t="s">
        <v>645</v>
      </c>
      <c r="G980" s="5" t="s">
        <v>12</v>
      </c>
      <c r="H980" s="5">
        <v>11</v>
      </c>
      <c r="I980" s="5" t="s">
        <v>185</v>
      </c>
      <c r="J980" s="13" t="s">
        <v>48</v>
      </c>
    </row>
    <row r="981" spans="1:10" ht="19.5" customHeight="1" x14ac:dyDescent="0.25">
      <c r="A981" s="5" t="s">
        <v>1179</v>
      </c>
      <c r="B981" s="5">
        <v>1</v>
      </c>
      <c r="C981" s="6">
        <v>46149</v>
      </c>
      <c r="D981" s="6"/>
      <c r="E981" s="5" t="s">
        <v>15</v>
      </c>
      <c r="F981" s="5" t="s">
        <v>645</v>
      </c>
      <c r="G981" s="5" t="s">
        <v>10</v>
      </c>
      <c r="H981" s="5">
        <v>16</v>
      </c>
      <c r="I981" s="5" t="s">
        <v>185</v>
      </c>
      <c r="J981" s="13" t="s">
        <v>48</v>
      </c>
    </row>
    <row r="982" spans="1:10" ht="19.5" customHeight="1" x14ac:dyDescent="0.25">
      <c r="A982" s="5" t="s">
        <v>1178</v>
      </c>
      <c r="B982" s="5">
        <v>1</v>
      </c>
      <c r="C982" s="6">
        <v>46149</v>
      </c>
      <c r="D982" s="6">
        <v>46147</v>
      </c>
      <c r="E982" s="5" t="s">
        <v>15</v>
      </c>
      <c r="F982" s="5" t="s">
        <v>1180</v>
      </c>
      <c r="G982" s="5" t="s">
        <v>12</v>
      </c>
      <c r="H982" s="5">
        <v>12</v>
      </c>
      <c r="I982" s="5" t="s">
        <v>185</v>
      </c>
      <c r="J982" s="13" t="s">
        <v>48</v>
      </c>
    </row>
    <row r="983" spans="1:10" ht="19.5" customHeight="1" x14ac:dyDescent="0.25">
      <c r="A983" s="5" t="s">
        <v>1181</v>
      </c>
      <c r="B983" s="5">
        <v>1</v>
      </c>
      <c r="C983" s="6">
        <v>46149</v>
      </c>
      <c r="D983" s="6">
        <v>46147</v>
      </c>
      <c r="E983" s="5" t="s">
        <v>15</v>
      </c>
      <c r="F983" s="5" t="s">
        <v>1180</v>
      </c>
      <c r="G983" s="5" t="s">
        <v>12</v>
      </c>
      <c r="H983" s="5">
        <v>3</v>
      </c>
      <c r="I983" s="5" t="s">
        <v>185</v>
      </c>
      <c r="J983" s="13" t="s">
        <v>48</v>
      </c>
    </row>
    <row r="984" spans="1:10" ht="19.5" customHeight="1" x14ac:dyDescent="0.25">
      <c r="A984" s="5" t="s">
        <v>1182</v>
      </c>
      <c r="B984" s="5">
        <v>1</v>
      </c>
      <c r="C984" s="6">
        <v>46149</v>
      </c>
      <c r="D984" s="6">
        <v>46147</v>
      </c>
      <c r="E984" s="5" t="s">
        <v>15</v>
      </c>
      <c r="F984" s="5" t="s">
        <v>1183</v>
      </c>
      <c r="G984" s="5" t="s">
        <v>12</v>
      </c>
      <c r="H984" s="5">
        <v>7</v>
      </c>
      <c r="I984" s="5" t="s">
        <v>185</v>
      </c>
      <c r="J984" s="13" t="s">
        <v>48</v>
      </c>
    </row>
    <row r="985" spans="1:10" ht="19.5" customHeight="1" x14ac:dyDescent="0.25">
      <c r="A985" s="5" t="s">
        <v>1184</v>
      </c>
      <c r="B985" s="5">
        <v>1</v>
      </c>
      <c r="C985" s="6">
        <v>46149</v>
      </c>
      <c r="D985" s="6">
        <v>46147</v>
      </c>
      <c r="E985" s="5" t="s">
        <v>15</v>
      </c>
      <c r="F985" s="5" t="s">
        <v>1183</v>
      </c>
      <c r="G985" s="5" t="s">
        <v>12</v>
      </c>
      <c r="H985" s="5">
        <v>9</v>
      </c>
      <c r="I985" s="5" t="s">
        <v>185</v>
      </c>
      <c r="J985" s="13" t="s">
        <v>48</v>
      </c>
    </row>
    <row r="986" spans="1:10" ht="19.5" customHeight="1" x14ac:dyDescent="0.25">
      <c r="A986" s="5" t="s">
        <v>1188</v>
      </c>
      <c r="B986" s="5">
        <v>2</v>
      </c>
      <c r="C986" s="127">
        <v>46149</v>
      </c>
      <c r="D986" s="6">
        <v>46142</v>
      </c>
      <c r="E986" s="5" t="s">
        <v>15</v>
      </c>
      <c r="F986" s="5" t="s">
        <v>1189</v>
      </c>
      <c r="G986" s="5" t="s">
        <v>12</v>
      </c>
      <c r="H986" s="5">
        <v>18</v>
      </c>
      <c r="I986" s="5" t="s">
        <v>185</v>
      </c>
      <c r="J986" s="13" t="s">
        <v>48</v>
      </c>
    </row>
    <row r="987" spans="1:10" ht="19.5" customHeight="1" x14ac:dyDescent="0.25">
      <c r="A987" s="5" t="s">
        <v>1190</v>
      </c>
      <c r="B987" s="5">
        <v>2</v>
      </c>
      <c r="C987" s="127">
        <v>46149</v>
      </c>
      <c r="D987" s="6">
        <v>46142</v>
      </c>
      <c r="E987" s="5" t="s">
        <v>15</v>
      </c>
      <c r="F987" s="5" t="s">
        <v>1189</v>
      </c>
      <c r="G987" s="5" t="s">
        <v>12</v>
      </c>
      <c r="H987" s="5">
        <v>9</v>
      </c>
      <c r="I987" s="5" t="s">
        <v>185</v>
      </c>
      <c r="J987" s="13" t="s">
        <v>48</v>
      </c>
    </row>
    <row r="988" spans="1:10" ht="19.5" customHeight="1" x14ac:dyDescent="0.25">
      <c r="A988" s="5" t="s">
        <v>1191</v>
      </c>
      <c r="B988" s="5">
        <v>2</v>
      </c>
      <c r="C988" s="127">
        <v>46149</v>
      </c>
      <c r="D988" s="6">
        <v>46146</v>
      </c>
      <c r="E988" s="5" t="s">
        <v>15</v>
      </c>
      <c r="F988" s="5" t="s">
        <v>1189</v>
      </c>
      <c r="G988" s="5" t="s">
        <v>12</v>
      </c>
      <c r="H988" s="5">
        <v>6</v>
      </c>
      <c r="I988" s="5" t="s">
        <v>185</v>
      </c>
      <c r="J988" s="13" t="s">
        <v>48</v>
      </c>
    </row>
    <row r="989" spans="1:10" ht="19.5" customHeight="1" x14ac:dyDescent="0.25">
      <c r="A989" s="5" t="s">
        <v>1192</v>
      </c>
      <c r="B989" s="5">
        <v>2</v>
      </c>
      <c r="C989" s="127">
        <v>46149</v>
      </c>
      <c r="D989" s="6">
        <v>46146</v>
      </c>
      <c r="E989" s="5" t="s">
        <v>15</v>
      </c>
      <c r="F989" s="5" t="s">
        <v>1193</v>
      </c>
      <c r="G989" s="5" t="s">
        <v>12</v>
      </c>
      <c r="H989" s="5">
        <v>16</v>
      </c>
      <c r="I989" s="5" t="s">
        <v>185</v>
      </c>
      <c r="J989" s="13" t="s">
        <v>48</v>
      </c>
    </row>
    <row r="990" spans="1:10" ht="19.5" customHeight="1" x14ac:dyDescent="0.25">
      <c r="A990" s="5" t="s">
        <v>1194</v>
      </c>
      <c r="B990" s="5">
        <v>2</v>
      </c>
      <c r="C990" s="127">
        <v>46149</v>
      </c>
      <c r="D990" s="6">
        <v>46147</v>
      </c>
      <c r="E990" s="5" t="s">
        <v>15</v>
      </c>
      <c r="F990" s="5" t="s">
        <v>1195</v>
      </c>
      <c r="G990" s="5" t="s">
        <v>12</v>
      </c>
      <c r="H990" s="5">
        <v>18</v>
      </c>
      <c r="I990" s="5" t="s">
        <v>185</v>
      </c>
      <c r="J990" s="13" t="s">
        <v>48</v>
      </c>
    </row>
    <row r="991" spans="1:10" ht="19.5" customHeight="1" x14ac:dyDescent="0.25">
      <c r="A991" s="5" t="s">
        <v>1196</v>
      </c>
      <c r="B991" s="5">
        <v>2</v>
      </c>
      <c r="C991" s="127">
        <v>46149</v>
      </c>
      <c r="D991" s="6">
        <v>46115</v>
      </c>
      <c r="E991" s="5" t="s">
        <v>16</v>
      </c>
      <c r="F991" s="5" t="s">
        <v>837</v>
      </c>
      <c r="G991" s="5" t="s">
        <v>10</v>
      </c>
      <c r="H991" s="5">
        <v>7</v>
      </c>
      <c r="I991" s="5" t="s">
        <v>67</v>
      </c>
      <c r="J991" s="13" t="s">
        <v>73</v>
      </c>
    </row>
    <row r="992" spans="1:10" ht="19.5" customHeight="1" x14ac:dyDescent="0.25">
      <c r="A992" s="5" t="s">
        <v>1197</v>
      </c>
      <c r="B992" s="5">
        <v>2</v>
      </c>
      <c r="C992" s="127">
        <v>46149</v>
      </c>
      <c r="D992" s="6">
        <v>46141</v>
      </c>
      <c r="E992" s="5" t="s">
        <v>16</v>
      </c>
      <c r="F992" s="5" t="s">
        <v>837</v>
      </c>
      <c r="G992" s="5" t="s">
        <v>13</v>
      </c>
      <c r="H992" s="5">
        <v>22</v>
      </c>
      <c r="I992" s="5" t="s">
        <v>67</v>
      </c>
      <c r="J992" s="13" t="s">
        <v>73</v>
      </c>
    </row>
    <row r="993" spans="1:10" ht="19.5" customHeight="1" x14ac:dyDescent="0.25">
      <c r="A993" s="5" t="s">
        <v>1198</v>
      </c>
      <c r="B993" s="5">
        <v>2</v>
      </c>
      <c r="C993" s="127">
        <v>46149</v>
      </c>
      <c r="D993" s="127">
        <v>46141</v>
      </c>
      <c r="E993" s="5" t="s">
        <v>16</v>
      </c>
      <c r="F993" s="5" t="s">
        <v>837</v>
      </c>
      <c r="G993" s="5" t="s">
        <v>17</v>
      </c>
      <c r="H993" s="5">
        <v>27</v>
      </c>
      <c r="I993" s="5" t="s">
        <v>67</v>
      </c>
      <c r="J993" s="13" t="s">
        <v>73</v>
      </c>
    </row>
    <row r="994" spans="1:10" ht="19.5" customHeight="1" x14ac:dyDescent="0.25">
      <c r="A994" s="5" t="s">
        <v>1199</v>
      </c>
      <c r="B994" s="5">
        <v>2</v>
      </c>
      <c r="C994" s="127">
        <v>46149</v>
      </c>
      <c r="D994" s="6">
        <v>46147</v>
      </c>
      <c r="E994" s="5" t="s">
        <v>16</v>
      </c>
      <c r="F994" s="5" t="s">
        <v>837</v>
      </c>
      <c r="G994" s="5" t="s">
        <v>12</v>
      </c>
      <c r="H994" s="5">
        <v>31</v>
      </c>
      <c r="I994" s="5" t="s">
        <v>67</v>
      </c>
      <c r="J994" s="13" t="s">
        <v>73</v>
      </c>
    </row>
    <row r="995" spans="1:10" ht="19.5" customHeight="1" x14ac:dyDescent="0.25">
      <c r="A995" s="5" t="s">
        <v>1157</v>
      </c>
      <c r="B995" s="5">
        <v>2</v>
      </c>
      <c r="C995" s="127">
        <v>46149</v>
      </c>
      <c r="D995" s="6">
        <v>46145</v>
      </c>
      <c r="E995" s="5" t="s">
        <v>16</v>
      </c>
      <c r="F995" s="5" t="s">
        <v>837</v>
      </c>
      <c r="G995" s="5" t="s">
        <v>12</v>
      </c>
      <c r="H995" s="5">
        <v>5</v>
      </c>
      <c r="I995" s="5" t="s">
        <v>67</v>
      </c>
      <c r="J995" s="13" t="s">
        <v>73</v>
      </c>
    </row>
    <row r="996" spans="1:10" ht="19.5" customHeight="1" x14ac:dyDescent="0.25">
      <c r="A996" s="5" t="s">
        <v>1200</v>
      </c>
      <c r="B996" s="5">
        <v>2</v>
      </c>
      <c r="C996" s="127">
        <v>46149</v>
      </c>
      <c r="D996" s="6">
        <v>46142</v>
      </c>
      <c r="E996" s="5" t="s">
        <v>16</v>
      </c>
      <c r="F996" s="5" t="s">
        <v>837</v>
      </c>
      <c r="G996" s="5" t="s">
        <v>12</v>
      </c>
      <c r="H996" s="5">
        <v>53</v>
      </c>
      <c r="I996" s="5" t="s">
        <v>67</v>
      </c>
      <c r="J996" s="13" t="s">
        <v>73</v>
      </c>
    </row>
    <row r="997" spans="1:10" ht="19.5" customHeight="1" x14ac:dyDescent="0.25">
      <c r="A997" s="5" t="s">
        <v>1201</v>
      </c>
      <c r="B997" s="5">
        <v>2</v>
      </c>
      <c r="C997" s="127">
        <v>46149</v>
      </c>
      <c r="D997" s="6">
        <v>46141</v>
      </c>
      <c r="E997" s="5" t="s">
        <v>16</v>
      </c>
      <c r="F997" s="5" t="s">
        <v>837</v>
      </c>
      <c r="G997" s="5" t="s">
        <v>10</v>
      </c>
      <c r="H997" s="5">
        <v>17</v>
      </c>
      <c r="I997" s="5" t="s">
        <v>67</v>
      </c>
      <c r="J997" s="13" t="s">
        <v>73</v>
      </c>
    </row>
    <row r="998" spans="1:10" ht="19.5" customHeight="1" x14ac:dyDescent="0.25">
      <c r="A998" s="5" t="s">
        <v>1202</v>
      </c>
      <c r="B998" s="5">
        <v>2</v>
      </c>
      <c r="C998" s="127">
        <v>46149</v>
      </c>
      <c r="D998" s="6">
        <v>46141</v>
      </c>
      <c r="E998" s="5" t="s">
        <v>16</v>
      </c>
      <c r="F998" s="5" t="s">
        <v>960</v>
      </c>
      <c r="G998" s="5" t="s">
        <v>11</v>
      </c>
      <c r="H998" s="5">
        <v>17</v>
      </c>
      <c r="I998" s="5" t="s">
        <v>21</v>
      </c>
      <c r="J998" s="13" t="s">
        <v>70</v>
      </c>
    </row>
    <row r="999" spans="1:10" ht="19.5" customHeight="1" x14ac:dyDescent="0.25">
      <c r="A999" s="5" t="s">
        <v>1203</v>
      </c>
      <c r="B999" s="5">
        <v>2</v>
      </c>
      <c r="C999" s="127">
        <v>46149</v>
      </c>
      <c r="D999" s="6">
        <v>46141</v>
      </c>
      <c r="E999" s="5" t="s">
        <v>16</v>
      </c>
      <c r="F999" s="5" t="s">
        <v>960</v>
      </c>
      <c r="G999" s="5" t="s">
        <v>10</v>
      </c>
      <c r="H999" s="5">
        <v>10</v>
      </c>
      <c r="I999" s="5" t="s">
        <v>21</v>
      </c>
      <c r="J999" s="13" t="s">
        <v>70</v>
      </c>
    </row>
    <row r="1000" spans="1:10" ht="19.5" customHeight="1" x14ac:dyDescent="0.25">
      <c r="A1000" s="5" t="s">
        <v>1205</v>
      </c>
      <c r="B1000" s="5">
        <v>2</v>
      </c>
      <c r="C1000" s="127">
        <v>46149</v>
      </c>
      <c r="D1000" s="6">
        <v>46141</v>
      </c>
      <c r="E1000" s="5" t="s">
        <v>16</v>
      </c>
      <c r="F1000" s="5" t="s">
        <v>960</v>
      </c>
      <c r="G1000" s="5" t="s">
        <v>10</v>
      </c>
      <c r="H1000" s="5">
        <v>3</v>
      </c>
      <c r="I1000" s="5" t="s">
        <v>21</v>
      </c>
      <c r="J1000" s="13" t="s">
        <v>70</v>
      </c>
    </row>
    <row r="1001" spans="1:10" ht="19.5" customHeight="1" x14ac:dyDescent="0.25">
      <c r="A1001" s="5" t="s">
        <v>1206</v>
      </c>
      <c r="B1001" s="5">
        <v>2</v>
      </c>
      <c r="C1001" s="127">
        <v>46149</v>
      </c>
      <c r="D1001" s="6">
        <v>46141</v>
      </c>
      <c r="E1001" s="5" t="s">
        <v>16</v>
      </c>
      <c r="F1001" s="5" t="s">
        <v>960</v>
      </c>
      <c r="G1001" s="5" t="s">
        <v>10</v>
      </c>
      <c r="H1001" s="5">
        <v>30</v>
      </c>
      <c r="I1001" s="5" t="s">
        <v>21</v>
      </c>
      <c r="J1001" s="13" t="s">
        <v>70</v>
      </c>
    </row>
    <row r="1002" spans="1:10" ht="19.5" customHeight="1" x14ac:dyDescent="0.25">
      <c r="A1002" s="5" t="s">
        <v>1207</v>
      </c>
      <c r="B1002" s="5">
        <v>2</v>
      </c>
      <c r="C1002" s="127">
        <v>46149</v>
      </c>
      <c r="D1002" s="127">
        <v>46138</v>
      </c>
      <c r="E1002" s="5" t="s">
        <v>16</v>
      </c>
      <c r="F1002" s="5" t="s">
        <v>936</v>
      </c>
      <c r="G1002" s="5" t="s">
        <v>17</v>
      </c>
      <c r="H1002" s="5">
        <v>6</v>
      </c>
      <c r="I1002" s="5" t="s">
        <v>21</v>
      </c>
      <c r="J1002" s="13" t="s">
        <v>70</v>
      </c>
    </row>
    <row r="1003" spans="1:10" ht="19.5" customHeight="1" x14ac:dyDescent="0.25">
      <c r="A1003" s="5" t="s">
        <v>1208</v>
      </c>
      <c r="B1003" s="5">
        <v>2</v>
      </c>
      <c r="C1003" s="127">
        <v>46149</v>
      </c>
      <c r="D1003" s="6">
        <v>46140</v>
      </c>
      <c r="E1003" s="5" t="s">
        <v>16</v>
      </c>
      <c r="F1003" s="5" t="s">
        <v>889</v>
      </c>
      <c r="G1003" s="5" t="s">
        <v>10</v>
      </c>
      <c r="H1003" s="5">
        <v>8</v>
      </c>
      <c r="I1003" s="5" t="s">
        <v>22</v>
      </c>
      <c r="J1003" s="13" t="s">
        <v>72</v>
      </c>
    </row>
    <row r="1004" spans="1:10" ht="19.5" customHeight="1" x14ac:dyDescent="0.25">
      <c r="A1004" s="5" t="s">
        <v>1209</v>
      </c>
      <c r="B1004" s="5">
        <v>2</v>
      </c>
      <c r="C1004" s="127">
        <v>46149</v>
      </c>
      <c r="D1004" s="6">
        <v>46141</v>
      </c>
      <c r="E1004" s="5" t="s">
        <v>16</v>
      </c>
      <c r="F1004" s="5" t="s">
        <v>889</v>
      </c>
      <c r="G1004" s="5" t="s">
        <v>10</v>
      </c>
      <c r="H1004" s="5">
        <v>12</v>
      </c>
      <c r="I1004" s="5" t="s">
        <v>22</v>
      </c>
      <c r="J1004" s="13" t="s">
        <v>72</v>
      </c>
    </row>
    <row r="1005" spans="1:10" ht="19.5" customHeight="1" x14ac:dyDescent="0.25">
      <c r="A1005" s="5" t="s">
        <v>1210</v>
      </c>
      <c r="B1005" s="5">
        <v>2</v>
      </c>
      <c r="C1005" s="127">
        <v>46149</v>
      </c>
      <c r="D1005" s="6">
        <v>46141</v>
      </c>
      <c r="E1005" s="5" t="s">
        <v>16</v>
      </c>
      <c r="F1005" s="5" t="s">
        <v>889</v>
      </c>
      <c r="G1005" s="5" t="s">
        <v>13</v>
      </c>
      <c r="H1005" s="5">
        <v>9</v>
      </c>
      <c r="I1005" s="5" t="s">
        <v>22</v>
      </c>
      <c r="J1005" s="13" t="s">
        <v>72</v>
      </c>
    </row>
    <row r="1006" spans="1:10" ht="19.5" customHeight="1" x14ac:dyDescent="0.25">
      <c r="A1006" s="5" t="s">
        <v>1211</v>
      </c>
      <c r="B1006" s="5">
        <v>2</v>
      </c>
      <c r="C1006" s="127">
        <v>46149</v>
      </c>
      <c r="D1006" s="6">
        <v>46140</v>
      </c>
      <c r="E1006" s="5" t="s">
        <v>16</v>
      </c>
      <c r="F1006" s="5" t="s">
        <v>889</v>
      </c>
      <c r="G1006" s="5" t="s">
        <v>11</v>
      </c>
      <c r="H1006" s="5">
        <v>9</v>
      </c>
      <c r="I1006" s="5" t="s">
        <v>22</v>
      </c>
      <c r="J1006" s="13" t="s">
        <v>72</v>
      </c>
    </row>
    <row r="1007" spans="1:10" ht="19.5" customHeight="1" x14ac:dyDescent="0.25">
      <c r="A1007" s="5" t="s">
        <v>1212</v>
      </c>
      <c r="B1007" s="5">
        <v>2</v>
      </c>
      <c r="C1007" s="127">
        <v>46149</v>
      </c>
      <c r="D1007" s="6">
        <v>46142</v>
      </c>
      <c r="E1007" s="5" t="s">
        <v>16</v>
      </c>
      <c r="F1007" s="5" t="s">
        <v>1189</v>
      </c>
      <c r="G1007" s="5" t="s">
        <v>12</v>
      </c>
      <c r="H1007" s="5">
        <v>26</v>
      </c>
      <c r="I1007" s="5" t="s">
        <v>185</v>
      </c>
      <c r="J1007" s="13" t="s">
        <v>48</v>
      </c>
    </row>
    <row r="1008" spans="1:10" ht="19.5" customHeight="1" x14ac:dyDescent="0.25">
      <c r="A1008" s="5" t="s">
        <v>1213</v>
      </c>
      <c r="B1008" s="5">
        <v>2</v>
      </c>
      <c r="C1008" s="127">
        <v>46149</v>
      </c>
      <c r="D1008" s="6">
        <v>46140</v>
      </c>
      <c r="E1008" s="5" t="s">
        <v>16</v>
      </c>
      <c r="F1008" s="5" t="s">
        <v>889</v>
      </c>
      <c r="G1008" s="5" t="s">
        <v>10</v>
      </c>
      <c r="H1008" s="5">
        <v>2</v>
      </c>
      <c r="I1008" s="5" t="s">
        <v>22</v>
      </c>
      <c r="J1008" s="13" t="s">
        <v>72</v>
      </c>
    </row>
    <row r="1009" spans="1:10" ht="19.5" customHeight="1" x14ac:dyDescent="0.25">
      <c r="A1009" s="5" t="s">
        <v>1214</v>
      </c>
      <c r="B1009" s="5">
        <v>1</v>
      </c>
      <c r="C1009" s="6">
        <v>46150</v>
      </c>
      <c r="D1009" s="6">
        <v>46148</v>
      </c>
      <c r="E1009" s="5" t="s">
        <v>15</v>
      </c>
      <c r="F1009" s="5" t="s">
        <v>438</v>
      </c>
      <c r="G1009" s="5" t="s">
        <v>12</v>
      </c>
      <c r="H1009" s="5">
        <v>33</v>
      </c>
      <c r="I1009" s="5" t="s">
        <v>20</v>
      </c>
      <c r="J1009" s="13" t="s">
        <v>68</v>
      </c>
    </row>
    <row r="1010" spans="1:10" ht="19.5" customHeight="1" x14ac:dyDescent="0.25">
      <c r="A1010" s="5" t="s">
        <v>1215</v>
      </c>
      <c r="B1010" s="5">
        <v>1</v>
      </c>
      <c r="C1010" s="6">
        <v>46150</v>
      </c>
      <c r="D1010" s="6">
        <v>46149</v>
      </c>
      <c r="E1010" s="5" t="s">
        <v>15</v>
      </c>
      <c r="F1010" s="5" t="s">
        <v>438</v>
      </c>
      <c r="G1010" s="5" t="s">
        <v>12</v>
      </c>
      <c r="H1010" s="5">
        <v>20</v>
      </c>
      <c r="I1010" s="5" t="s">
        <v>20</v>
      </c>
      <c r="J1010" s="13" t="s">
        <v>68</v>
      </c>
    </row>
    <row r="1011" spans="1:10" ht="19.5" customHeight="1" x14ac:dyDescent="0.25">
      <c r="A1011" s="5" t="s">
        <v>1216</v>
      </c>
      <c r="B1011" s="5">
        <v>1</v>
      </c>
      <c r="C1011" s="6">
        <v>46150</v>
      </c>
      <c r="D1011" s="6">
        <v>46142</v>
      </c>
      <c r="E1011" s="5" t="s">
        <v>15</v>
      </c>
      <c r="F1011" s="5" t="s">
        <v>438</v>
      </c>
      <c r="G1011" s="5" t="s">
        <v>17</v>
      </c>
      <c r="H1011" s="5">
        <v>12</v>
      </c>
      <c r="I1011" s="5" t="s">
        <v>20</v>
      </c>
      <c r="J1011" s="13" t="s">
        <v>68</v>
      </c>
    </row>
    <row r="1012" spans="1:10" ht="19.5" customHeight="1" x14ac:dyDescent="0.25">
      <c r="A1012" s="5" t="s">
        <v>1217</v>
      </c>
      <c r="B1012" s="5">
        <v>1</v>
      </c>
      <c r="C1012" s="6">
        <v>46150</v>
      </c>
      <c r="D1012" s="6">
        <v>46148</v>
      </c>
      <c r="E1012" s="5" t="s">
        <v>15</v>
      </c>
      <c r="F1012" s="5" t="s">
        <v>438</v>
      </c>
      <c r="G1012" s="5" t="s">
        <v>13</v>
      </c>
      <c r="H1012" s="5">
        <v>14</v>
      </c>
      <c r="I1012" s="5" t="s">
        <v>20</v>
      </c>
      <c r="J1012" s="13" t="s">
        <v>68</v>
      </c>
    </row>
    <row r="1013" spans="1:10" ht="19.5" customHeight="1" x14ac:dyDescent="0.25">
      <c r="A1013" s="5" t="s">
        <v>1218</v>
      </c>
      <c r="B1013" s="5">
        <v>1</v>
      </c>
      <c r="C1013" s="6">
        <v>46150</v>
      </c>
      <c r="D1013" s="6">
        <v>46148</v>
      </c>
      <c r="E1013" s="5" t="s">
        <v>15</v>
      </c>
      <c r="F1013" s="5" t="s">
        <v>436</v>
      </c>
      <c r="G1013" s="5" t="s">
        <v>12</v>
      </c>
      <c r="H1013" s="5">
        <v>40</v>
      </c>
      <c r="I1013" s="5" t="s">
        <v>20</v>
      </c>
      <c r="J1013" s="13" t="s">
        <v>68</v>
      </c>
    </row>
    <row r="1014" spans="1:10" ht="19.5" customHeight="1" x14ac:dyDescent="0.25">
      <c r="A1014" s="5" t="s">
        <v>1219</v>
      </c>
      <c r="B1014" s="5">
        <v>1</v>
      </c>
      <c r="C1014" s="6">
        <v>46150</v>
      </c>
      <c r="D1014" s="6">
        <v>46147</v>
      </c>
      <c r="E1014" s="5" t="s">
        <v>15</v>
      </c>
      <c r="F1014" s="5" t="s">
        <v>436</v>
      </c>
      <c r="G1014" s="5" t="s">
        <v>12</v>
      </c>
      <c r="H1014" s="5">
        <v>8</v>
      </c>
      <c r="I1014" s="5" t="s">
        <v>20</v>
      </c>
      <c r="J1014" s="13" t="s">
        <v>68</v>
      </c>
    </row>
    <row r="1015" spans="1:10" ht="19.5" customHeight="1" x14ac:dyDescent="0.25">
      <c r="A1015" s="5" t="s">
        <v>1220</v>
      </c>
      <c r="B1015" s="5">
        <v>1</v>
      </c>
      <c r="C1015" s="6">
        <v>46150</v>
      </c>
      <c r="D1015" s="6">
        <v>46147</v>
      </c>
      <c r="E1015" s="5" t="s">
        <v>15</v>
      </c>
      <c r="F1015" s="5" t="s">
        <v>436</v>
      </c>
      <c r="G1015" s="5" t="s">
        <v>12</v>
      </c>
      <c r="H1015" s="5">
        <v>19</v>
      </c>
      <c r="I1015" s="5" t="s">
        <v>20</v>
      </c>
      <c r="J1015" s="13" t="s">
        <v>68</v>
      </c>
    </row>
    <row r="1016" spans="1:10" ht="19.5" customHeight="1" x14ac:dyDescent="0.25">
      <c r="A1016" s="5" t="s">
        <v>1221</v>
      </c>
      <c r="B1016" s="5">
        <v>1</v>
      </c>
      <c r="C1016" s="6">
        <v>46150</v>
      </c>
      <c r="D1016" s="6">
        <v>46148</v>
      </c>
      <c r="E1016" s="5" t="s">
        <v>15</v>
      </c>
      <c r="F1016" s="5" t="s">
        <v>436</v>
      </c>
      <c r="G1016" s="5" t="s">
        <v>12</v>
      </c>
      <c r="H1016" s="5">
        <v>25</v>
      </c>
      <c r="I1016" s="5" t="s">
        <v>20</v>
      </c>
      <c r="J1016" s="13" t="s">
        <v>68</v>
      </c>
    </row>
    <row r="1017" spans="1:10" ht="19.5" customHeight="1" x14ac:dyDescent="0.25">
      <c r="A1017" s="5" t="s">
        <v>1222</v>
      </c>
      <c r="B1017" s="5">
        <v>1</v>
      </c>
      <c r="C1017" s="6">
        <v>46150</v>
      </c>
      <c r="D1017" s="6">
        <v>46140</v>
      </c>
      <c r="E1017" s="5" t="s">
        <v>15</v>
      </c>
      <c r="F1017" s="5" t="s">
        <v>367</v>
      </c>
      <c r="G1017" s="5" t="s">
        <v>17</v>
      </c>
      <c r="H1017" s="5">
        <v>30</v>
      </c>
      <c r="I1017" s="5" t="s">
        <v>20</v>
      </c>
      <c r="J1017" s="13" t="s">
        <v>68</v>
      </c>
    </row>
    <row r="1018" spans="1:10" ht="19.5" customHeight="1" x14ac:dyDescent="0.25">
      <c r="A1018" s="5" t="s">
        <v>1223</v>
      </c>
      <c r="B1018" s="5">
        <v>1</v>
      </c>
      <c r="C1018" s="6">
        <v>46150</v>
      </c>
      <c r="D1018" s="6">
        <v>46137</v>
      </c>
      <c r="E1018" s="5" t="s">
        <v>15</v>
      </c>
      <c r="F1018" s="5" t="s">
        <v>367</v>
      </c>
      <c r="G1018" s="5" t="s">
        <v>11</v>
      </c>
      <c r="H1018" s="5">
        <v>1</v>
      </c>
      <c r="I1018" s="5" t="s">
        <v>20</v>
      </c>
      <c r="J1018" s="13" t="s">
        <v>68</v>
      </c>
    </row>
    <row r="1019" spans="1:10" ht="19.5" customHeight="1" x14ac:dyDescent="0.25">
      <c r="A1019" s="5" t="s">
        <v>1224</v>
      </c>
      <c r="B1019" s="5">
        <v>1</v>
      </c>
      <c r="C1019" s="6">
        <v>46150</v>
      </c>
      <c r="D1019" s="6">
        <v>46142</v>
      </c>
      <c r="E1019" s="5" t="s">
        <v>15</v>
      </c>
      <c r="F1019" s="5" t="s">
        <v>367</v>
      </c>
      <c r="G1019" s="5" t="s">
        <v>10</v>
      </c>
      <c r="H1019" s="5">
        <v>2</v>
      </c>
      <c r="I1019" s="5" t="s">
        <v>20</v>
      </c>
      <c r="J1019" s="13" t="s">
        <v>68</v>
      </c>
    </row>
    <row r="1020" spans="1:10" ht="19.5" customHeight="1" x14ac:dyDescent="0.25">
      <c r="A1020" s="5" t="s">
        <v>1225</v>
      </c>
      <c r="B1020" s="5">
        <v>1</v>
      </c>
      <c r="C1020" s="6">
        <v>46150</v>
      </c>
      <c r="D1020" s="6">
        <v>46141</v>
      </c>
      <c r="E1020" s="5" t="s">
        <v>15</v>
      </c>
      <c r="F1020" s="5" t="s">
        <v>359</v>
      </c>
      <c r="G1020" s="5" t="s">
        <v>10</v>
      </c>
      <c r="H1020" s="5">
        <v>3</v>
      </c>
      <c r="I1020" s="5" t="s">
        <v>20</v>
      </c>
      <c r="J1020" s="13" t="s">
        <v>68</v>
      </c>
    </row>
    <row r="1021" spans="1:10" ht="19.5" customHeight="1" x14ac:dyDescent="0.25">
      <c r="A1021" s="5" t="s">
        <v>1226</v>
      </c>
      <c r="B1021" s="5">
        <v>1</v>
      </c>
      <c r="C1021" s="6">
        <v>46150</v>
      </c>
      <c r="D1021" s="6">
        <v>46141</v>
      </c>
      <c r="E1021" s="5" t="s">
        <v>15</v>
      </c>
      <c r="F1021" s="5" t="s">
        <v>359</v>
      </c>
      <c r="G1021" s="5" t="s">
        <v>10</v>
      </c>
      <c r="H1021" s="5">
        <v>1</v>
      </c>
      <c r="I1021" s="5" t="s">
        <v>20</v>
      </c>
      <c r="J1021" s="13" t="s">
        <v>68</v>
      </c>
    </row>
    <row r="1022" spans="1:10" ht="19.5" customHeight="1" x14ac:dyDescent="0.25">
      <c r="A1022" s="5" t="s">
        <v>1227</v>
      </c>
      <c r="B1022" s="5">
        <v>1</v>
      </c>
      <c r="C1022" s="6">
        <v>46150</v>
      </c>
      <c r="D1022" s="6">
        <v>46141</v>
      </c>
      <c r="E1022" s="5" t="s">
        <v>15</v>
      </c>
      <c r="F1022" s="5" t="s">
        <v>359</v>
      </c>
      <c r="G1022" s="5" t="s">
        <v>10</v>
      </c>
      <c r="H1022" s="5">
        <v>2</v>
      </c>
      <c r="I1022" s="5" t="s">
        <v>20</v>
      </c>
      <c r="J1022" s="13" t="s">
        <v>68</v>
      </c>
    </row>
    <row r="1023" spans="1:10" ht="19.5" customHeight="1" x14ac:dyDescent="0.25">
      <c r="A1023" s="5" t="s">
        <v>1228</v>
      </c>
      <c r="B1023" s="5">
        <v>1</v>
      </c>
      <c r="C1023" s="6">
        <v>46150</v>
      </c>
      <c r="D1023" s="6">
        <v>46147</v>
      </c>
      <c r="E1023" s="5" t="s">
        <v>15</v>
      </c>
      <c r="F1023" s="5" t="s">
        <v>440</v>
      </c>
      <c r="G1023" s="5" t="s">
        <v>13</v>
      </c>
      <c r="H1023" s="5">
        <v>10</v>
      </c>
      <c r="I1023" s="5" t="s">
        <v>20</v>
      </c>
      <c r="J1023" s="13" t="s">
        <v>68</v>
      </c>
    </row>
    <row r="1024" spans="1:10" ht="19.5" customHeight="1" x14ac:dyDescent="0.25">
      <c r="A1024" s="5" t="s">
        <v>1229</v>
      </c>
      <c r="B1024" s="5">
        <v>1</v>
      </c>
      <c r="C1024" s="6">
        <v>46150</v>
      </c>
      <c r="D1024" s="6">
        <v>46142</v>
      </c>
      <c r="E1024" s="5" t="s">
        <v>15</v>
      </c>
      <c r="F1024" s="5" t="s">
        <v>1189</v>
      </c>
      <c r="G1024" s="5" t="s">
        <v>10</v>
      </c>
      <c r="H1024" s="5">
        <v>29</v>
      </c>
      <c r="I1024" s="5" t="s">
        <v>185</v>
      </c>
      <c r="J1024" s="13" t="s">
        <v>48</v>
      </c>
    </row>
    <row r="1025" spans="1:10" ht="19.5" customHeight="1" x14ac:dyDescent="0.25">
      <c r="A1025" s="5" t="s">
        <v>1194</v>
      </c>
      <c r="B1025" s="5">
        <v>1</v>
      </c>
      <c r="C1025" s="6">
        <v>46150</v>
      </c>
      <c r="D1025" s="6">
        <v>46147</v>
      </c>
      <c r="E1025" s="5" t="s">
        <v>15</v>
      </c>
      <c r="F1025" s="5" t="s">
        <v>1195</v>
      </c>
      <c r="G1025" s="5" t="s">
        <v>12</v>
      </c>
      <c r="H1025" s="5">
        <v>13</v>
      </c>
      <c r="I1025" s="5" t="s">
        <v>185</v>
      </c>
      <c r="J1025" s="13" t="s">
        <v>48</v>
      </c>
    </row>
    <row r="1026" spans="1:10" ht="19.5" customHeight="1" x14ac:dyDescent="0.25">
      <c r="A1026" s="5" t="s">
        <v>1230</v>
      </c>
      <c r="B1026" s="5">
        <v>1</v>
      </c>
      <c r="C1026" s="6">
        <v>46150</v>
      </c>
      <c r="D1026" s="6">
        <v>46148</v>
      </c>
      <c r="E1026" s="5" t="s">
        <v>15</v>
      </c>
      <c r="F1026" s="5" t="s">
        <v>1195</v>
      </c>
      <c r="G1026" s="5" t="s">
        <v>12</v>
      </c>
      <c r="H1026" s="5">
        <v>3</v>
      </c>
      <c r="I1026" s="5" t="s">
        <v>185</v>
      </c>
      <c r="J1026" s="13" t="s">
        <v>48</v>
      </c>
    </row>
    <row r="1027" spans="1:10" ht="19.5" customHeight="1" x14ac:dyDescent="0.25">
      <c r="A1027" s="5" t="s">
        <v>1231</v>
      </c>
      <c r="B1027" s="5">
        <v>1</v>
      </c>
      <c r="C1027" s="6">
        <v>46150</v>
      </c>
      <c r="E1027" s="5" t="s">
        <v>16</v>
      </c>
      <c r="F1027" s="5" t="s">
        <v>837</v>
      </c>
      <c r="G1027" s="5" t="s">
        <v>10</v>
      </c>
      <c r="H1027" s="5">
        <v>26</v>
      </c>
      <c r="I1027" s="5" t="s">
        <v>67</v>
      </c>
      <c r="J1027" s="13" t="s">
        <v>73</v>
      </c>
    </row>
    <row r="1028" spans="1:10" ht="19.5" customHeight="1" x14ac:dyDescent="0.25">
      <c r="A1028" s="5" t="s">
        <v>1232</v>
      </c>
      <c r="B1028" s="5">
        <v>1</v>
      </c>
      <c r="C1028" s="6">
        <v>46150</v>
      </c>
      <c r="E1028" s="5" t="s">
        <v>16</v>
      </c>
      <c r="F1028" s="5" t="s">
        <v>837</v>
      </c>
      <c r="G1028" s="5" t="s">
        <v>10</v>
      </c>
      <c r="H1028" s="5">
        <v>18</v>
      </c>
      <c r="I1028" s="5" t="s">
        <v>67</v>
      </c>
      <c r="J1028" s="13" t="s">
        <v>73</v>
      </c>
    </row>
    <row r="1029" spans="1:10" ht="19.5" customHeight="1" x14ac:dyDescent="0.25">
      <c r="A1029" s="5" t="s">
        <v>1285</v>
      </c>
      <c r="B1029" s="5">
        <v>1</v>
      </c>
      <c r="C1029" s="6">
        <v>46150</v>
      </c>
      <c r="E1029" s="5" t="s">
        <v>16</v>
      </c>
      <c r="F1029" s="5" t="s">
        <v>889</v>
      </c>
      <c r="G1029" s="5" t="s">
        <v>10</v>
      </c>
      <c r="H1029" s="5">
        <v>7</v>
      </c>
      <c r="I1029" s="5" t="s">
        <v>22</v>
      </c>
      <c r="J1029" s="13" t="s">
        <v>72</v>
      </c>
    </row>
    <row r="1030" spans="1:10" ht="19.5" customHeight="1" x14ac:dyDescent="0.25">
      <c r="A1030" s="5" t="s">
        <v>1233</v>
      </c>
      <c r="B1030" s="5">
        <v>1</v>
      </c>
      <c r="C1030" s="6">
        <v>46150</v>
      </c>
      <c r="D1030" s="6">
        <v>46142</v>
      </c>
      <c r="E1030" s="5" t="s">
        <v>16</v>
      </c>
      <c r="F1030" s="5" t="s">
        <v>1189</v>
      </c>
      <c r="G1030" s="5" t="s">
        <v>12</v>
      </c>
      <c r="H1030" s="5">
        <v>11</v>
      </c>
      <c r="I1030" s="5" t="s">
        <v>185</v>
      </c>
      <c r="J1030" s="13" t="s">
        <v>48</v>
      </c>
    </row>
    <row r="1031" spans="1:10" ht="19.5" customHeight="1" x14ac:dyDescent="0.25">
      <c r="A1031" s="5" t="s">
        <v>1237</v>
      </c>
      <c r="B1031" s="5">
        <v>1</v>
      </c>
      <c r="C1031" s="6">
        <v>46150</v>
      </c>
      <c r="D1031" s="6">
        <v>46142</v>
      </c>
      <c r="E1031" s="5" t="s">
        <v>15</v>
      </c>
      <c r="F1031" s="5" t="s">
        <v>438</v>
      </c>
      <c r="G1031" s="5" t="s">
        <v>10</v>
      </c>
      <c r="H1031" s="5">
        <v>2</v>
      </c>
      <c r="I1031" s="5" t="s">
        <v>20</v>
      </c>
      <c r="J1031" s="13" t="s">
        <v>68</v>
      </c>
    </row>
    <row r="1032" spans="1:10" ht="19.5" customHeight="1" x14ac:dyDescent="0.25">
      <c r="A1032" s="5" t="s">
        <v>1240</v>
      </c>
      <c r="B1032" s="5">
        <v>2</v>
      </c>
      <c r="C1032" s="127">
        <v>46150</v>
      </c>
      <c r="D1032" s="6">
        <v>46140</v>
      </c>
      <c r="E1032" s="5" t="s">
        <v>16</v>
      </c>
      <c r="F1032" s="5" t="s">
        <v>889</v>
      </c>
      <c r="G1032" s="5" t="s">
        <v>17</v>
      </c>
      <c r="H1032" s="5">
        <v>5</v>
      </c>
      <c r="I1032" s="5" t="s">
        <v>22</v>
      </c>
      <c r="J1032" s="13" t="s">
        <v>72</v>
      </c>
    </row>
    <row r="1033" spans="1:10" ht="19.5" customHeight="1" x14ac:dyDescent="0.25">
      <c r="A1033" s="5" t="s">
        <v>1241</v>
      </c>
      <c r="B1033" s="5">
        <v>2</v>
      </c>
      <c r="C1033" s="127">
        <v>46150</v>
      </c>
      <c r="D1033" s="6">
        <v>46147</v>
      </c>
      <c r="E1033" s="5" t="s">
        <v>16</v>
      </c>
      <c r="F1033" s="5" t="s">
        <v>1180</v>
      </c>
      <c r="G1033" s="5" t="s">
        <v>12</v>
      </c>
      <c r="H1033" s="5">
        <v>26</v>
      </c>
      <c r="I1033" s="5" t="s">
        <v>185</v>
      </c>
      <c r="J1033" s="13" t="s">
        <v>48</v>
      </c>
    </row>
    <row r="1034" spans="1:10" ht="19.5" customHeight="1" x14ac:dyDescent="0.25">
      <c r="A1034" s="5" t="s">
        <v>1242</v>
      </c>
      <c r="B1034" s="5">
        <v>2</v>
      </c>
      <c r="C1034" s="127">
        <v>46150</v>
      </c>
      <c r="D1034" s="6">
        <v>46147</v>
      </c>
      <c r="E1034" s="5" t="s">
        <v>16</v>
      </c>
      <c r="F1034" s="5" t="s">
        <v>1180</v>
      </c>
      <c r="G1034" s="5" t="s">
        <v>12</v>
      </c>
      <c r="H1034" s="5">
        <v>2</v>
      </c>
      <c r="I1034" s="5" t="s">
        <v>185</v>
      </c>
      <c r="J1034" s="13" t="s">
        <v>48</v>
      </c>
    </row>
    <row r="1035" spans="1:10" ht="19.5" customHeight="1" x14ac:dyDescent="0.25">
      <c r="A1035" s="5" t="s">
        <v>1243</v>
      </c>
      <c r="B1035" s="5">
        <v>2</v>
      </c>
      <c r="C1035" s="127">
        <v>46150</v>
      </c>
      <c r="D1035" s="6">
        <v>46147</v>
      </c>
      <c r="E1035" s="5" t="s">
        <v>16</v>
      </c>
      <c r="F1035" s="5" t="s">
        <v>1180</v>
      </c>
      <c r="G1035" s="5" t="s">
        <v>12</v>
      </c>
      <c r="H1035" s="5">
        <v>3</v>
      </c>
      <c r="I1035" s="5" t="s">
        <v>185</v>
      </c>
      <c r="J1035" s="13" t="s">
        <v>48</v>
      </c>
    </row>
    <row r="1036" spans="1:10" ht="19.5" customHeight="1" x14ac:dyDescent="0.25">
      <c r="A1036" s="5" t="s">
        <v>1244</v>
      </c>
      <c r="B1036" s="5">
        <v>2</v>
      </c>
      <c r="C1036" s="127">
        <v>46150</v>
      </c>
      <c r="D1036" s="6">
        <v>46148</v>
      </c>
      <c r="E1036" s="5" t="s">
        <v>16</v>
      </c>
      <c r="F1036" s="5" t="s">
        <v>1195</v>
      </c>
      <c r="G1036" s="5" t="s">
        <v>12</v>
      </c>
      <c r="H1036" s="5">
        <v>12</v>
      </c>
      <c r="I1036" s="5" t="s">
        <v>185</v>
      </c>
      <c r="J1036" s="13" t="s">
        <v>48</v>
      </c>
    </row>
    <row r="1037" spans="1:10" ht="19.5" customHeight="1" x14ac:dyDescent="0.25">
      <c r="A1037" s="5" t="s">
        <v>1245</v>
      </c>
      <c r="B1037" s="5">
        <v>2</v>
      </c>
      <c r="C1037" s="127">
        <v>46150</v>
      </c>
      <c r="D1037" s="6">
        <v>46147</v>
      </c>
      <c r="E1037" s="5" t="s">
        <v>16</v>
      </c>
      <c r="F1037" s="5" t="s">
        <v>1195</v>
      </c>
      <c r="G1037" s="5" t="s">
        <v>12</v>
      </c>
      <c r="H1037" s="5">
        <v>30</v>
      </c>
      <c r="I1037" s="5" t="s">
        <v>185</v>
      </c>
      <c r="J1037" s="13" t="s">
        <v>48</v>
      </c>
    </row>
    <row r="1038" spans="1:10" ht="19.5" customHeight="1" x14ac:dyDescent="0.25">
      <c r="A1038" s="5" t="s">
        <v>1246</v>
      </c>
      <c r="B1038" s="5">
        <v>2</v>
      </c>
      <c r="C1038" s="127">
        <v>46150</v>
      </c>
      <c r="D1038" s="6">
        <v>46148</v>
      </c>
      <c r="E1038" s="5" t="s">
        <v>16</v>
      </c>
      <c r="F1038" s="5" t="s">
        <v>1247</v>
      </c>
      <c r="G1038" s="5" t="s">
        <v>12</v>
      </c>
      <c r="H1038" s="5">
        <v>24</v>
      </c>
      <c r="I1038" s="5" t="s">
        <v>185</v>
      </c>
      <c r="J1038" s="13" t="s">
        <v>48</v>
      </c>
    </row>
    <row r="1039" spans="1:10" ht="19.5" customHeight="1" x14ac:dyDescent="0.25">
      <c r="A1039" s="5" t="s">
        <v>1248</v>
      </c>
      <c r="B1039" s="5">
        <v>2</v>
      </c>
      <c r="C1039" s="127">
        <v>46150</v>
      </c>
      <c r="D1039" s="6">
        <v>46146</v>
      </c>
      <c r="E1039" s="5" t="s">
        <v>16</v>
      </c>
      <c r="F1039" s="5" t="s">
        <v>1189</v>
      </c>
      <c r="G1039" s="5" t="s">
        <v>12</v>
      </c>
      <c r="H1039" s="5">
        <v>12</v>
      </c>
      <c r="I1039" s="5" t="s">
        <v>185</v>
      </c>
      <c r="J1039" s="13" t="s">
        <v>48</v>
      </c>
    </row>
    <row r="1040" spans="1:10" ht="19.5" customHeight="1" x14ac:dyDescent="0.25">
      <c r="A1040" s="5" t="s">
        <v>1249</v>
      </c>
      <c r="B1040" s="5">
        <v>2</v>
      </c>
      <c r="C1040" s="127">
        <v>46150</v>
      </c>
      <c r="D1040" s="6">
        <v>46141</v>
      </c>
      <c r="E1040" s="5" t="s">
        <v>16</v>
      </c>
      <c r="F1040" s="5" t="s">
        <v>645</v>
      </c>
      <c r="G1040" s="5" t="s">
        <v>10</v>
      </c>
      <c r="H1040" s="5">
        <v>3</v>
      </c>
      <c r="I1040" s="5" t="s">
        <v>185</v>
      </c>
      <c r="J1040" s="13" t="s">
        <v>48</v>
      </c>
    </row>
    <row r="1041" spans="1:10" ht="19.5" customHeight="1" x14ac:dyDescent="0.25">
      <c r="A1041" s="5" t="s">
        <v>1250</v>
      </c>
      <c r="B1041" s="5">
        <v>2</v>
      </c>
      <c r="C1041" s="127">
        <v>46150</v>
      </c>
      <c r="D1041" s="6">
        <v>46142</v>
      </c>
      <c r="E1041" s="5" t="s">
        <v>16</v>
      </c>
      <c r="F1041" s="5" t="s">
        <v>645</v>
      </c>
      <c r="G1041" s="5" t="s">
        <v>12</v>
      </c>
      <c r="H1041" s="5">
        <v>26</v>
      </c>
      <c r="I1041" s="5" t="s">
        <v>185</v>
      </c>
      <c r="J1041" s="13" t="s">
        <v>48</v>
      </c>
    </row>
    <row r="1042" spans="1:10" ht="19.5" customHeight="1" x14ac:dyDescent="0.25">
      <c r="A1042" s="5" t="s">
        <v>1251</v>
      </c>
      <c r="B1042" s="5">
        <v>2</v>
      </c>
      <c r="C1042" s="127">
        <v>46150</v>
      </c>
      <c r="D1042" s="6">
        <v>46141</v>
      </c>
      <c r="E1042" s="5" t="s">
        <v>16</v>
      </c>
      <c r="F1042" s="5" t="s">
        <v>645</v>
      </c>
      <c r="G1042" s="5" t="s">
        <v>13</v>
      </c>
      <c r="H1042" s="5">
        <v>5</v>
      </c>
      <c r="I1042" s="5" t="s">
        <v>185</v>
      </c>
      <c r="J1042" s="13" t="s">
        <v>48</v>
      </c>
    </row>
    <row r="1043" spans="1:10" ht="19.5" customHeight="1" x14ac:dyDescent="0.25">
      <c r="A1043" s="5" t="s">
        <v>1252</v>
      </c>
      <c r="B1043" s="5">
        <v>2</v>
      </c>
      <c r="C1043" s="127">
        <v>46150</v>
      </c>
      <c r="D1043" s="6">
        <v>46142</v>
      </c>
      <c r="E1043" s="5" t="s">
        <v>16</v>
      </c>
      <c r="F1043" s="5" t="s">
        <v>1189</v>
      </c>
      <c r="G1043" s="5" t="s">
        <v>12</v>
      </c>
      <c r="H1043" s="5">
        <v>27</v>
      </c>
      <c r="I1043" s="5" t="s">
        <v>185</v>
      </c>
      <c r="J1043" s="13" t="s">
        <v>48</v>
      </c>
    </row>
    <row r="1044" spans="1:10" ht="19.5" customHeight="1" x14ac:dyDescent="0.25">
      <c r="A1044" s="5" t="s">
        <v>1253</v>
      </c>
      <c r="B1044" s="5">
        <v>2</v>
      </c>
      <c r="C1044" s="127">
        <v>46150</v>
      </c>
      <c r="D1044" s="6">
        <v>46142</v>
      </c>
      <c r="E1044" s="5" t="s">
        <v>16</v>
      </c>
      <c r="F1044" s="5" t="s">
        <v>1189</v>
      </c>
      <c r="G1044" s="5" t="s">
        <v>12</v>
      </c>
      <c r="H1044" s="5">
        <v>9</v>
      </c>
      <c r="I1044" s="5" t="s">
        <v>185</v>
      </c>
      <c r="J1044" s="13" t="s">
        <v>48</v>
      </c>
    </row>
    <row r="1045" spans="1:10" ht="19.5" customHeight="1" x14ac:dyDescent="0.25">
      <c r="A1045" s="5" t="s">
        <v>1255</v>
      </c>
      <c r="B1045" s="5">
        <v>2</v>
      </c>
      <c r="C1045" s="127">
        <v>46150</v>
      </c>
      <c r="D1045" s="127">
        <v>46146</v>
      </c>
      <c r="E1045" s="5" t="s">
        <v>16</v>
      </c>
      <c r="F1045" s="5" t="s">
        <v>1193</v>
      </c>
      <c r="G1045" s="5" t="s">
        <v>12</v>
      </c>
      <c r="H1045" s="5">
        <v>30</v>
      </c>
      <c r="I1045" s="5" t="s">
        <v>185</v>
      </c>
      <c r="J1045" s="13" t="s">
        <v>48</v>
      </c>
    </row>
    <row r="1046" spans="1:10" ht="19.5" customHeight="1" x14ac:dyDescent="0.25">
      <c r="A1046" s="5" t="s">
        <v>1256</v>
      </c>
      <c r="B1046" s="5">
        <v>2</v>
      </c>
      <c r="C1046" s="127">
        <v>46150</v>
      </c>
      <c r="D1046" s="6">
        <v>46147</v>
      </c>
      <c r="E1046" s="5" t="s">
        <v>16</v>
      </c>
      <c r="F1046" s="5" t="s">
        <v>1183</v>
      </c>
      <c r="G1046" s="5" t="s">
        <v>12</v>
      </c>
      <c r="H1046" s="5">
        <v>13</v>
      </c>
      <c r="I1046" s="5" t="s">
        <v>185</v>
      </c>
      <c r="J1046" s="13" t="s">
        <v>48</v>
      </c>
    </row>
    <row r="1047" spans="1:10" ht="19.5" customHeight="1" x14ac:dyDescent="0.25">
      <c r="A1047" s="5" t="s">
        <v>1257</v>
      </c>
      <c r="B1047" s="5">
        <v>2</v>
      </c>
      <c r="C1047" s="127">
        <v>46150</v>
      </c>
      <c r="D1047" s="6">
        <v>46147</v>
      </c>
      <c r="E1047" s="5" t="s">
        <v>16</v>
      </c>
      <c r="F1047" s="5" t="s">
        <v>1183</v>
      </c>
      <c r="G1047" s="5" t="s">
        <v>12</v>
      </c>
      <c r="H1047" s="5">
        <v>18</v>
      </c>
      <c r="I1047" s="5" t="s">
        <v>185</v>
      </c>
      <c r="J1047" s="13" t="s">
        <v>48</v>
      </c>
    </row>
    <row r="1048" spans="1:10" ht="19.5" customHeight="1" x14ac:dyDescent="0.25">
      <c r="A1048" s="5" t="s">
        <v>1258</v>
      </c>
      <c r="B1048" s="5">
        <v>2</v>
      </c>
      <c r="C1048" s="127">
        <v>46150</v>
      </c>
      <c r="D1048" s="6">
        <v>46141</v>
      </c>
      <c r="E1048" s="5" t="s">
        <v>16</v>
      </c>
      <c r="F1048" s="5" t="s">
        <v>645</v>
      </c>
      <c r="G1048" s="5" t="s">
        <v>10</v>
      </c>
      <c r="H1048" s="5">
        <v>5</v>
      </c>
      <c r="I1048" s="5" t="s">
        <v>185</v>
      </c>
      <c r="J1048" s="13" t="s">
        <v>48</v>
      </c>
    </row>
    <row r="1049" spans="1:10" ht="19.5" customHeight="1" x14ac:dyDescent="0.25">
      <c r="A1049" s="5" t="s">
        <v>1259</v>
      </c>
      <c r="B1049" s="5">
        <v>2</v>
      </c>
      <c r="C1049" s="127">
        <v>46150</v>
      </c>
      <c r="D1049" s="6">
        <v>46141</v>
      </c>
      <c r="E1049" s="5" t="s">
        <v>16</v>
      </c>
      <c r="F1049" s="5" t="s">
        <v>645</v>
      </c>
      <c r="G1049" s="5" t="s">
        <v>10</v>
      </c>
      <c r="H1049" s="5">
        <v>4</v>
      </c>
      <c r="I1049" s="5" t="s">
        <v>185</v>
      </c>
      <c r="J1049" s="13" t="s">
        <v>48</v>
      </c>
    </row>
    <row r="1050" spans="1:10" ht="19.5" customHeight="1" x14ac:dyDescent="0.25">
      <c r="A1050" s="5" t="s">
        <v>1260</v>
      </c>
      <c r="B1050" s="5">
        <v>2</v>
      </c>
      <c r="C1050" s="127">
        <v>46150</v>
      </c>
      <c r="D1050" s="6">
        <v>46138</v>
      </c>
      <c r="E1050" s="5" t="s">
        <v>16</v>
      </c>
      <c r="F1050" s="5" t="s">
        <v>645</v>
      </c>
      <c r="G1050" s="5" t="s">
        <v>10</v>
      </c>
      <c r="H1050" s="5">
        <v>5</v>
      </c>
      <c r="I1050" s="5" t="s">
        <v>185</v>
      </c>
      <c r="J1050" s="13" t="s">
        <v>48</v>
      </c>
    </row>
    <row r="1051" spans="1:10" ht="19.5" customHeight="1" x14ac:dyDescent="0.25">
      <c r="A1051" s="5" t="s">
        <v>1261</v>
      </c>
      <c r="B1051" s="5">
        <v>2</v>
      </c>
      <c r="C1051" s="127">
        <v>46150</v>
      </c>
      <c r="D1051" s="6">
        <v>46142</v>
      </c>
      <c r="E1051" s="5" t="s">
        <v>16</v>
      </c>
      <c r="F1051" s="5" t="s">
        <v>1189</v>
      </c>
      <c r="G1051" s="5" t="s">
        <v>10</v>
      </c>
      <c r="H1051" s="5">
        <v>12</v>
      </c>
      <c r="I1051" s="5" t="s">
        <v>185</v>
      </c>
      <c r="J1051" s="13" t="s">
        <v>48</v>
      </c>
    </row>
    <row r="1052" spans="1:10" ht="19.5" customHeight="1" x14ac:dyDescent="0.25">
      <c r="A1052" s="5" t="s">
        <v>1262</v>
      </c>
      <c r="B1052" s="5">
        <v>2</v>
      </c>
      <c r="C1052" s="127">
        <v>46150</v>
      </c>
      <c r="D1052" s="6">
        <v>46142</v>
      </c>
      <c r="E1052" s="5" t="s">
        <v>16</v>
      </c>
      <c r="F1052" s="5" t="s">
        <v>645</v>
      </c>
      <c r="G1052" s="5" t="s">
        <v>10</v>
      </c>
      <c r="H1052" s="5">
        <v>6</v>
      </c>
      <c r="I1052" s="5" t="s">
        <v>185</v>
      </c>
      <c r="J1052" s="13" t="s">
        <v>48</v>
      </c>
    </row>
    <row r="1053" spans="1:10" ht="19.5" customHeight="1" x14ac:dyDescent="0.25">
      <c r="A1053" s="5" t="s">
        <v>1263</v>
      </c>
      <c r="B1053" s="5">
        <v>2</v>
      </c>
      <c r="C1053" s="127">
        <v>46150</v>
      </c>
      <c r="D1053" s="6">
        <v>46145</v>
      </c>
      <c r="E1053" s="5" t="s">
        <v>16</v>
      </c>
      <c r="F1053" s="5" t="s">
        <v>837</v>
      </c>
      <c r="G1053" s="5" t="s">
        <v>10</v>
      </c>
      <c r="H1053" s="5">
        <v>7</v>
      </c>
      <c r="I1053" s="5" t="s">
        <v>67</v>
      </c>
      <c r="J1053" s="13" t="s">
        <v>73</v>
      </c>
    </row>
    <row r="1054" spans="1:10" ht="19.5" customHeight="1" x14ac:dyDescent="0.25">
      <c r="A1054" s="5" t="s">
        <v>1264</v>
      </c>
      <c r="B1054" s="5">
        <v>2</v>
      </c>
      <c r="C1054" s="127">
        <v>46150</v>
      </c>
      <c r="D1054" s="6">
        <v>46141</v>
      </c>
      <c r="E1054" s="5" t="s">
        <v>16</v>
      </c>
      <c r="F1054" s="5" t="s">
        <v>889</v>
      </c>
      <c r="G1054" s="5" t="s">
        <v>17</v>
      </c>
      <c r="H1054" s="5">
        <v>17</v>
      </c>
      <c r="I1054" s="5" t="s">
        <v>22</v>
      </c>
      <c r="J1054" s="13" t="s">
        <v>72</v>
      </c>
    </row>
    <row r="1055" spans="1:10" ht="19.5" customHeight="1" x14ac:dyDescent="0.25">
      <c r="A1055" s="21" t="s">
        <v>1268</v>
      </c>
      <c r="B1055" s="5">
        <v>1</v>
      </c>
      <c r="C1055" s="127">
        <v>46151</v>
      </c>
      <c r="D1055" s="6">
        <v>46141</v>
      </c>
      <c r="E1055" s="5" t="s">
        <v>15</v>
      </c>
      <c r="F1055" s="5" t="s">
        <v>645</v>
      </c>
      <c r="G1055" s="5" t="s">
        <v>10</v>
      </c>
      <c r="H1055" s="5">
        <v>7</v>
      </c>
      <c r="I1055" s="5" t="s">
        <v>185</v>
      </c>
      <c r="J1055" s="13" t="s">
        <v>48</v>
      </c>
    </row>
    <row r="1056" spans="1:10" ht="19.5" customHeight="1" x14ac:dyDescent="0.25">
      <c r="A1056" s="21" t="s">
        <v>1269</v>
      </c>
      <c r="B1056" s="5">
        <v>1</v>
      </c>
      <c r="C1056" s="127">
        <v>46151</v>
      </c>
      <c r="D1056" s="6">
        <v>46142</v>
      </c>
      <c r="E1056" s="5" t="s">
        <v>15</v>
      </c>
      <c r="F1056" s="5" t="s">
        <v>645</v>
      </c>
      <c r="G1056" s="5" t="s">
        <v>10</v>
      </c>
      <c r="H1056" s="5">
        <v>5</v>
      </c>
      <c r="I1056" s="5" t="s">
        <v>185</v>
      </c>
      <c r="J1056" s="13" t="s">
        <v>48</v>
      </c>
    </row>
    <row r="1057" spans="1:10" ht="19.5" customHeight="1" x14ac:dyDescent="0.25">
      <c r="A1057" s="21" t="s">
        <v>1270</v>
      </c>
      <c r="B1057" s="5">
        <v>1</v>
      </c>
      <c r="C1057" s="127">
        <v>46151</v>
      </c>
      <c r="D1057" s="6">
        <v>46147</v>
      </c>
      <c r="E1057" s="5" t="s">
        <v>15</v>
      </c>
      <c r="F1057" s="5" t="s">
        <v>1180</v>
      </c>
      <c r="G1057" s="5" t="s">
        <v>10</v>
      </c>
      <c r="H1057" s="5">
        <v>2</v>
      </c>
      <c r="I1057" s="5" t="s">
        <v>185</v>
      </c>
      <c r="J1057" s="13" t="s">
        <v>48</v>
      </c>
    </row>
    <row r="1058" spans="1:10" ht="19.5" customHeight="1" x14ac:dyDescent="0.25">
      <c r="A1058" s="21" t="s">
        <v>1271</v>
      </c>
      <c r="B1058" s="5">
        <v>1</v>
      </c>
      <c r="C1058" s="127">
        <v>46151</v>
      </c>
      <c r="D1058" s="6">
        <v>46147</v>
      </c>
      <c r="E1058" s="5" t="s">
        <v>15</v>
      </c>
      <c r="F1058" s="5" t="s">
        <v>1180</v>
      </c>
      <c r="G1058" s="5" t="s">
        <v>10</v>
      </c>
      <c r="H1058" s="5">
        <v>14</v>
      </c>
      <c r="I1058" s="5" t="s">
        <v>185</v>
      </c>
      <c r="J1058" s="13" t="s">
        <v>48</v>
      </c>
    </row>
    <row r="1059" spans="1:10" ht="19.5" customHeight="1" x14ac:dyDescent="0.25">
      <c r="A1059" s="21" t="s">
        <v>1272</v>
      </c>
      <c r="B1059" s="5">
        <v>1</v>
      </c>
      <c r="C1059" s="127">
        <v>46151</v>
      </c>
      <c r="D1059" s="6">
        <v>46147</v>
      </c>
      <c r="E1059" s="5" t="s">
        <v>15</v>
      </c>
      <c r="F1059" s="5" t="s">
        <v>1180</v>
      </c>
      <c r="G1059" s="5" t="s">
        <v>10</v>
      </c>
      <c r="H1059" s="5">
        <v>6</v>
      </c>
      <c r="I1059" s="5" t="s">
        <v>185</v>
      </c>
      <c r="J1059" s="13" t="s">
        <v>48</v>
      </c>
    </row>
    <row r="1060" spans="1:10" ht="19.5" customHeight="1" x14ac:dyDescent="0.25">
      <c r="A1060" s="21" t="s">
        <v>1273</v>
      </c>
      <c r="B1060" s="5">
        <v>1</v>
      </c>
      <c r="C1060" s="127">
        <v>46151</v>
      </c>
      <c r="D1060" s="6">
        <v>46150</v>
      </c>
      <c r="E1060" s="5" t="s">
        <v>15</v>
      </c>
      <c r="F1060" s="5" t="s">
        <v>1275</v>
      </c>
      <c r="G1060" s="5" t="s">
        <v>12</v>
      </c>
      <c r="H1060" s="5">
        <v>5</v>
      </c>
      <c r="I1060" s="5" t="s">
        <v>185</v>
      </c>
      <c r="J1060" s="13" t="s">
        <v>48</v>
      </c>
    </row>
    <row r="1061" spans="1:10" ht="19.5" customHeight="1" x14ac:dyDescent="0.25">
      <c r="A1061" s="21" t="s">
        <v>1274</v>
      </c>
      <c r="B1061" s="5">
        <v>1</v>
      </c>
      <c r="C1061" s="127">
        <v>46151</v>
      </c>
      <c r="E1061" s="5" t="s">
        <v>15</v>
      </c>
      <c r="F1061" s="5" t="s">
        <v>1189</v>
      </c>
      <c r="G1061" s="5" t="s">
        <v>10</v>
      </c>
      <c r="H1061" s="5">
        <v>19</v>
      </c>
      <c r="I1061" s="5" t="s">
        <v>185</v>
      </c>
      <c r="J1061" s="13" t="s">
        <v>48</v>
      </c>
    </row>
    <row r="1062" spans="1:10" ht="19.5" customHeight="1" x14ac:dyDescent="0.25">
      <c r="A1062" s="21" t="s">
        <v>1276</v>
      </c>
      <c r="B1062" s="5">
        <v>1</v>
      </c>
      <c r="C1062" s="127">
        <v>46151</v>
      </c>
      <c r="D1062" s="6">
        <v>46148</v>
      </c>
      <c r="E1062" s="5" t="s">
        <v>15</v>
      </c>
      <c r="F1062" s="5" t="s">
        <v>1247</v>
      </c>
      <c r="G1062" s="5" t="s">
        <v>12</v>
      </c>
      <c r="H1062" s="5">
        <v>6</v>
      </c>
      <c r="I1062" s="5" t="s">
        <v>185</v>
      </c>
      <c r="J1062" s="13" t="s">
        <v>48</v>
      </c>
    </row>
    <row r="1063" spans="1:10" ht="19.5" customHeight="1" x14ac:dyDescent="0.25">
      <c r="A1063" s="21" t="s">
        <v>1277</v>
      </c>
      <c r="B1063" s="5">
        <v>1</v>
      </c>
      <c r="C1063" s="127">
        <v>46151</v>
      </c>
      <c r="D1063" s="6">
        <v>46150</v>
      </c>
      <c r="E1063" s="5" t="s">
        <v>15</v>
      </c>
      <c r="F1063" s="5" t="s">
        <v>1247</v>
      </c>
      <c r="G1063" s="5" t="s">
        <v>12</v>
      </c>
      <c r="H1063" s="5">
        <v>4</v>
      </c>
      <c r="I1063" s="5" t="s">
        <v>185</v>
      </c>
      <c r="J1063" s="13" t="s">
        <v>48</v>
      </c>
    </row>
    <row r="1064" spans="1:10" ht="19.5" customHeight="1" x14ac:dyDescent="0.25">
      <c r="A1064" s="21" t="s">
        <v>1278</v>
      </c>
      <c r="B1064" s="5">
        <v>1</v>
      </c>
      <c r="C1064" s="127">
        <v>46151</v>
      </c>
      <c r="D1064" s="6">
        <v>46147</v>
      </c>
      <c r="E1064" s="5" t="s">
        <v>15</v>
      </c>
      <c r="F1064" s="5" t="s">
        <v>438</v>
      </c>
      <c r="G1064" s="5" t="s">
        <v>13</v>
      </c>
      <c r="H1064" s="5">
        <v>12</v>
      </c>
      <c r="I1064" s="5" t="s">
        <v>20</v>
      </c>
      <c r="J1064" s="13" t="s">
        <v>68</v>
      </c>
    </row>
    <row r="1065" spans="1:10" ht="19.5" customHeight="1" x14ac:dyDescent="0.25">
      <c r="A1065" s="21" t="s">
        <v>1279</v>
      </c>
      <c r="B1065" s="5">
        <v>1</v>
      </c>
      <c r="C1065" s="127">
        <v>46151</v>
      </c>
      <c r="D1065" s="6">
        <v>46147</v>
      </c>
      <c r="E1065" s="5" t="s">
        <v>15</v>
      </c>
      <c r="F1065" s="5" t="s">
        <v>436</v>
      </c>
      <c r="G1065" s="5" t="s">
        <v>13</v>
      </c>
      <c r="H1065" s="5">
        <v>11</v>
      </c>
      <c r="I1065" s="5" t="s">
        <v>20</v>
      </c>
      <c r="J1065" s="13" t="s">
        <v>68</v>
      </c>
    </row>
    <row r="1066" spans="1:10" ht="19.5" customHeight="1" x14ac:dyDescent="0.25">
      <c r="A1066" s="21" t="s">
        <v>1280</v>
      </c>
      <c r="B1066" s="5">
        <v>1</v>
      </c>
      <c r="C1066" s="127">
        <v>46151</v>
      </c>
      <c r="D1066" s="6">
        <v>46148</v>
      </c>
      <c r="E1066" s="5" t="s">
        <v>15</v>
      </c>
      <c r="F1066" s="5" t="s">
        <v>436</v>
      </c>
      <c r="G1066" s="5" t="s">
        <v>13</v>
      </c>
      <c r="H1066" s="5">
        <v>22</v>
      </c>
      <c r="I1066" s="5" t="s">
        <v>22</v>
      </c>
      <c r="J1066" s="13" t="s">
        <v>72</v>
      </c>
    </row>
    <row r="1067" spans="1:10" ht="19.5" customHeight="1" x14ac:dyDescent="0.25">
      <c r="A1067" s="21" t="s">
        <v>1281</v>
      </c>
      <c r="B1067" s="5">
        <v>1</v>
      </c>
      <c r="C1067" s="127">
        <v>46151</v>
      </c>
      <c r="D1067" s="6">
        <v>46140</v>
      </c>
      <c r="E1067" s="5" t="s">
        <v>16</v>
      </c>
      <c r="F1067" s="5" t="s">
        <v>889</v>
      </c>
      <c r="G1067" s="5" t="s">
        <v>10</v>
      </c>
      <c r="H1067" s="5">
        <v>30</v>
      </c>
      <c r="I1067" s="5" t="s">
        <v>22</v>
      </c>
      <c r="J1067" s="13" t="s">
        <v>72</v>
      </c>
    </row>
    <row r="1068" spans="1:10" ht="19.5" customHeight="1" x14ac:dyDescent="0.25">
      <c r="A1068" s="21" t="s">
        <v>1282</v>
      </c>
      <c r="B1068" s="5">
        <v>1</v>
      </c>
      <c r="C1068" s="127">
        <v>46151</v>
      </c>
      <c r="D1068" s="6">
        <v>46140</v>
      </c>
      <c r="E1068" s="5" t="s">
        <v>16</v>
      </c>
      <c r="F1068" s="5" t="s">
        <v>889</v>
      </c>
      <c r="G1068" s="5" t="s">
        <v>10</v>
      </c>
      <c r="H1068" s="5">
        <v>4</v>
      </c>
      <c r="I1068" s="5" t="s">
        <v>22</v>
      </c>
      <c r="J1068" s="13" t="s">
        <v>72</v>
      </c>
    </row>
    <row r="1069" spans="1:10" ht="19.5" customHeight="1" x14ac:dyDescent="0.25">
      <c r="A1069" s="21" t="s">
        <v>1283</v>
      </c>
      <c r="B1069" s="5">
        <v>1</v>
      </c>
      <c r="C1069" s="127">
        <v>46151</v>
      </c>
      <c r="D1069" s="6">
        <v>46140</v>
      </c>
      <c r="E1069" s="5" t="s">
        <v>16</v>
      </c>
      <c r="F1069" s="5" t="s">
        <v>837</v>
      </c>
      <c r="G1069" s="5" t="s">
        <v>10</v>
      </c>
      <c r="H1069" s="5">
        <v>6</v>
      </c>
      <c r="I1069" s="5" t="s">
        <v>67</v>
      </c>
      <c r="J1069" s="13" t="s">
        <v>73</v>
      </c>
    </row>
    <row r="1070" spans="1:10" ht="19.5" customHeight="1" x14ac:dyDescent="0.25">
      <c r="A1070" s="21" t="s">
        <v>1284</v>
      </c>
      <c r="B1070" s="5">
        <v>1</v>
      </c>
      <c r="C1070" s="127">
        <v>46151</v>
      </c>
      <c r="D1070" s="6">
        <v>46140</v>
      </c>
      <c r="E1070" s="5" t="s">
        <v>16</v>
      </c>
      <c r="F1070" s="5" t="s">
        <v>837</v>
      </c>
      <c r="G1070" s="5" t="s">
        <v>10</v>
      </c>
      <c r="H1070" s="5">
        <v>4</v>
      </c>
      <c r="I1070" s="5" t="s">
        <v>67</v>
      </c>
      <c r="J1070" s="13" t="s">
        <v>73</v>
      </c>
    </row>
    <row r="1071" spans="1:10" ht="19.5" customHeight="1" x14ac:dyDescent="0.25">
      <c r="A1071" s="21" t="s">
        <v>1296</v>
      </c>
      <c r="B1071" s="5">
        <v>1</v>
      </c>
      <c r="C1071" s="127">
        <v>46151</v>
      </c>
      <c r="D1071" s="6">
        <v>46140</v>
      </c>
      <c r="E1071" s="5" t="s">
        <v>16</v>
      </c>
      <c r="F1071" s="5" t="s">
        <v>837</v>
      </c>
      <c r="G1071" s="5" t="s">
        <v>10</v>
      </c>
      <c r="H1071" s="5">
        <v>24</v>
      </c>
      <c r="I1071" s="5" t="s">
        <v>67</v>
      </c>
      <c r="J1071" s="13" t="s">
        <v>73</v>
      </c>
    </row>
    <row r="1072" spans="1:10" ht="19.5" customHeight="1" x14ac:dyDescent="0.25">
      <c r="A1072" s="21" t="s">
        <v>1297</v>
      </c>
      <c r="B1072" s="5">
        <v>1</v>
      </c>
      <c r="C1072" s="127">
        <v>46151</v>
      </c>
      <c r="D1072" s="6">
        <v>46140</v>
      </c>
      <c r="E1072" s="5" t="s">
        <v>16</v>
      </c>
      <c r="F1072" s="5" t="s">
        <v>837</v>
      </c>
      <c r="G1072" s="5" t="s">
        <v>10</v>
      </c>
      <c r="H1072" s="5">
        <v>17</v>
      </c>
      <c r="I1072" s="5" t="s">
        <v>67</v>
      </c>
      <c r="J1072" s="13" t="s">
        <v>73</v>
      </c>
    </row>
    <row r="1073" spans="1:8" ht="19.5" customHeight="1" x14ac:dyDescent="0.25">
      <c r="A1073" s="21" t="s">
        <v>1286</v>
      </c>
      <c r="B1073" s="5">
        <v>1</v>
      </c>
      <c r="C1073" s="127">
        <v>46151</v>
      </c>
      <c r="E1073" s="5" t="s">
        <v>16</v>
      </c>
      <c r="F1073" s="5" t="s">
        <v>960</v>
      </c>
      <c r="G1073" s="5" t="s">
        <v>12</v>
      </c>
      <c r="H1073" s="5">
        <v>14</v>
      </c>
    </row>
    <row r="1074" spans="1:8" ht="19.5" customHeight="1" x14ac:dyDescent="0.25">
      <c r="A1074" s="21" t="s">
        <v>1287</v>
      </c>
      <c r="B1074" s="5">
        <v>1</v>
      </c>
      <c r="C1074" s="127">
        <v>46151</v>
      </c>
      <c r="E1074" s="5" t="s">
        <v>16</v>
      </c>
      <c r="F1074" s="5" t="s">
        <v>960</v>
      </c>
      <c r="G1074" s="5" t="s">
        <v>12</v>
      </c>
      <c r="H1074" s="5">
        <v>10</v>
      </c>
    </row>
    <row r="1075" spans="1:8" ht="19.5" customHeight="1" x14ac:dyDescent="0.25">
      <c r="A1075" s="21" t="s">
        <v>1288</v>
      </c>
      <c r="B1075" s="5">
        <v>1</v>
      </c>
      <c r="C1075" s="127">
        <v>46151</v>
      </c>
      <c r="E1075" s="5" t="s">
        <v>16</v>
      </c>
      <c r="F1075" s="5" t="s">
        <v>960</v>
      </c>
      <c r="G1075" s="5" t="s">
        <v>12</v>
      </c>
      <c r="H1075" s="5">
        <v>13</v>
      </c>
    </row>
    <row r="1076" spans="1:8" ht="19.5" customHeight="1" x14ac:dyDescent="0.25">
      <c r="A1076" s="21" t="s">
        <v>1289</v>
      </c>
      <c r="B1076" s="5">
        <v>1</v>
      </c>
      <c r="C1076" s="127">
        <v>46151</v>
      </c>
      <c r="E1076" s="5" t="s">
        <v>16</v>
      </c>
      <c r="F1076" s="5" t="s">
        <v>960</v>
      </c>
      <c r="G1076" s="5" t="s">
        <v>12</v>
      </c>
      <c r="H1076" s="5">
        <v>5</v>
      </c>
    </row>
    <row r="1077" spans="1:8" ht="19.5" customHeight="1" x14ac:dyDescent="0.25">
      <c r="A1077" s="21" t="s">
        <v>1290</v>
      </c>
      <c r="B1077" s="5">
        <v>1</v>
      </c>
      <c r="C1077" s="127">
        <v>46151</v>
      </c>
      <c r="E1077" s="5" t="s">
        <v>16</v>
      </c>
      <c r="F1077" s="5" t="s">
        <v>960</v>
      </c>
      <c r="G1077" s="5" t="s">
        <v>12</v>
      </c>
      <c r="H1077" s="5">
        <v>19</v>
      </c>
    </row>
    <row r="1078" spans="1:8" ht="19.5" customHeight="1" x14ac:dyDescent="0.25">
      <c r="A1078" s="21" t="s">
        <v>1292</v>
      </c>
      <c r="B1078" s="5">
        <v>1</v>
      </c>
      <c r="C1078" s="127">
        <v>46151</v>
      </c>
      <c r="E1078" s="5" t="s">
        <v>16</v>
      </c>
      <c r="F1078" s="5" t="s">
        <v>936</v>
      </c>
      <c r="G1078" s="5" t="s">
        <v>11</v>
      </c>
      <c r="H1078" s="5">
        <v>13</v>
      </c>
    </row>
    <row r="1079" spans="1:8" ht="19.5" customHeight="1" x14ac:dyDescent="0.25">
      <c r="A1079" s="21" t="s">
        <v>1291</v>
      </c>
      <c r="B1079" s="5">
        <v>1</v>
      </c>
      <c r="C1079" s="127">
        <v>46151</v>
      </c>
      <c r="E1079" s="5" t="s">
        <v>16</v>
      </c>
      <c r="F1079" s="5" t="s">
        <v>936</v>
      </c>
      <c r="G1079" s="5" t="s">
        <v>10</v>
      </c>
      <c r="H1079" s="5">
        <v>26</v>
      </c>
    </row>
    <row r="1080" spans="1:8" ht="19.5" customHeight="1" x14ac:dyDescent="0.25">
      <c r="A1080" s="21" t="s">
        <v>1293</v>
      </c>
      <c r="B1080" s="5">
        <v>1</v>
      </c>
      <c r="C1080" s="127">
        <v>46151</v>
      </c>
      <c r="E1080" s="5" t="s">
        <v>16</v>
      </c>
      <c r="F1080" s="5" t="s">
        <v>936</v>
      </c>
      <c r="G1080" s="5" t="s">
        <v>10</v>
      </c>
      <c r="H1080" s="5">
        <v>10</v>
      </c>
    </row>
    <row r="1081" spans="1:8" ht="19.5" customHeight="1" x14ac:dyDescent="0.25">
      <c r="A1081" s="21" t="s">
        <v>1294</v>
      </c>
      <c r="B1081" s="5">
        <v>1</v>
      </c>
      <c r="C1081" s="127">
        <v>46151</v>
      </c>
      <c r="E1081" s="5" t="s">
        <v>16</v>
      </c>
      <c r="F1081" s="5" t="s">
        <v>936</v>
      </c>
      <c r="G1081" s="5" t="s">
        <v>11</v>
      </c>
      <c r="H1081" s="5">
        <v>6</v>
      </c>
    </row>
    <row r="1082" spans="1:8" ht="19.5" customHeight="1" x14ac:dyDescent="0.25">
      <c r="A1082" s="21" t="s">
        <v>1295</v>
      </c>
      <c r="B1082" s="5">
        <v>1</v>
      </c>
      <c r="C1082" s="127">
        <v>46151</v>
      </c>
      <c r="E1082" s="5" t="s">
        <v>16</v>
      </c>
      <c r="F1082" s="5" t="s">
        <v>936</v>
      </c>
      <c r="G1082" s="5" t="s">
        <v>17</v>
      </c>
      <c r="H1082" s="5">
        <v>8</v>
      </c>
    </row>
    <row r="1083" spans="1:8" ht="19.5" customHeight="1" x14ac:dyDescent="0.25">
      <c r="A1083" s="21" t="s">
        <v>1298</v>
      </c>
      <c r="B1083" s="5">
        <v>1</v>
      </c>
      <c r="C1083" s="127">
        <v>46151</v>
      </c>
      <c r="E1083" s="5" t="s">
        <v>16</v>
      </c>
      <c r="F1083" s="5" t="s">
        <v>889</v>
      </c>
      <c r="G1083" s="5" t="s">
        <v>10</v>
      </c>
      <c r="H1083" s="5">
        <v>1</v>
      </c>
    </row>
    <row r="1084" spans="1:8" ht="19.5" customHeight="1" x14ac:dyDescent="0.25">
      <c r="A1084" s="21" t="s">
        <v>1299</v>
      </c>
      <c r="B1084" s="5">
        <v>1</v>
      </c>
      <c r="C1084" s="127">
        <v>46151</v>
      </c>
      <c r="E1084" s="5" t="s">
        <v>16</v>
      </c>
      <c r="F1084" s="5" t="s">
        <v>889</v>
      </c>
      <c r="G1084" s="5" t="s">
        <v>10</v>
      </c>
      <c r="H1084" s="5">
        <v>7</v>
      </c>
    </row>
    <row r="1085" spans="1:8" ht="19.5" customHeight="1" x14ac:dyDescent="0.25">
      <c r="A1085" s="21" t="s">
        <v>1300</v>
      </c>
      <c r="B1085" s="5">
        <v>1</v>
      </c>
      <c r="C1085" s="127">
        <v>46151</v>
      </c>
      <c r="E1085" s="5" t="s">
        <v>16</v>
      </c>
      <c r="F1085" s="5" t="s">
        <v>889</v>
      </c>
      <c r="G1085" s="5" t="s">
        <v>11</v>
      </c>
      <c r="H1085" s="5">
        <v>5</v>
      </c>
    </row>
    <row r="1086" spans="1:8" ht="19.5" customHeight="1" x14ac:dyDescent="0.25">
      <c r="A1086" s="21" t="s">
        <v>1301</v>
      </c>
      <c r="B1086" s="5">
        <v>1</v>
      </c>
      <c r="C1086" s="127">
        <v>46151</v>
      </c>
      <c r="E1086" s="5" t="s">
        <v>16</v>
      </c>
      <c r="F1086" s="5" t="s">
        <v>889</v>
      </c>
      <c r="G1086" s="5" t="s">
        <v>10</v>
      </c>
      <c r="H1086" s="5">
        <v>3</v>
      </c>
    </row>
    <row r="1087" spans="1:8" ht="19.5" customHeight="1" x14ac:dyDescent="0.25">
      <c r="A1087" s="21" t="s">
        <v>1302</v>
      </c>
      <c r="B1087" s="5">
        <v>1</v>
      </c>
      <c r="C1087" s="127">
        <v>46151</v>
      </c>
      <c r="E1087" s="5" t="s">
        <v>16</v>
      </c>
      <c r="F1087" s="5" t="s">
        <v>889</v>
      </c>
      <c r="G1087" s="5" t="s">
        <v>11</v>
      </c>
      <c r="H1087" s="5">
        <v>4</v>
      </c>
    </row>
    <row r="1088" spans="1:8" ht="19.5" customHeight="1" x14ac:dyDescent="0.25">
      <c r="A1088" s="21" t="s">
        <v>1303</v>
      </c>
      <c r="B1088" s="5">
        <v>1</v>
      </c>
      <c r="C1088" s="127">
        <v>46151</v>
      </c>
      <c r="E1088" s="5" t="s">
        <v>16</v>
      </c>
      <c r="F1088" s="5" t="s">
        <v>889</v>
      </c>
      <c r="G1088" s="5" t="s">
        <v>11</v>
      </c>
      <c r="H1088" s="5">
        <v>11</v>
      </c>
    </row>
    <row r="1089" spans="1:10" ht="19.5" customHeight="1" x14ac:dyDescent="0.25"/>
    <row r="1090" spans="1:10" ht="19.5" customHeight="1" x14ac:dyDescent="0.25">
      <c r="A1090" s="5" t="s">
        <v>1308</v>
      </c>
      <c r="B1090" s="5">
        <v>2</v>
      </c>
      <c r="C1090" s="127">
        <v>46151</v>
      </c>
      <c r="D1090" s="6">
        <v>46148</v>
      </c>
      <c r="E1090" s="5" t="s">
        <v>16</v>
      </c>
      <c r="F1090" s="5" t="s">
        <v>1309</v>
      </c>
      <c r="G1090" s="5" t="s">
        <v>12</v>
      </c>
      <c r="H1090" s="5">
        <v>6</v>
      </c>
      <c r="I1090" s="5" t="s">
        <v>67</v>
      </c>
      <c r="J1090" s="13" t="s">
        <v>74</v>
      </c>
    </row>
    <row r="1091" spans="1:10" ht="19.5" customHeight="1" x14ac:dyDescent="0.25">
      <c r="A1091" s="5" t="s">
        <v>1310</v>
      </c>
      <c r="B1091" s="5">
        <v>2</v>
      </c>
      <c r="C1091" s="127">
        <v>46151</v>
      </c>
      <c r="D1091" s="6">
        <v>46147</v>
      </c>
      <c r="E1091" s="5" t="s">
        <v>16</v>
      </c>
      <c r="F1091" s="5" t="s">
        <v>1309</v>
      </c>
      <c r="G1091" s="5" t="s">
        <v>12</v>
      </c>
      <c r="H1091" s="5">
        <v>19</v>
      </c>
      <c r="I1091" s="5" t="s">
        <v>67</v>
      </c>
      <c r="J1091" s="13" t="s">
        <v>74</v>
      </c>
    </row>
    <row r="1092" spans="1:10" ht="19.5" customHeight="1" x14ac:dyDescent="0.25">
      <c r="A1092" s="5" t="s">
        <v>1311</v>
      </c>
      <c r="B1092" s="5">
        <v>2</v>
      </c>
      <c r="C1092" s="127">
        <v>46151</v>
      </c>
      <c r="D1092" s="6">
        <v>46147</v>
      </c>
      <c r="E1092" s="5" t="s">
        <v>16</v>
      </c>
      <c r="F1092" s="5" t="s">
        <v>837</v>
      </c>
      <c r="G1092" s="5" t="s">
        <v>10</v>
      </c>
      <c r="H1092" s="5">
        <v>36</v>
      </c>
      <c r="I1092" s="5" t="s">
        <v>67</v>
      </c>
      <c r="J1092" s="13" t="s">
        <v>73</v>
      </c>
    </row>
    <row r="1093" spans="1:10" ht="19.5" customHeight="1" x14ac:dyDescent="0.25">
      <c r="A1093" s="5" t="s">
        <v>1263</v>
      </c>
      <c r="B1093" s="5">
        <v>2</v>
      </c>
      <c r="C1093" s="127">
        <v>46151</v>
      </c>
      <c r="D1093" s="6">
        <v>46145</v>
      </c>
      <c r="E1093" s="5" t="s">
        <v>16</v>
      </c>
      <c r="F1093" s="5" t="s">
        <v>837</v>
      </c>
      <c r="G1093" s="5" t="s">
        <v>10</v>
      </c>
      <c r="H1093" s="5">
        <v>6</v>
      </c>
      <c r="I1093" s="5" t="s">
        <v>67</v>
      </c>
      <c r="J1093" s="13" t="s">
        <v>73</v>
      </c>
    </row>
    <row r="1094" spans="1:10" ht="19.5" customHeight="1" x14ac:dyDescent="0.25">
      <c r="A1094" s="5" t="s">
        <v>1312</v>
      </c>
      <c r="B1094" s="5">
        <v>2</v>
      </c>
      <c r="C1094" s="127">
        <v>46151</v>
      </c>
      <c r="D1094" s="6">
        <v>46140</v>
      </c>
      <c r="E1094" s="5" t="s">
        <v>16</v>
      </c>
      <c r="F1094" s="5" t="s">
        <v>837</v>
      </c>
      <c r="G1094" s="5" t="s">
        <v>17</v>
      </c>
      <c r="H1094" s="5">
        <v>10</v>
      </c>
      <c r="I1094" s="5" t="s">
        <v>67</v>
      </c>
      <c r="J1094" s="13" t="s">
        <v>73</v>
      </c>
    </row>
    <row r="1095" spans="1:10" ht="19.5" customHeight="1" x14ac:dyDescent="0.25">
      <c r="A1095" s="5" t="s">
        <v>1313</v>
      </c>
      <c r="B1095" s="5">
        <v>2</v>
      </c>
      <c r="C1095" s="127">
        <v>46151</v>
      </c>
      <c r="D1095" s="6">
        <v>46141</v>
      </c>
      <c r="E1095" s="5" t="s">
        <v>16</v>
      </c>
      <c r="F1095" s="5" t="s">
        <v>837</v>
      </c>
      <c r="G1095" s="5" t="s">
        <v>10</v>
      </c>
      <c r="H1095" s="5">
        <v>4</v>
      </c>
      <c r="I1095" s="5" t="s">
        <v>67</v>
      </c>
      <c r="J1095" s="13" t="s">
        <v>73</v>
      </c>
    </row>
    <row r="1096" spans="1:10" ht="19.5" customHeight="1" x14ac:dyDescent="0.25">
      <c r="A1096" s="5" t="s">
        <v>1314</v>
      </c>
      <c r="B1096" s="5">
        <v>2</v>
      </c>
      <c r="C1096" s="127">
        <v>46151</v>
      </c>
      <c r="D1096" s="6">
        <v>46141</v>
      </c>
      <c r="E1096" s="5" t="s">
        <v>16</v>
      </c>
      <c r="F1096" s="5" t="s">
        <v>645</v>
      </c>
      <c r="G1096" s="5" t="s">
        <v>11</v>
      </c>
      <c r="H1096" s="5">
        <v>1</v>
      </c>
      <c r="I1096" s="5" t="s">
        <v>185</v>
      </c>
      <c r="J1096" s="13" t="s">
        <v>48</v>
      </c>
    </row>
    <row r="1097" spans="1:10" ht="19.5" customHeight="1" x14ac:dyDescent="0.25">
      <c r="A1097" s="5" t="s">
        <v>1315</v>
      </c>
      <c r="B1097" s="5">
        <v>2</v>
      </c>
      <c r="C1097" s="127">
        <v>46151</v>
      </c>
      <c r="D1097" s="6">
        <v>46147</v>
      </c>
      <c r="E1097" s="5" t="s">
        <v>16</v>
      </c>
      <c r="F1097" s="5" t="s">
        <v>1309</v>
      </c>
      <c r="G1097" s="5" t="s">
        <v>10</v>
      </c>
      <c r="H1097" s="5">
        <v>17</v>
      </c>
      <c r="I1097" s="5" t="s">
        <v>67</v>
      </c>
      <c r="J1097" s="13" t="s">
        <v>74</v>
      </c>
    </row>
    <row r="1098" spans="1:10" ht="19.5" customHeight="1" x14ac:dyDescent="0.25">
      <c r="A1098" s="5" t="s">
        <v>1316</v>
      </c>
      <c r="B1098" s="5">
        <v>2</v>
      </c>
      <c r="C1098" s="127">
        <v>46151</v>
      </c>
      <c r="D1098" s="6">
        <v>46141</v>
      </c>
      <c r="E1098" s="5" t="s">
        <v>16</v>
      </c>
      <c r="F1098" s="5" t="s">
        <v>645</v>
      </c>
      <c r="G1098" s="5" t="s">
        <v>17</v>
      </c>
      <c r="H1098" s="5">
        <v>13</v>
      </c>
      <c r="I1098" s="5" t="s">
        <v>185</v>
      </c>
      <c r="J1098" s="13" t="s">
        <v>48</v>
      </c>
    </row>
    <row r="1099" spans="1:10" ht="19.5" customHeight="1" x14ac:dyDescent="0.25">
      <c r="A1099" s="5" t="s">
        <v>1317</v>
      </c>
      <c r="B1099" s="5">
        <v>2</v>
      </c>
      <c r="C1099" s="127">
        <v>46151</v>
      </c>
      <c r="D1099" s="6">
        <v>46146</v>
      </c>
      <c r="E1099" s="5" t="s">
        <v>16</v>
      </c>
      <c r="F1099" s="5" t="s">
        <v>1193</v>
      </c>
      <c r="G1099" s="5" t="s">
        <v>10</v>
      </c>
      <c r="H1099" s="5">
        <v>16</v>
      </c>
      <c r="I1099" s="5" t="s">
        <v>185</v>
      </c>
      <c r="J1099" s="13" t="s">
        <v>48</v>
      </c>
    </row>
    <row r="1100" spans="1:10" ht="19.5" customHeight="1" x14ac:dyDescent="0.25">
      <c r="A1100" s="5" t="s">
        <v>1318</v>
      </c>
      <c r="B1100" s="5">
        <v>2</v>
      </c>
      <c r="C1100" s="127">
        <v>46151</v>
      </c>
      <c r="D1100" s="6">
        <v>46142</v>
      </c>
      <c r="E1100" s="5" t="s">
        <v>16</v>
      </c>
      <c r="F1100" s="5" t="s">
        <v>837</v>
      </c>
      <c r="G1100" s="5" t="s">
        <v>10</v>
      </c>
      <c r="H1100" s="5">
        <v>1</v>
      </c>
      <c r="I1100" s="5" t="s">
        <v>67</v>
      </c>
      <c r="J1100" s="13" t="s">
        <v>73</v>
      </c>
    </row>
    <row r="1101" spans="1:10" ht="19.5" customHeight="1" x14ac:dyDescent="0.25">
      <c r="A1101" s="5" t="s">
        <v>1319</v>
      </c>
      <c r="B1101" s="5">
        <v>2</v>
      </c>
      <c r="C1101" s="127">
        <v>46151</v>
      </c>
      <c r="D1101" s="6">
        <v>46142</v>
      </c>
      <c r="E1101" s="5" t="s">
        <v>16</v>
      </c>
      <c r="F1101" s="5" t="s">
        <v>1189</v>
      </c>
      <c r="G1101" s="5" t="s">
        <v>10</v>
      </c>
      <c r="H1101" s="5">
        <v>1</v>
      </c>
      <c r="I1101" s="5" t="s">
        <v>185</v>
      </c>
      <c r="J1101" s="13" t="s">
        <v>48</v>
      </c>
    </row>
    <row r="1102" spans="1:10" ht="19.5" customHeight="1" x14ac:dyDescent="0.25">
      <c r="A1102" s="5" t="s">
        <v>1320</v>
      </c>
      <c r="B1102" s="5">
        <v>2</v>
      </c>
      <c r="C1102" s="127">
        <v>46151</v>
      </c>
      <c r="D1102" s="6">
        <v>46150</v>
      </c>
      <c r="E1102" s="5" t="s">
        <v>16</v>
      </c>
      <c r="F1102" s="5" t="s">
        <v>1321</v>
      </c>
      <c r="G1102" s="5" t="s">
        <v>12</v>
      </c>
      <c r="H1102" s="5">
        <v>14</v>
      </c>
      <c r="I1102" s="5" t="s">
        <v>67</v>
      </c>
      <c r="J1102" s="13" t="s">
        <v>74</v>
      </c>
    </row>
    <row r="1103" spans="1:10" ht="19.5" customHeight="1" x14ac:dyDescent="0.25">
      <c r="A1103" s="5" t="s">
        <v>1322</v>
      </c>
      <c r="B1103" s="5">
        <v>2</v>
      </c>
      <c r="C1103" s="127">
        <v>46151</v>
      </c>
      <c r="D1103" s="6">
        <v>46146</v>
      </c>
      <c r="E1103" s="5" t="s">
        <v>16</v>
      </c>
      <c r="F1103" s="5" t="s">
        <v>837</v>
      </c>
      <c r="G1103" s="5" t="s">
        <v>10</v>
      </c>
      <c r="H1103" s="5">
        <v>22</v>
      </c>
      <c r="I1103" s="5" t="s">
        <v>67</v>
      </c>
      <c r="J1103" s="13" t="s">
        <v>73</v>
      </c>
    </row>
    <row r="1104" spans="1:10" ht="19.5" customHeight="1" x14ac:dyDescent="0.25">
      <c r="A1104" s="5" t="s">
        <v>1323</v>
      </c>
      <c r="B1104" s="5">
        <v>2</v>
      </c>
      <c r="C1104" s="127">
        <v>46151</v>
      </c>
      <c r="D1104" s="6">
        <v>46145</v>
      </c>
      <c r="E1104" s="5" t="s">
        <v>16</v>
      </c>
      <c r="F1104" s="5" t="s">
        <v>837</v>
      </c>
      <c r="G1104" s="5" t="s">
        <v>10</v>
      </c>
      <c r="H1104" s="5">
        <v>34</v>
      </c>
      <c r="I1104" s="5" t="s">
        <v>67</v>
      </c>
      <c r="J1104" s="13" t="s">
        <v>73</v>
      </c>
    </row>
    <row r="1105" spans="1:10" ht="19.5" customHeight="1" x14ac:dyDescent="0.25">
      <c r="A1105" s="5" t="s">
        <v>1324</v>
      </c>
      <c r="B1105" s="5">
        <v>2</v>
      </c>
      <c r="C1105" s="127">
        <v>46151</v>
      </c>
      <c r="D1105" s="6">
        <v>46147</v>
      </c>
      <c r="E1105" s="5" t="s">
        <v>16</v>
      </c>
      <c r="F1105" s="5" t="s">
        <v>1180</v>
      </c>
      <c r="G1105" s="5" t="s">
        <v>10</v>
      </c>
      <c r="H1105" s="5">
        <v>3</v>
      </c>
      <c r="I1105" s="5" t="s">
        <v>185</v>
      </c>
      <c r="J1105" s="13" t="s">
        <v>48</v>
      </c>
    </row>
    <row r="1106" spans="1:10" ht="19.5" customHeight="1" x14ac:dyDescent="0.25">
      <c r="A1106" s="5" t="s">
        <v>1325</v>
      </c>
      <c r="B1106" s="5">
        <v>2</v>
      </c>
      <c r="C1106" s="127">
        <v>46151</v>
      </c>
      <c r="D1106" s="6">
        <v>46141</v>
      </c>
      <c r="E1106" s="5" t="s">
        <v>16</v>
      </c>
      <c r="F1106" s="5" t="s">
        <v>960</v>
      </c>
      <c r="G1106" s="5" t="s">
        <v>10</v>
      </c>
      <c r="H1106" s="5">
        <v>18</v>
      </c>
      <c r="I1106" s="5" t="s">
        <v>21</v>
      </c>
      <c r="J1106" s="13" t="s">
        <v>70</v>
      </c>
    </row>
    <row r="1107" spans="1:10" ht="19.5" customHeight="1" x14ac:dyDescent="0.25">
      <c r="A1107" s="5" t="s">
        <v>1326</v>
      </c>
      <c r="B1107" s="5">
        <v>2</v>
      </c>
      <c r="C1107" s="127">
        <v>46151</v>
      </c>
      <c r="D1107" s="6">
        <v>46147</v>
      </c>
      <c r="E1107" s="5" t="s">
        <v>16</v>
      </c>
      <c r="F1107" s="5" t="s">
        <v>1309</v>
      </c>
      <c r="G1107" s="5" t="s">
        <v>1327</v>
      </c>
      <c r="H1107" s="5">
        <v>15</v>
      </c>
      <c r="I1107" s="5" t="s">
        <v>67</v>
      </c>
      <c r="J1107" s="13" t="s">
        <v>74</v>
      </c>
    </row>
    <row r="1108" spans="1:10" ht="19.5" customHeight="1" x14ac:dyDescent="0.25">
      <c r="A1108" s="5" t="s">
        <v>1328</v>
      </c>
      <c r="B1108" s="5">
        <v>2</v>
      </c>
      <c r="C1108" s="127">
        <v>46151</v>
      </c>
      <c r="D1108" s="6">
        <v>46146</v>
      </c>
      <c r="E1108" s="5" t="s">
        <v>16</v>
      </c>
      <c r="F1108" s="5" t="s">
        <v>960</v>
      </c>
      <c r="G1108" s="5" t="s">
        <v>10</v>
      </c>
      <c r="H1108" s="5">
        <v>25</v>
      </c>
      <c r="I1108" s="5" t="s">
        <v>21</v>
      </c>
      <c r="J1108" s="13" t="s">
        <v>70</v>
      </c>
    </row>
    <row r="1109" spans="1:10" ht="19.5" customHeight="1" x14ac:dyDescent="0.25">
      <c r="A1109" s="5" t="s">
        <v>1329</v>
      </c>
      <c r="B1109" s="5">
        <v>2</v>
      </c>
      <c r="C1109" s="127">
        <v>46151</v>
      </c>
      <c r="D1109" s="6">
        <v>46147</v>
      </c>
      <c r="E1109" s="5" t="s">
        <v>16</v>
      </c>
      <c r="F1109" s="5" t="s">
        <v>1183</v>
      </c>
      <c r="G1109" s="5" t="s">
        <v>10</v>
      </c>
      <c r="H1109" s="5">
        <v>13</v>
      </c>
      <c r="I1109" s="5" t="s">
        <v>185</v>
      </c>
      <c r="J1109" s="13" t="s">
        <v>48</v>
      </c>
    </row>
    <row r="1110" spans="1:10" ht="19.5" customHeight="1" x14ac:dyDescent="0.25">
      <c r="A1110" s="5" t="s">
        <v>1330</v>
      </c>
      <c r="B1110" s="5">
        <v>2</v>
      </c>
      <c r="C1110" s="127">
        <v>46151</v>
      </c>
      <c r="D1110" s="6">
        <v>46147</v>
      </c>
      <c r="E1110" s="5" t="s">
        <v>16</v>
      </c>
      <c r="F1110" s="5" t="s">
        <v>1180</v>
      </c>
      <c r="G1110" s="5" t="s">
        <v>10</v>
      </c>
      <c r="H1110" s="5">
        <v>10</v>
      </c>
      <c r="I1110" s="5" t="s">
        <v>185</v>
      </c>
      <c r="J1110" s="13" t="s">
        <v>48</v>
      </c>
    </row>
    <row r="1111" spans="1:10" ht="19.5" customHeight="1" x14ac:dyDescent="0.25">
      <c r="A1111" s="5" t="s">
        <v>1331</v>
      </c>
      <c r="B1111" s="5">
        <v>2</v>
      </c>
      <c r="C1111" s="127">
        <v>46151</v>
      </c>
      <c r="D1111" s="6">
        <v>46145</v>
      </c>
      <c r="E1111" s="5" t="s">
        <v>16</v>
      </c>
      <c r="F1111" s="5" t="s">
        <v>837</v>
      </c>
      <c r="G1111" s="5" t="s">
        <v>10</v>
      </c>
      <c r="H1111" s="5">
        <v>30</v>
      </c>
      <c r="I1111" s="5" t="s">
        <v>67</v>
      </c>
      <c r="J1111" s="13" t="s">
        <v>73</v>
      </c>
    </row>
    <row r="1112" spans="1:10" ht="19.5" customHeight="1" x14ac:dyDescent="0.25">
      <c r="A1112" s="5" t="s">
        <v>1332</v>
      </c>
      <c r="B1112" s="5">
        <v>2</v>
      </c>
      <c r="C1112" s="127">
        <v>46151</v>
      </c>
      <c r="D1112" s="6">
        <v>46147</v>
      </c>
      <c r="E1112" s="5" t="s">
        <v>16</v>
      </c>
      <c r="F1112" s="5" t="s">
        <v>960</v>
      </c>
      <c r="G1112" s="5" t="s">
        <v>10</v>
      </c>
      <c r="H1112" s="5">
        <v>25</v>
      </c>
      <c r="I1112" s="5" t="s">
        <v>20</v>
      </c>
      <c r="J1112" s="13" t="s">
        <v>70</v>
      </c>
    </row>
    <row r="1113" spans="1:10" ht="19.5" customHeight="1" x14ac:dyDescent="0.25">
      <c r="A1113" s="5" t="s">
        <v>1340</v>
      </c>
      <c r="B1113" s="5">
        <v>2</v>
      </c>
      <c r="C1113" s="127">
        <v>46151</v>
      </c>
      <c r="D1113" s="6">
        <v>46148</v>
      </c>
      <c r="E1113" s="5" t="s">
        <v>16</v>
      </c>
      <c r="F1113" s="5" t="s">
        <v>1309</v>
      </c>
      <c r="G1113" s="5" t="s">
        <v>12</v>
      </c>
      <c r="H1113" s="5">
        <v>3</v>
      </c>
      <c r="I1113" s="5" t="s">
        <v>67</v>
      </c>
      <c r="J1113" s="13" t="s">
        <v>74</v>
      </c>
    </row>
    <row r="1114" spans="1:10" ht="19.5" customHeight="1" x14ac:dyDescent="0.25"/>
    <row r="1115" spans="1:10" ht="19.5" customHeight="1" x14ac:dyDescent="0.25"/>
    <row r="1116" spans="1:10" ht="19.5" customHeight="1" x14ac:dyDescent="0.25"/>
    <row r="1117" spans="1:10" ht="19.5" customHeight="1" x14ac:dyDescent="0.25"/>
    <row r="1118" spans="1:10" ht="19.5" customHeight="1" x14ac:dyDescent="0.25"/>
    <row r="1119" spans="1:10" ht="19.5" customHeight="1" x14ac:dyDescent="0.25"/>
    <row r="1120" spans="1:10" ht="19.5" customHeight="1" x14ac:dyDescent="0.25"/>
    <row r="1121" ht="19.5" customHeight="1" x14ac:dyDescent="0.25"/>
    <row r="1122" ht="19.5" customHeight="1" x14ac:dyDescent="0.25"/>
    <row r="1123" ht="19.5" customHeight="1" x14ac:dyDescent="0.25"/>
    <row r="1124" ht="19.5" customHeight="1" x14ac:dyDescent="0.25"/>
    <row r="1125" ht="19.5" customHeight="1" x14ac:dyDescent="0.25"/>
    <row r="1126" ht="19.5" customHeight="1" x14ac:dyDescent="0.25"/>
    <row r="1127" ht="19.5" customHeight="1" x14ac:dyDescent="0.25"/>
    <row r="1128" ht="19.5" customHeight="1" x14ac:dyDescent="0.25"/>
    <row r="1129" ht="19.5" customHeight="1" x14ac:dyDescent="0.25"/>
    <row r="1130" ht="19.5" customHeight="1" x14ac:dyDescent="0.25"/>
    <row r="1131" ht="19.5" customHeight="1" x14ac:dyDescent="0.25"/>
    <row r="1132" ht="19.5" customHeight="1" x14ac:dyDescent="0.25"/>
    <row r="1133" ht="19.5" customHeight="1" x14ac:dyDescent="0.25"/>
    <row r="1134" ht="19.5" customHeight="1" x14ac:dyDescent="0.25"/>
    <row r="1135" ht="19.5" customHeight="1" x14ac:dyDescent="0.25"/>
    <row r="1136" ht="19.5" customHeight="1" x14ac:dyDescent="0.25"/>
    <row r="1137" ht="19.5" customHeight="1" x14ac:dyDescent="0.25"/>
    <row r="1138" ht="19.5" customHeight="1" x14ac:dyDescent="0.25"/>
    <row r="1139" ht="19.5" customHeight="1" x14ac:dyDescent="0.25"/>
    <row r="1140" ht="19.5" customHeight="1" x14ac:dyDescent="0.25"/>
    <row r="1141" ht="19.5" customHeight="1" x14ac:dyDescent="0.25"/>
    <row r="1142" ht="19.5" customHeight="1" x14ac:dyDescent="0.25"/>
    <row r="1143" ht="19.5" customHeight="1" x14ac:dyDescent="0.25"/>
    <row r="1144" ht="19.5" customHeight="1" x14ac:dyDescent="0.25"/>
    <row r="1145" ht="19.5" customHeight="1" x14ac:dyDescent="0.25"/>
    <row r="1146" ht="19.5" customHeight="1" x14ac:dyDescent="0.25"/>
    <row r="1147" ht="19.5" customHeight="1" x14ac:dyDescent="0.25"/>
    <row r="1148" ht="19.5" customHeight="1" x14ac:dyDescent="0.25"/>
    <row r="1149" ht="19.5" customHeight="1" x14ac:dyDescent="0.25"/>
    <row r="1150" ht="19.5" customHeight="1" x14ac:dyDescent="0.25"/>
    <row r="1151" ht="19.5" customHeight="1" x14ac:dyDescent="0.25"/>
    <row r="1152" ht="19.5" customHeight="1" x14ac:dyDescent="0.25"/>
    <row r="1153" ht="19.5" customHeight="1" x14ac:dyDescent="0.25"/>
    <row r="1154" ht="19.5" customHeight="1" x14ac:dyDescent="0.25"/>
    <row r="1155" ht="19.5" customHeight="1" x14ac:dyDescent="0.25"/>
    <row r="1156" ht="19.5" customHeight="1" x14ac:dyDescent="0.25"/>
    <row r="1157" ht="19.5" customHeight="1" x14ac:dyDescent="0.25"/>
    <row r="1158" ht="19.5" customHeight="1" x14ac:dyDescent="0.25"/>
    <row r="1159" ht="19.5" customHeight="1" x14ac:dyDescent="0.25"/>
    <row r="1160" ht="19.5" customHeight="1" x14ac:dyDescent="0.25"/>
    <row r="1161" ht="19.5" customHeight="1" x14ac:dyDescent="0.25"/>
    <row r="1162" ht="19.5" customHeight="1" x14ac:dyDescent="0.25"/>
    <row r="1163" ht="19.5" customHeight="1" x14ac:dyDescent="0.25"/>
    <row r="1164" ht="19.5" customHeight="1" x14ac:dyDescent="0.25"/>
    <row r="1165" ht="19.5" customHeight="1" x14ac:dyDescent="0.25"/>
    <row r="1166" ht="19.5" customHeight="1" x14ac:dyDescent="0.25"/>
    <row r="1167" ht="19.5" customHeight="1" x14ac:dyDescent="0.25"/>
    <row r="1168" ht="19.5" customHeight="1" x14ac:dyDescent="0.25"/>
    <row r="1169" ht="19.5" customHeight="1" x14ac:dyDescent="0.25"/>
    <row r="1170" ht="19.5" customHeight="1" x14ac:dyDescent="0.25"/>
    <row r="1171" ht="19.5" customHeight="1" x14ac:dyDescent="0.25"/>
    <row r="1172" ht="19.5" customHeight="1" x14ac:dyDescent="0.25"/>
    <row r="1173" ht="19.5" customHeight="1" x14ac:dyDescent="0.25"/>
    <row r="1174" ht="19.5" customHeight="1" x14ac:dyDescent="0.25"/>
    <row r="1175" ht="19.5" customHeight="1" x14ac:dyDescent="0.25"/>
    <row r="1176" ht="19.5" customHeight="1" x14ac:dyDescent="0.25"/>
    <row r="1177" ht="19.5" customHeight="1" x14ac:dyDescent="0.25"/>
    <row r="1178" ht="19.5" customHeight="1" x14ac:dyDescent="0.25"/>
    <row r="1179" ht="19.5" customHeight="1" x14ac:dyDescent="0.25"/>
    <row r="1180" ht="19.5" customHeight="1" x14ac:dyDescent="0.25"/>
    <row r="1181" ht="19.5" customHeight="1" x14ac:dyDescent="0.25"/>
    <row r="1182" ht="19.5" customHeight="1" x14ac:dyDescent="0.25"/>
    <row r="1183" ht="19.5" customHeight="1" x14ac:dyDescent="0.25"/>
    <row r="1184" ht="19.5" customHeight="1" x14ac:dyDescent="0.25"/>
    <row r="1185" ht="19.5" customHeight="1" x14ac:dyDescent="0.25"/>
    <row r="1186" ht="19.5" customHeight="1" x14ac:dyDescent="0.25"/>
    <row r="1187" ht="19.5" customHeight="1" x14ac:dyDescent="0.25"/>
    <row r="1188" ht="19.5" customHeight="1" x14ac:dyDescent="0.25"/>
    <row r="1189" ht="19.5" customHeight="1" x14ac:dyDescent="0.25"/>
    <row r="1190" ht="19.5" customHeight="1" x14ac:dyDescent="0.25"/>
    <row r="1191" ht="19.5" customHeight="1" x14ac:dyDescent="0.25"/>
    <row r="1192" ht="19.5" customHeight="1" x14ac:dyDescent="0.25"/>
    <row r="1193" ht="19.5" customHeight="1" x14ac:dyDescent="0.25"/>
    <row r="1194" ht="19.5" customHeight="1" x14ac:dyDescent="0.25"/>
    <row r="1195" ht="19.5" customHeight="1" x14ac:dyDescent="0.25"/>
    <row r="1196" ht="19.5" customHeight="1" x14ac:dyDescent="0.25"/>
    <row r="1197" ht="19.5" customHeight="1" x14ac:dyDescent="0.25"/>
    <row r="1198" ht="19.5" customHeight="1" x14ac:dyDescent="0.25"/>
    <row r="1199" ht="19.5" customHeight="1" x14ac:dyDescent="0.25"/>
    <row r="1200" ht="19.5" customHeight="1" x14ac:dyDescent="0.25"/>
    <row r="1201" ht="19.5" customHeight="1" x14ac:dyDescent="0.25"/>
    <row r="1202" ht="19.5" customHeight="1" x14ac:dyDescent="0.25"/>
    <row r="1203" ht="19.5" customHeight="1" x14ac:dyDescent="0.25"/>
    <row r="1204" ht="19.5" customHeight="1" x14ac:dyDescent="0.25"/>
    <row r="1205" ht="19.5" customHeight="1" x14ac:dyDescent="0.25"/>
    <row r="1206" ht="19.5" customHeight="1" x14ac:dyDescent="0.25"/>
    <row r="1207" ht="19.5" customHeight="1" x14ac:dyDescent="0.25"/>
    <row r="1208" ht="19.5" customHeight="1" x14ac:dyDescent="0.25"/>
    <row r="1209" ht="19.5" customHeight="1" x14ac:dyDescent="0.25"/>
    <row r="1210" ht="19.5" customHeight="1" x14ac:dyDescent="0.25"/>
    <row r="1211" ht="19.5" customHeight="1" x14ac:dyDescent="0.25"/>
    <row r="1212" ht="19.5" customHeight="1" x14ac:dyDescent="0.25"/>
    <row r="1213" ht="19.5" customHeight="1" x14ac:dyDescent="0.25"/>
    <row r="1214" ht="19.5" customHeight="1" x14ac:dyDescent="0.25"/>
    <row r="1215" ht="19.5" customHeight="1" x14ac:dyDescent="0.25"/>
    <row r="1216" ht="19.5" customHeight="1" x14ac:dyDescent="0.25"/>
    <row r="1217" ht="19.5" customHeight="1" x14ac:dyDescent="0.25"/>
    <row r="1218" ht="19.5" customHeight="1" x14ac:dyDescent="0.25"/>
    <row r="1219" ht="19.5" customHeight="1" x14ac:dyDescent="0.25"/>
    <row r="1220" ht="19.5" customHeight="1" x14ac:dyDescent="0.25"/>
    <row r="1221" ht="19.5" customHeight="1" x14ac:dyDescent="0.25"/>
    <row r="1222" ht="19.5" customHeight="1" x14ac:dyDescent="0.25"/>
    <row r="1223" ht="19.5" customHeight="1" x14ac:dyDescent="0.25"/>
    <row r="1224" ht="19.5" customHeight="1" x14ac:dyDescent="0.25"/>
    <row r="1225" ht="19.5" customHeight="1" x14ac:dyDescent="0.25"/>
    <row r="1226" ht="19.5" customHeight="1" x14ac:dyDescent="0.25"/>
    <row r="1227" ht="19.5" customHeight="1" x14ac:dyDescent="0.25"/>
    <row r="1228" ht="19.5" customHeight="1" x14ac:dyDescent="0.25"/>
    <row r="1229" ht="19.5" customHeight="1" x14ac:dyDescent="0.25"/>
    <row r="1230" ht="19.5" customHeight="1" x14ac:dyDescent="0.25"/>
    <row r="1231" ht="19.5" customHeight="1" x14ac:dyDescent="0.25"/>
    <row r="1232" ht="19.5" customHeight="1" x14ac:dyDescent="0.25"/>
    <row r="1233" ht="19.5" customHeight="1" x14ac:dyDescent="0.25"/>
    <row r="1234" ht="19.5" customHeight="1" x14ac:dyDescent="0.25"/>
    <row r="1235" ht="19.5" customHeight="1" x14ac:dyDescent="0.25"/>
    <row r="1236" ht="19.5" customHeight="1" x14ac:dyDescent="0.25"/>
    <row r="1237" ht="19.5" customHeight="1" x14ac:dyDescent="0.25"/>
    <row r="1238" ht="19.5" customHeight="1" x14ac:dyDescent="0.25"/>
    <row r="1239" ht="19.5" customHeight="1" x14ac:dyDescent="0.25"/>
    <row r="1240" ht="19.5" customHeight="1" x14ac:dyDescent="0.25"/>
    <row r="1241" ht="19.5" customHeight="1" x14ac:dyDescent="0.25"/>
    <row r="1242" ht="19.5" customHeight="1" x14ac:dyDescent="0.25"/>
    <row r="1243" ht="19.5" customHeight="1" x14ac:dyDescent="0.25"/>
    <row r="1244" ht="19.5" customHeight="1" x14ac:dyDescent="0.25"/>
    <row r="1245" ht="19.5" customHeight="1" x14ac:dyDescent="0.25"/>
    <row r="1246" ht="19.5" customHeight="1" x14ac:dyDescent="0.25"/>
    <row r="1247" ht="19.5" customHeight="1" x14ac:dyDescent="0.25"/>
    <row r="1248" ht="19.5" customHeight="1" x14ac:dyDescent="0.25"/>
    <row r="1249" ht="19.5" customHeight="1" x14ac:dyDescent="0.25"/>
    <row r="1250" ht="19.5" customHeight="1" x14ac:dyDescent="0.25"/>
    <row r="1251" ht="19.5" customHeight="1" x14ac:dyDescent="0.25"/>
    <row r="1252" ht="19.5" customHeight="1" x14ac:dyDescent="0.25"/>
    <row r="1253" ht="19.5" customHeight="1" x14ac:dyDescent="0.25"/>
    <row r="1254" ht="19.5" customHeight="1" x14ac:dyDescent="0.25"/>
    <row r="1255" ht="19.5" customHeight="1" x14ac:dyDescent="0.25"/>
    <row r="1256" ht="19.5" customHeight="1" x14ac:dyDescent="0.25"/>
    <row r="1257" ht="19.5" customHeight="1" x14ac:dyDescent="0.25"/>
    <row r="1258" ht="19.5" customHeight="1" x14ac:dyDescent="0.25"/>
    <row r="1259" ht="19.5" customHeight="1" x14ac:dyDescent="0.25"/>
    <row r="1260" ht="19.5" customHeight="1" x14ac:dyDescent="0.25"/>
    <row r="1261" ht="19.5" customHeight="1" x14ac:dyDescent="0.25"/>
    <row r="1262" ht="19.5" customHeight="1" x14ac:dyDescent="0.25"/>
    <row r="1263" ht="19.5" customHeight="1" x14ac:dyDescent="0.25"/>
    <row r="1264" ht="19.5" customHeight="1" x14ac:dyDescent="0.25"/>
    <row r="1265" ht="19.5" customHeight="1" x14ac:dyDescent="0.25"/>
    <row r="1266" ht="19.5" customHeight="1" x14ac:dyDescent="0.25"/>
    <row r="1267" ht="19.5" customHeight="1" x14ac:dyDescent="0.25"/>
    <row r="1268" ht="19.5" customHeight="1" x14ac:dyDescent="0.25"/>
    <row r="1269" ht="19.5" customHeight="1" x14ac:dyDescent="0.25"/>
    <row r="1270" ht="19.5" customHeight="1" x14ac:dyDescent="0.25"/>
    <row r="1271" ht="19.5" customHeight="1" x14ac:dyDescent="0.25"/>
    <row r="1272" ht="19.5" customHeight="1" x14ac:dyDescent="0.25"/>
    <row r="1273" ht="19.5" customHeight="1" x14ac:dyDescent="0.25"/>
    <row r="1274" ht="19.5" customHeight="1" x14ac:dyDescent="0.25"/>
    <row r="1275" ht="19.5" customHeight="1" x14ac:dyDescent="0.25"/>
    <row r="1276" ht="19.5" customHeight="1" x14ac:dyDescent="0.25"/>
    <row r="1277" ht="19.5" customHeight="1" x14ac:dyDescent="0.25"/>
    <row r="1278" ht="19.5" customHeight="1" x14ac:dyDescent="0.25"/>
    <row r="1279" ht="19.5" customHeight="1" x14ac:dyDescent="0.25"/>
    <row r="1280" ht="19.5" customHeight="1" x14ac:dyDescent="0.25"/>
    <row r="1281" ht="19.5" customHeight="1" x14ac:dyDescent="0.25"/>
    <row r="1282" ht="19.5" customHeight="1" x14ac:dyDescent="0.25"/>
    <row r="1283" ht="19.5" customHeight="1" x14ac:dyDescent="0.25"/>
    <row r="1284" ht="19.5" customHeight="1" x14ac:dyDescent="0.25"/>
    <row r="1285" ht="19.5" customHeight="1" x14ac:dyDescent="0.25"/>
    <row r="1286" ht="19.5" customHeight="1" x14ac:dyDescent="0.25"/>
    <row r="1287" ht="19.5" customHeight="1" x14ac:dyDescent="0.25"/>
    <row r="1288" ht="19.5" customHeight="1" x14ac:dyDescent="0.25"/>
    <row r="1289" ht="19.5" customHeight="1" x14ac:dyDescent="0.25"/>
    <row r="1290" ht="19.5" customHeight="1" x14ac:dyDescent="0.25"/>
    <row r="1291" ht="19.5" customHeight="1" x14ac:dyDescent="0.25"/>
    <row r="1292" ht="19.5" customHeight="1" x14ac:dyDescent="0.25"/>
    <row r="1293" ht="19.5" customHeight="1" x14ac:dyDescent="0.25"/>
    <row r="1294" ht="19.5" customHeight="1" x14ac:dyDescent="0.25"/>
    <row r="1295" ht="19.5" customHeight="1" x14ac:dyDescent="0.25"/>
    <row r="1296" ht="19.5" customHeight="1" x14ac:dyDescent="0.25"/>
    <row r="1297" ht="19.5" customHeight="1" x14ac:dyDescent="0.25"/>
    <row r="1298" ht="19.5" customHeight="1" x14ac:dyDescent="0.25"/>
    <row r="1299" ht="19.5" customHeight="1" x14ac:dyDescent="0.25"/>
    <row r="1300" ht="19.5" customHeight="1" x14ac:dyDescent="0.25"/>
    <row r="1301" ht="19.5" customHeight="1" x14ac:dyDescent="0.25"/>
    <row r="1302" ht="19.5" customHeight="1" x14ac:dyDescent="0.25"/>
    <row r="1303" ht="19.5" customHeight="1" x14ac:dyDescent="0.25"/>
    <row r="1304" ht="19.5" customHeight="1" x14ac:dyDescent="0.25"/>
    <row r="1305" ht="19.5" customHeight="1" x14ac:dyDescent="0.25"/>
    <row r="1306" ht="19.5" customHeight="1" x14ac:dyDescent="0.25"/>
    <row r="1307" ht="19.5" customHeight="1" x14ac:dyDescent="0.25"/>
    <row r="1308" ht="19.5" customHeight="1" x14ac:dyDescent="0.25"/>
    <row r="1309" ht="19.5" customHeight="1" x14ac:dyDescent="0.25"/>
    <row r="1310" ht="19.5" customHeight="1" x14ac:dyDescent="0.25"/>
    <row r="1311" ht="19.5" customHeight="1" x14ac:dyDescent="0.25"/>
    <row r="1312" ht="19.5" customHeight="1" x14ac:dyDescent="0.25"/>
    <row r="1313" ht="19.5" customHeight="1" x14ac:dyDescent="0.25"/>
    <row r="1314" ht="19.5" customHeight="1" x14ac:dyDescent="0.25"/>
    <row r="1315" ht="19.5" customHeight="1" x14ac:dyDescent="0.25"/>
    <row r="1316" ht="19.5" customHeight="1" x14ac:dyDescent="0.25"/>
    <row r="1317" ht="19.5" customHeight="1" x14ac:dyDescent="0.25"/>
    <row r="1318" ht="19.5" customHeight="1" x14ac:dyDescent="0.25"/>
    <row r="1319" ht="19.5" customHeight="1" x14ac:dyDescent="0.25"/>
    <row r="1320" ht="19.5" customHeight="1" x14ac:dyDescent="0.25"/>
    <row r="1321" ht="19.5" customHeight="1" x14ac:dyDescent="0.25"/>
    <row r="1322" ht="19.5" customHeight="1" x14ac:dyDescent="0.25"/>
    <row r="1323" ht="19.5" customHeight="1" x14ac:dyDescent="0.25"/>
    <row r="1324" ht="19.5" customHeight="1" x14ac:dyDescent="0.25"/>
    <row r="1325" ht="19.5" customHeight="1" x14ac:dyDescent="0.25"/>
    <row r="1326" ht="19.5" customHeight="1" x14ac:dyDescent="0.25"/>
    <row r="1327" ht="19.5" customHeight="1" x14ac:dyDescent="0.25"/>
    <row r="1328" ht="19.5" customHeight="1" x14ac:dyDescent="0.25"/>
    <row r="1329" ht="19.5" customHeight="1" x14ac:dyDescent="0.25"/>
    <row r="1330" ht="19.5" customHeight="1" x14ac:dyDescent="0.25"/>
    <row r="1331" ht="19.5" customHeight="1" x14ac:dyDescent="0.25"/>
    <row r="1332" ht="19.5" customHeight="1" x14ac:dyDescent="0.25"/>
    <row r="1333" ht="19.5" customHeight="1" x14ac:dyDescent="0.25"/>
    <row r="1334" ht="19.5" customHeight="1" x14ac:dyDescent="0.25"/>
    <row r="1335" ht="19.5" customHeight="1" x14ac:dyDescent="0.25"/>
    <row r="1336" ht="19.5" customHeight="1" x14ac:dyDescent="0.25"/>
    <row r="1337" ht="19.5" customHeight="1" x14ac:dyDescent="0.25"/>
    <row r="1338" ht="19.5" customHeight="1" x14ac:dyDescent="0.25"/>
    <row r="1339" ht="19.5" customHeight="1" x14ac:dyDescent="0.25"/>
    <row r="1340" ht="19.5" customHeight="1" x14ac:dyDescent="0.25"/>
    <row r="1341" ht="19.5" customHeight="1" x14ac:dyDescent="0.25"/>
    <row r="1342" ht="19.5" customHeight="1" x14ac:dyDescent="0.25"/>
    <row r="1343" ht="19.5" customHeight="1" x14ac:dyDescent="0.25"/>
    <row r="1344" ht="19.5" customHeight="1" x14ac:dyDescent="0.25"/>
    <row r="1345" ht="19.5" customHeight="1" x14ac:dyDescent="0.25"/>
    <row r="1346" ht="19.5" customHeight="1" x14ac:dyDescent="0.25"/>
    <row r="1347" ht="19.5" customHeight="1" x14ac:dyDescent="0.25"/>
    <row r="1348" ht="19.5" customHeight="1" x14ac:dyDescent="0.25"/>
    <row r="1349" ht="19.5" customHeight="1" x14ac:dyDescent="0.25"/>
    <row r="1350" ht="19.5" customHeight="1" x14ac:dyDescent="0.25"/>
    <row r="1351" ht="19.5" customHeight="1" x14ac:dyDescent="0.25"/>
    <row r="1352" ht="19.5" customHeight="1" x14ac:dyDescent="0.25"/>
    <row r="1353" ht="19.5" customHeight="1" x14ac:dyDescent="0.25"/>
    <row r="1354" ht="19.5" customHeight="1" x14ac:dyDescent="0.25"/>
    <row r="1355" ht="19.5" customHeight="1" x14ac:dyDescent="0.25"/>
    <row r="1356" ht="19.5" customHeight="1" x14ac:dyDescent="0.25"/>
    <row r="1357" ht="19.5" customHeight="1" x14ac:dyDescent="0.25"/>
    <row r="1358" ht="19.5" customHeight="1" x14ac:dyDescent="0.25"/>
    <row r="1359" ht="19.5" customHeight="1" x14ac:dyDescent="0.25"/>
    <row r="1360" ht="19.5" customHeight="1" x14ac:dyDescent="0.25"/>
    <row r="1361" ht="19.5" customHeight="1" x14ac:dyDescent="0.25"/>
    <row r="1362" ht="19.5" customHeight="1" x14ac:dyDescent="0.25"/>
    <row r="1363" ht="19.5" customHeight="1" x14ac:dyDescent="0.25"/>
    <row r="1364" ht="19.5" customHeight="1" x14ac:dyDescent="0.25"/>
    <row r="1365" ht="19.5" customHeight="1" x14ac:dyDescent="0.25"/>
    <row r="1366" ht="19.5" customHeight="1" x14ac:dyDescent="0.25"/>
    <row r="1367" ht="19.5" customHeight="1" x14ac:dyDescent="0.25"/>
    <row r="1368" ht="19.5" customHeight="1" x14ac:dyDescent="0.25"/>
    <row r="1369" ht="19.5" customHeight="1" x14ac:dyDescent="0.25"/>
    <row r="1370" ht="19.5" customHeight="1" x14ac:dyDescent="0.25"/>
    <row r="1371" ht="19.5" customHeight="1" x14ac:dyDescent="0.25"/>
    <row r="1372" ht="19.5" customHeight="1" x14ac:dyDescent="0.25"/>
    <row r="1373" ht="19.5" customHeight="1" x14ac:dyDescent="0.25"/>
    <row r="1374" ht="19.5" customHeight="1" x14ac:dyDescent="0.25"/>
    <row r="1375" ht="19.5" customHeight="1" x14ac:dyDescent="0.25"/>
    <row r="1376" ht="19.5" customHeight="1" x14ac:dyDescent="0.25"/>
    <row r="1377" ht="19.5" customHeight="1" x14ac:dyDescent="0.25"/>
    <row r="1378" ht="19.5" customHeight="1" x14ac:dyDescent="0.25"/>
    <row r="1379" ht="19.5" customHeight="1" x14ac:dyDescent="0.25"/>
    <row r="1380" ht="19.5" customHeight="1" x14ac:dyDescent="0.25"/>
    <row r="1381" ht="19.5" customHeight="1" x14ac:dyDescent="0.25"/>
    <row r="1382" ht="19.5" customHeight="1" x14ac:dyDescent="0.25"/>
    <row r="1383" ht="19.5" customHeight="1" x14ac:dyDescent="0.25"/>
    <row r="1384" ht="19.5" customHeight="1" x14ac:dyDescent="0.25"/>
    <row r="1385" ht="19.5" customHeight="1" x14ac:dyDescent="0.25"/>
    <row r="1386" ht="19.5" customHeight="1" x14ac:dyDescent="0.25"/>
    <row r="1387" ht="19.5" customHeight="1" x14ac:dyDescent="0.25"/>
    <row r="1388" ht="19.5" customHeight="1" x14ac:dyDescent="0.25"/>
    <row r="1389" ht="19.5" customHeight="1" x14ac:dyDescent="0.25"/>
    <row r="1390" ht="19.5" customHeight="1" x14ac:dyDescent="0.25"/>
    <row r="1391" ht="19.5" customHeight="1" x14ac:dyDescent="0.25"/>
    <row r="1392" ht="19.5" customHeight="1" x14ac:dyDescent="0.25"/>
    <row r="1393" ht="19.5" customHeight="1" x14ac:dyDescent="0.25"/>
    <row r="1394" ht="19.5" customHeight="1" x14ac:dyDescent="0.25"/>
    <row r="1395" ht="19.5" customHeight="1" x14ac:dyDescent="0.25"/>
    <row r="1396" ht="19.5" customHeight="1" x14ac:dyDescent="0.25"/>
    <row r="1397" ht="19.5" customHeight="1" x14ac:dyDescent="0.25"/>
    <row r="1398" ht="19.5" customHeight="1" x14ac:dyDescent="0.25"/>
    <row r="1399" ht="19.5" customHeight="1" x14ac:dyDescent="0.25"/>
    <row r="1400" ht="19.5" customHeight="1" x14ac:dyDescent="0.25"/>
    <row r="1401" ht="19.5" customHeight="1" x14ac:dyDescent="0.25"/>
    <row r="1402" ht="19.5" customHeight="1" x14ac:dyDescent="0.25"/>
    <row r="1403" ht="19.5" customHeight="1" x14ac:dyDescent="0.25"/>
    <row r="1404" ht="19.5" customHeight="1" x14ac:dyDescent="0.25"/>
    <row r="1405" ht="19.5" customHeight="1" x14ac:dyDescent="0.25"/>
    <row r="1406" ht="19.5" customHeight="1" x14ac:dyDescent="0.25"/>
    <row r="1407" ht="19.5" customHeight="1" x14ac:dyDescent="0.25"/>
    <row r="1408" ht="19.5" customHeight="1" x14ac:dyDescent="0.25"/>
    <row r="1409" ht="19.5" customHeight="1" x14ac:dyDescent="0.25"/>
    <row r="1410" ht="19.5" customHeight="1" x14ac:dyDescent="0.25"/>
    <row r="1411" ht="19.5" customHeight="1" x14ac:dyDescent="0.25"/>
    <row r="1412" ht="19.5" customHeight="1" x14ac:dyDescent="0.25"/>
    <row r="1413" ht="19.5" customHeight="1" x14ac:dyDescent="0.25"/>
    <row r="1414" ht="19.5" customHeight="1" x14ac:dyDescent="0.25"/>
    <row r="1415" ht="19.5" customHeight="1" x14ac:dyDescent="0.25"/>
    <row r="1416" ht="19.5" customHeight="1" x14ac:dyDescent="0.25"/>
    <row r="1417" ht="19.5" customHeight="1" x14ac:dyDescent="0.25"/>
    <row r="1418" ht="19.5" customHeight="1" x14ac:dyDescent="0.25"/>
    <row r="1419" ht="19.5" customHeight="1" x14ac:dyDescent="0.25"/>
    <row r="1420" ht="19.5" customHeight="1" x14ac:dyDescent="0.25"/>
    <row r="1421" ht="19.5" customHeight="1" x14ac:dyDescent="0.25"/>
    <row r="1422" ht="19.5" customHeight="1" x14ac:dyDescent="0.25"/>
    <row r="1423" ht="19.5" customHeight="1" x14ac:dyDescent="0.25"/>
    <row r="1424" ht="19.5" customHeight="1" x14ac:dyDescent="0.25"/>
    <row r="1425" ht="19.5" customHeight="1" x14ac:dyDescent="0.25"/>
    <row r="1426" ht="19.5" customHeight="1" x14ac:dyDescent="0.25"/>
    <row r="1427" ht="19.5" customHeight="1" x14ac:dyDescent="0.25"/>
    <row r="1428" ht="19.5" customHeight="1" x14ac:dyDescent="0.25"/>
    <row r="1429" ht="19.5" customHeight="1" x14ac:dyDescent="0.25"/>
    <row r="1430" ht="19.5" customHeight="1" x14ac:dyDescent="0.25"/>
    <row r="1431" ht="19.5" customHeight="1" x14ac:dyDescent="0.25"/>
    <row r="1432" ht="19.5" customHeight="1" x14ac:dyDescent="0.25"/>
    <row r="1433" ht="19.5" customHeight="1" x14ac:dyDescent="0.25"/>
    <row r="1434" ht="19.5" customHeight="1" x14ac:dyDescent="0.25"/>
    <row r="1435" ht="19.5" customHeight="1" x14ac:dyDescent="0.25"/>
    <row r="1436" ht="19.5" customHeight="1" x14ac:dyDescent="0.25"/>
    <row r="1437" ht="19.5" customHeight="1" x14ac:dyDescent="0.25"/>
    <row r="1438" ht="19.5" customHeight="1" x14ac:dyDescent="0.25"/>
    <row r="1439" ht="19.5" customHeight="1" x14ac:dyDescent="0.25"/>
    <row r="1440" ht="19.5" customHeight="1" x14ac:dyDescent="0.25"/>
    <row r="1441" ht="19.5" customHeight="1" x14ac:dyDescent="0.25"/>
    <row r="1442" ht="19.5" customHeight="1" x14ac:dyDescent="0.25"/>
    <row r="1443" ht="19.5" customHeight="1" x14ac:dyDescent="0.25"/>
    <row r="1444" ht="19.5" customHeight="1" x14ac:dyDescent="0.25"/>
    <row r="1445" ht="19.5" customHeight="1" x14ac:dyDescent="0.25"/>
    <row r="1446" ht="19.5" customHeight="1" x14ac:dyDescent="0.25"/>
    <row r="1447" ht="19.5" customHeight="1" x14ac:dyDescent="0.25"/>
    <row r="1448" ht="19.5" customHeight="1" x14ac:dyDescent="0.25"/>
    <row r="1449" ht="19.5" customHeight="1" x14ac:dyDescent="0.25"/>
    <row r="1450" ht="19.5" customHeight="1" x14ac:dyDescent="0.25"/>
    <row r="1451" ht="19.5" customHeight="1" x14ac:dyDescent="0.25"/>
    <row r="1452" ht="19.5" customHeight="1" x14ac:dyDescent="0.25"/>
    <row r="1453" ht="19.5" customHeight="1" x14ac:dyDescent="0.25"/>
    <row r="1454" ht="19.5" customHeight="1" x14ac:dyDescent="0.25"/>
    <row r="1455" ht="19.5" customHeight="1" x14ac:dyDescent="0.25"/>
    <row r="1456" ht="19.5" customHeight="1" x14ac:dyDescent="0.25"/>
    <row r="1457" ht="19.5" customHeight="1" x14ac:dyDescent="0.25"/>
    <row r="1458" ht="19.5" customHeight="1" x14ac:dyDescent="0.25"/>
    <row r="1459" ht="19.5" customHeight="1" x14ac:dyDescent="0.25"/>
    <row r="1460" ht="19.5" customHeight="1" x14ac:dyDescent="0.25"/>
    <row r="1461" ht="19.5" customHeight="1" x14ac:dyDescent="0.25"/>
    <row r="1462" ht="19.5" customHeight="1" x14ac:dyDescent="0.25"/>
    <row r="1463" ht="19.5" customHeight="1" x14ac:dyDescent="0.25"/>
    <row r="1464" ht="19.5" customHeight="1" x14ac:dyDescent="0.25"/>
    <row r="1465" ht="19.5" customHeight="1" x14ac:dyDescent="0.25"/>
    <row r="1466" ht="19.5" customHeight="1" x14ac:dyDescent="0.25"/>
    <row r="1467" ht="19.5" customHeight="1" x14ac:dyDescent="0.25"/>
    <row r="1468" ht="19.5" customHeight="1" x14ac:dyDescent="0.25"/>
    <row r="1469" ht="19.5" customHeight="1" x14ac:dyDescent="0.25"/>
    <row r="1470" ht="19.5" customHeight="1" x14ac:dyDescent="0.25"/>
    <row r="1471" ht="19.5" customHeight="1" x14ac:dyDescent="0.25"/>
    <row r="1472" ht="19.5" customHeight="1" x14ac:dyDescent="0.25"/>
    <row r="1473" ht="19.5" customHeight="1" x14ac:dyDescent="0.25"/>
    <row r="1474" ht="19.5" customHeight="1" x14ac:dyDescent="0.25"/>
    <row r="1475" ht="19.5" customHeight="1" x14ac:dyDescent="0.25"/>
    <row r="1476" ht="19.5" customHeight="1" x14ac:dyDescent="0.25"/>
    <row r="1477" ht="19.5" customHeight="1" x14ac:dyDescent="0.25"/>
    <row r="1478" ht="19.5" customHeight="1" x14ac:dyDescent="0.25"/>
    <row r="1479" ht="19.5" customHeight="1" x14ac:dyDescent="0.25"/>
    <row r="1480" ht="19.5" customHeight="1" x14ac:dyDescent="0.25"/>
    <row r="1481" ht="19.5" customHeight="1" x14ac:dyDescent="0.25"/>
    <row r="1482" ht="19.5" customHeight="1" x14ac:dyDescent="0.25"/>
    <row r="1483" ht="19.5" customHeight="1" x14ac:dyDescent="0.25"/>
    <row r="1484" ht="19.5" customHeight="1" x14ac:dyDescent="0.25"/>
    <row r="1485" ht="19.5" customHeight="1" x14ac:dyDescent="0.25"/>
    <row r="1486" ht="19.5" customHeight="1" x14ac:dyDescent="0.25"/>
    <row r="1487" ht="19.5" customHeight="1" x14ac:dyDescent="0.25"/>
    <row r="1488" ht="19.5" customHeight="1" x14ac:dyDescent="0.25"/>
    <row r="1489" ht="19.5" customHeight="1" x14ac:dyDescent="0.25"/>
    <row r="1490" ht="19.5" customHeight="1" x14ac:dyDescent="0.25"/>
    <row r="1491" ht="19.5" customHeight="1" x14ac:dyDescent="0.25"/>
    <row r="1492" ht="19.5" customHeight="1" x14ac:dyDescent="0.25"/>
    <row r="1493" ht="19.5" customHeight="1" x14ac:dyDescent="0.25"/>
    <row r="1494" ht="19.5" customHeight="1" x14ac:dyDescent="0.25"/>
    <row r="1495" ht="19.5" customHeight="1" x14ac:dyDescent="0.25"/>
    <row r="1496" ht="19.5" customHeight="1" x14ac:dyDescent="0.25"/>
    <row r="1497" ht="19.5" customHeight="1" x14ac:dyDescent="0.25"/>
    <row r="1498" ht="19.5" customHeight="1" x14ac:dyDescent="0.25"/>
    <row r="1499" ht="19.5" customHeight="1" x14ac:dyDescent="0.25"/>
    <row r="1500" ht="19.5" customHeight="1" x14ac:dyDescent="0.25"/>
    <row r="1501" ht="19.5" customHeight="1" x14ac:dyDescent="0.25"/>
    <row r="1502" ht="19.5" customHeight="1" x14ac:dyDescent="0.25"/>
    <row r="1503" ht="19.5" customHeight="1" x14ac:dyDescent="0.25"/>
    <row r="1504" ht="19.5" customHeight="1" x14ac:dyDescent="0.25"/>
    <row r="1505" ht="19.5" customHeight="1" x14ac:dyDescent="0.25"/>
    <row r="1506" ht="19.5" customHeight="1" x14ac:dyDescent="0.25"/>
    <row r="1507" ht="19.5" customHeight="1" x14ac:dyDescent="0.25"/>
    <row r="1508" ht="19.5" customHeight="1" x14ac:dyDescent="0.25"/>
    <row r="1509" ht="19.5" customHeight="1" x14ac:dyDescent="0.25"/>
    <row r="1510" ht="19.5" customHeight="1" x14ac:dyDescent="0.25"/>
    <row r="1511" ht="19.5" customHeight="1" x14ac:dyDescent="0.25"/>
    <row r="1512" ht="19.5" customHeight="1" x14ac:dyDescent="0.25"/>
    <row r="1513" ht="19.5" customHeight="1" x14ac:dyDescent="0.25"/>
    <row r="1514" ht="19.5" customHeight="1" x14ac:dyDescent="0.25"/>
    <row r="1515" ht="19.5" customHeight="1" x14ac:dyDescent="0.25"/>
    <row r="1516" ht="19.5" customHeight="1" x14ac:dyDescent="0.25"/>
    <row r="1517" ht="19.5" customHeight="1" x14ac:dyDescent="0.25"/>
    <row r="1518" ht="19.5" customHeight="1" x14ac:dyDescent="0.25"/>
    <row r="1519" ht="19.5" customHeight="1" x14ac:dyDescent="0.25"/>
    <row r="1520" ht="19.5" customHeight="1" x14ac:dyDescent="0.25"/>
    <row r="1521" ht="19.5" customHeight="1" x14ac:dyDescent="0.25"/>
    <row r="1522" ht="19.5" customHeight="1" x14ac:dyDescent="0.25"/>
    <row r="1523" ht="19.5" customHeight="1" x14ac:dyDescent="0.25"/>
    <row r="1524" ht="19.5" customHeight="1" x14ac:dyDescent="0.25"/>
    <row r="1525" ht="19.5" customHeight="1" x14ac:dyDescent="0.25"/>
    <row r="1526" ht="19.5" customHeight="1" x14ac:dyDescent="0.25"/>
    <row r="1527" ht="19.5" customHeight="1" x14ac:dyDescent="0.25"/>
    <row r="1528" ht="19.5" customHeight="1" x14ac:dyDescent="0.25"/>
    <row r="1529" ht="19.5" customHeight="1" x14ac:dyDescent="0.25"/>
    <row r="1530" ht="19.5" customHeight="1" x14ac:dyDescent="0.25"/>
    <row r="1531" ht="19.5" customHeight="1" x14ac:dyDescent="0.25"/>
    <row r="1532" ht="19.5" customHeight="1" x14ac:dyDescent="0.25"/>
    <row r="1533" ht="19.5" customHeight="1" x14ac:dyDescent="0.25"/>
    <row r="1534" ht="19.5" customHeight="1" x14ac:dyDescent="0.25"/>
    <row r="1535" ht="19.5" customHeight="1" x14ac:dyDescent="0.25"/>
    <row r="1536" ht="19.5" customHeight="1" x14ac:dyDescent="0.25"/>
    <row r="1537" ht="19.5" customHeight="1" x14ac:dyDescent="0.25"/>
    <row r="1538" ht="19.5" customHeight="1" x14ac:dyDescent="0.25"/>
    <row r="1539" ht="19.5" customHeight="1" x14ac:dyDescent="0.25"/>
    <row r="1540" ht="19.5" customHeight="1" x14ac:dyDescent="0.25"/>
    <row r="1541" ht="19.5" customHeight="1" x14ac:dyDescent="0.25"/>
    <row r="1542" ht="19.5" customHeight="1" x14ac:dyDescent="0.25"/>
    <row r="1543" ht="19.5" customHeight="1" x14ac:dyDescent="0.25"/>
    <row r="1544" ht="19.5" customHeight="1" x14ac:dyDescent="0.25"/>
    <row r="1545" ht="19.5" customHeight="1" x14ac:dyDescent="0.25"/>
    <row r="1546" ht="19.5" customHeight="1" x14ac:dyDescent="0.25"/>
    <row r="1547" ht="19.5" customHeight="1" x14ac:dyDescent="0.25"/>
    <row r="1548" ht="19.5" customHeight="1" x14ac:dyDescent="0.25"/>
    <row r="1549" ht="19.5" customHeight="1" x14ac:dyDescent="0.25"/>
    <row r="1550" ht="19.5" customHeight="1" x14ac:dyDescent="0.25"/>
    <row r="1551" ht="19.5" customHeight="1" x14ac:dyDescent="0.25"/>
    <row r="1552" ht="19.5" customHeight="1" x14ac:dyDescent="0.25"/>
    <row r="1553" ht="19.5" customHeight="1" x14ac:dyDescent="0.25"/>
    <row r="1554" ht="19.5" customHeight="1" x14ac:dyDescent="0.25"/>
    <row r="1555" ht="19.5" customHeight="1" x14ac:dyDescent="0.25"/>
    <row r="1556" ht="19.5" customHeight="1" x14ac:dyDescent="0.25"/>
    <row r="1557" ht="19.5" customHeight="1" x14ac:dyDescent="0.25"/>
    <row r="1558" ht="19.5" customHeight="1" x14ac:dyDescent="0.25"/>
    <row r="1559" ht="19.5" customHeight="1" x14ac:dyDescent="0.25"/>
    <row r="1560" ht="19.5" customHeight="1" x14ac:dyDescent="0.25"/>
    <row r="1561" ht="19.5" customHeight="1" x14ac:dyDescent="0.25"/>
    <row r="1562" ht="19.5" customHeight="1" x14ac:dyDescent="0.25"/>
    <row r="1563" ht="19.5" customHeight="1" x14ac:dyDescent="0.25"/>
    <row r="1564" ht="19.5" customHeight="1" x14ac:dyDescent="0.25"/>
    <row r="1565" ht="19.5" customHeight="1" x14ac:dyDescent="0.25"/>
    <row r="1566" ht="19.5" customHeight="1" x14ac:dyDescent="0.25"/>
    <row r="1567" ht="19.5" customHeight="1" x14ac:dyDescent="0.25"/>
    <row r="1568" ht="19.5" customHeight="1" x14ac:dyDescent="0.25"/>
    <row r="1569" ht="19.5" customHeight="1" x14ac:dyDescent="0.25"/>
    <row r="1570" ht="19.5" customHeight="1" x14ac:dyDescent="0.25"/>
    <row r="1571" ht="19.5" customHeight="1" x14ac:dyDescent="0.25"/>
    <row r="1572" ht="19.5" customHeight="1" x14ac:dyDescent="0.25"/>
    <row r="1573" ht="19.5" customHeight="1" x14ac:dyDescent="0.25"/>
    <row r="1574" ht="19.5" customHeight="1" x14ac:dyDescent="0.25"/>
    <row r="1575" ht="19.5" customHeight="1" x14ac:dyDescent="0.25"/>
    <row r="1576" ht="19.5" customHeight="1" x14ac:dyDescent="0.25"/>
    <row r="1577" ht="19.5" customHeight="1" x14ac:dyDescent="0.25"/>
    <row r="1578" ht="19.5" customHeight="1" x14ac:dyDescent="0.25"/>
    <row r="1579" ht="19.5" customHeight="1" x14ac:dyDescent="0.25"/>
    <row r="1580" ht="19.5" customHeight="1" x14ac:dyDescent="0.25"/>
    <row r="1581" ht="19.5" customHeight="1" x14ac:dyDescent="0.25"/>
    <row r="1582" ht="19.5" customHeight="1" x14ac:dyDescent="0.25"/>
    <row r="1583" ht="19.5" customHeight="1" x14ac:dyDescent="0.25"/>
    <row r="1584" ht="19.5" customHeight="1" x14ac:dyDescent="0.25"/>
    <row r="1585" ht="19.5" customHeight="1" x14ac:dyDescent="0.25"/>
    <row r="1586" ht="19.5" customHeight="1" x14ac:dyDescent="0.25"/>
    <row r="1587" ht="19.5" customHeight="1" x14ac:dyDescent="0.25"/>
    <row r="1588" ht="19.5" customHeight="1" x14ac:dyDescent="0.25"/>
    <row r="1589" ht="19.5" customHeight="1" x14ac:dyDescent="0.25"/>
    <row r="1590" ht="19.5" customHeight="1" x14ac:dyDescent="0.25"/>
    <row r="1591" ht="19.5" customHeight="1" x14ac:dyDescent="0.25"/>
    <row r="1592" ht="19.5" customHeight="1" x14ac:dyDescent="0.25"/>
    <row r="1593" ht="19.5" customHeight="1" x14ac:dyDescent="0.25"/>
    <row r="1594" ht="19.5" customHeight="1" x14ac:dyDescent="0.25"/>
    <row r="1595" ht="19.5" customHeight="1" x14ac:dyDescent="0.25"/>
    <row r="1596" ht="19.5" customHeight="1" x14ac:dyDescent="0.25"/>
    <row r="1597" ht="19.5" customHeight="1" x14ac:dyDescent="0.25"/>
    <row r="1598" ht="19.5" customHeight="1" x14ac:dyDescent="0.25"/>
    <row r="1599" ht="19.5" customHeight="1" x14ac:dyDescent="0.25"/>
    <row r="1600" ht="19.5" customHeight="1" x14ac:dyDescent="0.25"/>
    <row r="1601" ht="19.5" customHeight="1" x14ac:dyDescent="0.25"/>
    <row r="1602" ht="19.5" customHeight="1" x14ac:dyDescent="0.25"/>
    <row r="1603" ht="19.5" customHeight="1" x14ac:dyDescent="0.25"/>
    <row r="1604" ht="19.5" customHeight="1" x14ac:dyDescent="0.25"/>
    <row r="1605" ht="19.5" customHeight="1" x14ac:dyDescent="0.25"/>
    <row r="1606" ht="19.5" customHeight="1" x14ac:dyDescent="0.25"/>
    <row r="1607" ht="19.5" customHeight="1" x14ac:dyDescent="0.25"/>
    <row r="1608" ht="19.5" customHeight="1" x14ac:dyDescent="0.25"/>
    <row r="1609" ht="19.5" customHeight="1" x14ac:dyDescent="0.25"/>
    <row r="1610" ht="19.5" customHeight="1" x14ac:dyDescent="0.25"/>
    <row r="1611" ht="19.5" customHeight="1" x14ac:dyDescent="0.25"/>
    <row r="1612" ht="19.5" customHeight="1" x14ac:dyDescent="0.25"/>
    <row r="1613" ht="19.5" customHeight="1" x14ac:dyDescent="0.25"/>
    <row r="1614" ht="19.5" customHeight="1" x14ac:dyDescent="0.25"/>
    <row r="1615" ht="19.5" customHeight="1" x14ac:dyDescent="0.25"/>
    <row r="1616" ht="19.5" customHeight="1" x14ac:dyDescent="0.25"/>
    <row r="1617" ht="19.5" customHeight="1" x14ac:dyDescent="0.25"/>
    <row r="1618" ht="19.5" customHeight="1" x14ac:dyDescent="0.25"/>
    <row r="1619" ht="19.5" customHeight="1" x14ac:dyDescent="0.25"/>
    <row r="1620" ht="19.5" customHeight="1" x14ac:dyDescent="0.25"/>
    <row r="1621" ht="19.5" customHeight="1" x14ac:dyDescent="0.25"/>
    <row r="1622" ht="19.5" customHeight="1" x14ac:dyDescent="0.25"/>
    <row r="1623" ht="19.5" customHeight="1" x14ac:dyDescent="0.25"/>
    <row r="1624" ht="19.5" customHeight="1" x14ac:dyDescent="0.25"/>
    <row r="1625" ht="19.5" customHeight="1" x14ac:dyDescent="0.25"/>
    <row r="1626" ht="19.5" customHeight="1" x14ac:dyDescent="0.25"/>
    <row r="1627" ht="19.5" customHeight="1" x14ac:dyDescent="0.25"/>
    <row r="1628" ht="19.5" customHeight="1" x14ac:dyDescent="0.25"/>
    <row r="1629" ht="19.5" customHeight="1" x14ac:dyDescent="0.25"/>
    <row r="1630" ht="19.5" customHeight="1" x14ac:dyDescent="0.25"/>
    <row r="1631" ht="19.5" customHeight="1" x14ac:dyDescent="0.25"/>
    <row r="1632" ht="19.5" customHeight="1" x14ac:dyDescent="0.25"/>
    <row r="1633" ht="19.5" customHeight="1" x14ac:dyDescent="0.25"/>
    <row r="1634" ht="19.5" customHeight="1" x14ac:dyDescent="0.25"/>
    <row r="1635" ht="19.5" customHeight="1" x14ac:dyDescent="0.25"/>
    <row r="1636" ht="19.5" customHeight="1" x14ac:dyDescent="0.25"/>
    <row r="1637" ht="19.5" customHeight="1" x14ac:dyDescent="0.25"/>
    <row r="1638" ht="19.5" customHeight="1" x14ac:dyDescent="0.25"/>
    <row r="1639" ht="19.5" customHeight="1" x14ac:dyDescent="0.25"/>
    <row r="1640" ht="19.5" customHeight="1" x14ac:dyDescent="0.25"/>
    <row r="1641" ht="19.5" customHeight="1" x14ac:dyDescent="0.25"/>
    <row r="1642" ht="19.5" customHeight="1" x14ac:dyDescent="0.25"/>
    <row r="1643" ht="19.5" customHeight="1" x14ac:dyDescent="0.25"/>
    <row r="1644" ht="19.5" customHeight="1" x14ac:dyDescent="0.25"/>
    <row r="1645" ht="19.5" customHeight="1" x14ac:dyDescent="0.25"/>
    <row r="1646" ht="19.5" customHeight="1" x14ac:dyDescent="0.25"/>
    <row r="1647" ht="19.5" customHeight="1" x14ac:dyDescent="0.25"/>
    <row r="1648" ht="19.5" customHeight="1" x14ac:dyDescent="0.25"/>
    <row r="1649" ht="19.5" customHeight="1" x14ac:dyDescent="0.25"/>
    <row r="1650" ht="19.5" customHeight="1" x14ac:dyDescent="0.25"/>
    <row r="1651" ht="19.5" customHeight="1" x14ac:dyDescent="0.25"/>
    <row r="1652" ht="19.5" customHeight="1" x14ac:dyDescent="0.25"/>
    <row r="1653" ht="19.5" customHeight="1" x14ac:dyDescent="0.25"/>
    <row r="1654" ht="19.5" customHeight="1" x14ac:dyDescent="0.25"/>
    <row r="1655" ht="19.5" customHeight="1" x14ac:dyDescent="0.25"/>
    <row r="1656" ht="19.5" customHeight="1" x14ac:dyDescent="0.25"/>
    <row r="1657" ht="19.5" customHeight="1" x14ac:dyDescent="0.25"/>
    <row r="1658" ht="19.5" customHeight="1" x14ac:dyDescent="0.25"/>
    <row r="1659" ht="19.5" customHeight="1" x14ac:dyDescent="0.25"/>
    <row r="1660" ht="19.5" customHeight="1" x14ac:dyDescent="0.25"/>
    <row r="1661" ht="19.5" customHeight="1" x14ac:dyDescent="0.25"/>
    <row r="1662" ht="19.5" customHeight="1" x14ac:dyDescent="0.25"/>
    <row r="1663" ht="19.5" customHeight="1" x14ac:dyDescent="0.25"/>
    <row r="1664" ht="19.5" customHeight="1" x14ac:dyDescent="0.25"/>
    <row r="1665" ht="19.5" customHeight="1" x14ac:dyDescent="0.25"/>
    <row r="1666" ht="19.5" customHeight="1" x14ac:dyDescent="0.25"/>
    <row r="1667" ht="19.5" customHeight="1" x14ac:dyDescent="0.25"/>
    <row r="1668" ht="19.5" customHeight="1" x14ac:dyDescent="0.25"/>
    <row r="1669" ht="19.5" customHeight="1" x14ac:dyDescent="0.25"/>
    <row r="1670" ht="19.5" customHeight="1" x14ac:dyDescent="0.25"/>
    <row r="1671" ht="19.5" customHeight="1" x14ac:dyDescent="0.25"/>
    <row r="1672" ht="19.5" customHeight="1" x14ac:dyDescent="0.25"/>
    <row r="1673" ht="19.5" customHeight="1" x14ac:dyDescent="0.25"/>
    <row r="1674" ht="19.5" customHeight="1" x14ac:dyDescent="0.25"/>
    <row r="1675" ht="19.5" customHeight="1" x14ac:dyDescent="0.25"/>
    <row r="1676" ht="19.5" customHeight="1" x14ac:dyDescent="0.25"/>
    <row r="1677" ht="19.5" customHeight="1" x14ac:dyDescent="0.25"/>
    <row r="1678" ht="19.5" customHeight="1" x14ac:dyDescent="0.25"/>
    <row r="1679" ht="19.5" customHeight="1" x14ac:dyDescent="0.25"/>
    <row r="1680" ht="19.5" customHeight="1" x14ac:dyDescent="0.25"/>
    <row r="1681" ht="19.5" customHeight="1" x14ac:dyDescent="0.25"/>
    <row r="1682" ht="19.5" customHeight="1" x14ac:dyDescent="0.25"/>
    <row r="1683" ht="19.5" customHeight="1" x14ac:dyDescent="0.25"/>
    <row r="1684" ht="19.5" customHeight="1" x14ac:dyDescent="0.25"/>
    <row r="1685" ht="19.5" customHeight="1" x14ac:dyDescent="0.25"/>
    <row r="1686" ht="19.5" customHeight="1" x14ac:dyDescent="0.25"/>
    <row r="1687" ht="19.5" customHeight="1" x14ac:dyDescent="0.25"/>
    <row r="1688" ht="19.5" customHeight="1" x14ac:dyDescent="0.25"/>
    <row r="1689" ht="19.5" customHeight="1" x14ac:dyDescent="0.25"/>
    <row r="1690" ht="19.5" customHeight="1" x14ac:dyDescent="0.25"/>
    <row r="1691" ht="19.5" customHeight="1" x14ac:dyDescent="0.25"/>
    <row r="1692" ht="19.5" customHeight="1" x14ac:dyDescent="0.25"/>
    <row r="1693" ht="19.5" customHeight="1" x14ac:dyDescent="0.25"/>
    <row r="1694" ht="19.5" customHeight="1" x14ac:dyDescent="0.25"/>
    <row r="1695" ht="19.5" customHeight="1" x14ac:dyDescent="0.25"/>
    <row r="1696" ht="19.5" customHeight="1" x14ac:dyDescent="0.25"/>
    <row r="1697" ht="19.5" customHeight="1" x14ac:dyDescent="0.25"/>
    <row r="1698" ht="19.5" customHeight="1" x14ac:dyDescent="0.25"/>
    <row r="1699" ht="19.5" customHeight="1" x14ac:dyDescent="0.25"/>
    <row r="1700" ht="19.5" customHeight="1" x14ac:dyDescent="0.25"/>
    <row r="1701" ht="19.5" customHeight="1" x14ac:dyDescent="0.25"/>
    <row r="1702" ht="19.5" customHeight="1" x14ac:dyDescent="0.25"/>
    <row r="1703" ht="19.5" customHeight="1" x14ac:dyDescent="0.25"/>
    <row r="1704" ht="19.5" customHeight="1" x14ac:dyDescent="0.25"/>
    <row r="1705" ht="19.5" customHeight="1" x14ac:dyDescent="0.25"/>
    <row r="1706" ht="19.5" customHeight="1" x14ac:dyDescent="0.25"/>
    <row r="1707" ht="19.5" customHeight="1" x14ac:dyDescent="0.25"/>
    <row r="1708" ht="19.5" customHeight="1" x14ac:dyDescent="0.25"/>
    <row r="1709" ht="19.5" customHeight="1" x14ac:dyDescent="0.25"/>
    <row r="1710" ht="19.5" customHeight="1" x14ac:dyDescent="0.25"/>
    <row r="1711" ht="19.5" customHeight="1" x14ac:dyDescent="0.25"/>
    <row r="1712" ht="19.5" customHeight="1" x14ac:dyDescent="0.25"/>
    <row r="1713" ht="19.5" customHeight="1" x14ac:dyDescent="0.25"/>
    <row r="1714" ht="19.5" customHeight="1" x14ac:dyDescent="0.25"/>
    <row r="1715" ht="19.5" customHeight="1" x14ac:dyDescent="0.25"/>
    <row r="1716" ht="19.5" customHeight="1" x14ac:dyDescent="0.25"/>
    <row r="1717" ht="19.5" customHeight="1" x14ac:dyDescent="0.25"/>
    <row r="1718" ht="19.5" customHeight="1" x14ac:dyDescent="0.25"/>
    <row r="1719" ht="19.5" customHeight="1" x14ac:dyDescent="0.25"/>
    <row r="1720" ht="19.5" customHeight="1" x14ac:dyDescent="0.25"/>
    <row r="1721" ht="19.5" customHeight="1" x14ac:dyDescent="0.25"/>
    <row r="1722" ht="19.5" customHeight="1" x14ac:dyDescent="0.25"/>
    <row r="1723" ht="19.5" customHeight="1" x14ac:dyDescent="0.25"/>
    <row r="1724" ht="19.5" customHeight="1" x14ac:dyDescent="0.25"/>
    <row r="1725" ht="19.5" customHeight="1" x14ac:dyDescent="0.25"/>
    <row r="1726" ht="19.5" customHeight="1" x14ac:dyDescent="0.25"/>
    <row r="1727" ht="19.5" customHeight="1" x14ac:dyDescent="0.25"/>
    <row r="1728" ht="19.5" customHeight="1" x14ac:dyDescent="0.25"/>
    <row r="1729" ht="19.5" customHeight="1" x14ac:dyDescent="0.25"/>
    <row r="1730" ht="19.5" customHeight="1" x14ac:dyDescent="0.25"/>
    <row r="1731" ht="19.5" customHeight="1" x14ac:dyDescent="0.25"/>
    <row r="1732" ht="19.5" customHeight="1" x14ac:dyDescent="0.25"/>
    <row r="1733" ht="19.5" customHeight="1" x14ac:dyDescent="0.25"/>
    <row r="1734" ht="19.5" customHeight="1" x14ac:dyDescent="0.25"/>
    <row r="1735" ht="19.5" customHeight="1" x14ac:dyDescent="0.25"/>
    <row r="1736" ht="19.5" customHeight="1" x14ac:dyDescent="0.25"/>
    <row r="1737" ht="19.5" customHeight="1" x14ac:dyDescent="0.25"/>
    <row r="1738" ht="19.5" customHeight="1" x14ac:dyDescent="0.25"/>
    <row r="1739" ht="19.5" customHeight="1" x14ac:dyDescent="0.25"/>
    <row r="1740" ht="19.5" customHeight="1" x14ac:dyDescent="0.25"/>
    <row r="1741" ht="19.5" customHeight="1" x14ac:dyDescent="0.25"/>
    <row r="1742" ht="19.5" customHeight="1" x14ac:dyDescent="0.25"/>
    <row r="1743" ht="19.5" customHeight="1" x14ac:dyDescent="0.25"/>
    <row r="1744" ht="19.5" customHeight="1" x14ac:dyDescent="0.25"/>
    <row r="1745" ht="19.5" customHeight="1" x14ac:dyDescent="0.25"/>
    <row r="1746" ht="19.5" customHeight="1" x14ac:dyDescent="0.25"/>
    <row r="1747" ht="19.5" customHeight="1" x14ac:dyDescent="0.25"/>
    <row r="1748" ht="19.5" customHeight="1" x14ac:dyDescent="0.25"/>
    <row r="1749" ht="19.5" customHeight="1" x14ac:dyDescent="0.25"/>
    <row r="1750" ht="19.5" customHeight="1" x14ac:dyDescent="0.25"/>
    <row r="1751" ht="19.5" customHeight="1" x14ac:dyDescent="0.25"/>
    <row r="1752" ht="19.5" customHeight="1" x14ac:dyDescent="0.25"/>
    <row r="1753" ht="19.5" customHeight="1" x14ac:dyDescent="0.25"/>
    <row r="1754" ht="19.5" customHeight="1" x14ac:dyDescent="0.25"/>
    <row r="1755" ht="19.5" customHeight="1" x14ac:dyDescent="0.25"/>
    <row r="1756" ht="19.5" customHeight="1" x14ac:dyDescent="0.25"/>
    <row r="1757" ht="19.5" customHeight="1" x14ac:dyDescent="0.25"/>
    <row r="1758" ht="19.5" customHeight="1" x14ac:dyDescent="0.25"/>
    <row r="1759" ht="19.5" customHeight="1" x14ac:dyDescent="0.25"/>
    <row r="1760" ht="19.5" customHeight="1" x14ac:dyDescent="0.25"/>
    <row r="1761" ht="19.5" customHeight="1" x14ac:dyDescent="0.25"/>
    <row r="1762" ht="19.5" customHeight="1" x14ac:dyDescent="0.25"/>
    <row r="1763" ht="19.5" customHeight="1" x14ac:dyDescent="0.25"/>
    <row r="1764" ht="19.5" customHeight="1" x14ac:dyDescent="0.25"/>
    <row r="1765" ht="19.5" customHeight="1" x14ac:dyDescent="0.25"/>
    <row r="1766" ht="19.5" customHeight="1" x14ac:dyDescent="0.25"/>
    <row r="1767" ht="19.5" customHeight="1" x14ac:dyDescent="0.25"/>
    <row r="1768" ht="19.5" customHeight="1" x14ac:dyDescent="0.25"/>
    <row r="1769" ht="19.5" customHeight="1" x14ac:dyDescent="0.25"/>
    <row r="1770" ht="19.5" customHeight="1" x14ac:dyDescent="0.25"/>
    <row r="1771" ht="19.5" customHeight="1" x14ac:dyDescent="0.25"/>
    <row r="1772" ht="19.5" customHeight="1" x14ac:dyDescent="0.25"/>
    <row r="1773" ht="19.5" customHeight="1" x14ac:dyDescent="0.25"/>
    <row r="1774" ht="19.5" customHeight="1" x14ac:dyDescent="0.25"/>
    <row r="1775" ht="19.5" customHeight="1" x14ac:dyDescent="0.25"/>
    <row r="1776" ht="19.5" customHeight="1" x14ac:dyDescent="0.25"/>
    <row r="1777" ht="19.5" customHeight="1" x14ac:dyDescent="0.25"/>
    <row r="1778" ht="19.5" customHeight="1" x14ac:dyDescent="0.25"/>
    <row r="1779" ht="19.5" customHeight="1" x14ac:dyDescent="0.25"/>
    <row r="1780" ht="19.5" customHeight="1" x14ac:dyDescent="0.25"/>
    <row r="1781" ht="19.5" customHeight="1" x14ac:dyDescent="0.25"/>
    <row r="1782" ht="19.5" customHeight="1" x14ac:dyDescent="0.25"/>
    <row r="1783" ht="19.5" customHeight="1" x14ac:dyDescent="0.25"/>
    <row r="1784" ht="19.5" customHeight="1" x14ac:dyDescent="0.25"/>
    <row r="1785" ht="19.5" customHeight="1" x14ac:dyDescent="0.25"/>
    <row r="1786" ht="19.5" customHeight="1" x14ac:dyDescent="0.25"/>
    <row r="1787" ht="19.5" customHeight="1" x14ac:dyDescent="0.25"/>
    <row r="1788" ht="19.5" customHeight="1" x14ac:dyDescent="0.25"/>
    <row r="1789" ht="19.5" customHeight="1" x14ac:dyDescent="0.25"/>
    <row r="1790" ht="19.5" customHeight="1" x14ac:dyDescent="0.25"/>
    <row r="1791" ht="19.5" customHeight="1" x14ac:dyDescent="0.25"/>
    <row r="1792" ht="19.5" customHeight="1" x14ac:dyDescent="0.25"/>
    <row r="1793" ht="19.5" customHeight="1" x14ac:dyDescent="0.25"/>
    <row r="1794" ht="19.5" customHeight="1" x14ac:dyDescent="0.25"/>
    <row r="1795" ht="19.5" customHeight="1" x14ac:dyDescent="0.25"/>
    <row r="1796" ht="19.5" customHeight="1" x14ac:dyDescent="0.25"/>
    <row r="1797" ht="19.5" customHeight="1" x14ac:dyDescent="0.25"/>
    <row r="1798" ht="19.5" customHeight="1" x14ac:dyDescent="0.25"/>
    <row r="1799" ht="19.5" customHeight="1" x14ac:dyDescent="0.25"/>
    <row r="1800" ht="19.5" customHeight="1" x14ac:dyDescent="0.25"/>
    <row r="1801" ht="19.5" customHeight="1" x14ac:dyDescent="0.25"/>
    <row r="1802" ht="19.5" customHeight="1" x14ac:dyDescent="0.25"/>
    <row r="1803" ht="19.5" customHeight="1" x14ac:dyDescent="0.25"/>
    <row r="1804" ht="19.5" customHeight="1" x14ac:dyDescent="0.25"/>
    <row r="1805" ht="19.5" customHeight="1" x14ac:dyDescent="0.25"/>
    <row r="1806" ht="19.5" customHeight="1" x14ac:dyDescent="0.25"/>
    <row r="1807" ht="19.5" customHeight="1" x14ac:dyDescent="0.25"/>
    <row r="1808" ht="19.5" customHeight="1" x14ac:dyDescent="0.25"/>
    <row r="1809" ht="19.5" customHeight="1" x14ac:dyDescent="0.25"/>
    <row r="1810" ht="19.5" customHeight="1" x14ac:dyDescent="0.25"/>
    <row r="1811" ht="19.5" customHeight="1" x14ac:dyDescent="0.25"/>
    <row r="1812" ht="19.5" customHeight="1" x14ac:dyDescent="0.25"/>
    <row r="1813" ht="19.5" customHeight="1" x14ac:dyDescent="0.25"/>
    <row r="1814" ht="19.5" customHeight="1" x14ac:dyDescent="0.25"/>
    <row r="1815" ht="19.5" customHeight="1" x14ac:dyDescent="0.25"/>
    <row r="1816" ht="19.5" customHeight="1" x14ac:dyDescent="0.25"/>
    <row r="1817" ht="19.5" customHeight="1" x14ac:dyDescent="0.25"/>
    <row r="1818" ht="19.5" customHeight="1" x14ac:dyDescent="0.25"/>
    <row r="1819" ht="19.5" customHeight="1" x14ac:dyDescent="0.25"/>
    <row r="1820" ht="19.5" customHeight="1" x14ac:dyDescent="0.25"/>
    <row r="1821" ht="19.5" customHeight="1" x14ac:dyDescent="0.25"/>
    <row r="1822" ht="19.5" customHeight="1" x14ac:dyDescent="0.25"/>
    <row r="1823" ht="19.5" customHeight="1" x14ac:dyDescent="0.25"/>
    <row r="1824" ht="19.5" customHeight="1" x14ac:dyDescent="0.25"/>
    <row r="1825" ht="19.5" customHeight="1" x14ac:dyDescent="0.25"/>
    <row r="1826" ht="19.5" customHeight="1" x14ac:dyDescent="0.25"/>
    <row r="1827" ht="19.5" customHeight="1" x14ac:dyDescent="0.25"/>
    <row r="1828" ht="19.5" customHeight="1" x14ac:dyDescent="0.25"/>
    <row r="1829" ht="19.5" customHeight="1" x14ac:dyDescent="0.25"/>
    <row r="1830" ht="19.5" customHeight="1" x14ac:dyDescent="0.25"/>
    <row r="1831" ht="19.5" customHeight="1" x14ac:dyDescent="0.25"/>
    <row r="1832" ht="19.5" customHeight="1" x14ac:dyDescent="0.25"/>
    <row r="1833" ht="19.5" customHeight="1" x14ac:dyDescent="0.25"/>
    <row r="1834" ht="19.5" customHeight="1" x14ac:dyDescent="0.25"/>
    <row r="1835" ht="19.5" customHeight="1" x14ac:dyDescent="0.25"/>
    <row r="1836" ht="19.5" customHeight="1" x14ac:dyDescent="0.25"/>
    <row r="1837" ht="19.5" customHeight="1" x14ac:dyDescent="0.25"/>
    <row r="1838" ht="19.5" customHeight="1" x14ac:dyDescent="0.25"/>
    <row r="1839" ht="19.5" customHeight="1" x14ac:dyDescent="0.25"/>
    <row r="1840" ht="19.5" customHeight="1" x14ac:dyDescent="0.25"/>
    <row r="1841" ht="19.5" customHeight="1" x14ac:dyDescent="0.25"/>
    <row r="1842" ht="19.5" customHeight="1" x14ac:dyDescent="0.25"/>
    <row r="1843" ht="19.5" customHeight="1" x14ac:dyDescent="0.25"/>
    <row r="1844" ht="19.5" customHeight="1" x14ac:dyDescent="0.25"/>
    <row r="1845" ht="19.5" customHeight="1" x14ac:dyDescent="0.25"/>
    <row r="1846" ht="19.5" customHeight="1" x14ac:dyDescent="0.25"/>
    <row r="1847" ht="19.5" customHeight="1" x14ac:dyDescent="0.25"/>
    <row r="1848" ht="19.5" customHeight="1" x14ac:dyDescent="0.25"/>
    <row r="1849" ht="19.5" customHeight="1" x14ac:dyDescent="0.25"/>
    <row r="1850" ht="19.5" customHeight="1" x14ac:dyDescent="0.25"/>
    <row r="1851" ht="19.5" customHeight="1" x14ac:dyDescent="0.25"/>
    <row r="1852" ht="19.5" customHeight="1" x14ac:dyDescent="0.25"/>
    <row r="1853" ht="19.5" customHeight="1" x14ac:dyDescent="0.25"/>
    <row r="1854" ht="19.5" customHeight="1" x14ac:dyDescent="0.25"/>
    <row r="1855" ht="19.5" customHeight="1" x14ac:dyDescent="0.25"/>
    <row r="1856" ht="19.5" customHeight="1" x14ac:dyDescent="0.25"/>
    <row r="1857" ht="19.5" customHeight="1" x14ac:dyDescent="0.25"/>
    <row r="1858" ht="19.5" customHeight="1" x14ac:dyDescent="0.25"/>
    <row r="1859" ht="19.5" customHeight="1" x14ac:dyDescent="0.25"/>
    <row r="1860" ht="19.5" customHeight="1" x14ac:dyDescent="0.25"/>
    <row r="1861" ht="19.5" customHeight="1" x14ac:dyDescent="0.25"/>
    <row r="1862" ht="19.5" customHeight="1" x14ac:dyDescent="0.25"/>
    <row r="1863" ht="19.5" customHeight="1" x14ac:dyDescent="0.25"/>
    <row r="1864" ht="19.5" customHeight="1" x14ac:dyDescent="0.25"/>
    <row r="1865" ht="19.5" customHeight="1" x14ac:dyDescent="0.25"/>
    <row r="1866" ht="19.5" customHeight="1" x14ac:dyDescent="0.25"/>
    <row r="1867" ht="19.5" customHeight="1" x14ac:dyDescent="0.25"/>
    <row r="1868" ht="19.5" customHeight="1" x14ac:dyDescent="0.25"/>
    <row r="1869" ht="19.5" customHeight="1" x14ac:dyDescent="0.25"/>
    <row r="1870" ht="19.5" customHeight="1" x14ac:dyDescent="0.25"/>
    <row r="1871" ht="19.5" customHeight="1" x14ac:dyDescent="0.25"/>
    <row r="1872" ht="19.5" customHeight="1" x14ac:dyDescent="0.25"/>
    <row r="1873" ht="19.5" customHeight="1" x14ac:dyDescent="0.25"/>
    <row r="1874" ht="19.5" customHeight="1" x14ac:dyDescent="0.25"/>
    <row r="1875" ht="19.5" customHeight="1" x14ac:dyDescent="0.25"/>
    <row r="1876" ht="19.5" customHeight="1" x14ac:dyDescent="0.25"/>
    <row r="1877" ht="19.5" customHeight="1" x14ac:dyDescent="0.25"/>
    <row r="1878" ht="19.5" customHeight="1" x14ac:dyDescent="0.25"/>
    <row r="1879" ht="19.5" customHeight="1" x14ac:dyDescent="0.25"/>
    <row r="1880" ht="19.5" customHeight="1" x14ac:dyDescent="0.25"/>
    <row r="1881" ht="19.5" customHeight="1" x14ac:dyDescent="0.25"/>
    <row r="1882" ht="19.5" customHeight="1" x14ac:dyDescent="0.25"/>
    <row r="1883" ht="19.5" customHeight="1" x14ac:dyDescent="0.25"/>
    <row r="1884" ht="19.5" customHeight="1" x14ac:dyDescent="0.25"/>
    <row r="1885" ht="19.5" customHeight="1" x14ac:dyDescent="0.25"/>
    <row r="1886" ht="19.5" customHeight="1" x14ac:dyDescent="0.25"/>
    <row r="1887" ht="19.5" customHeight="1" x14ac:dyDescent="0.25"/>
    <row r="1888" ht="19.5" customHeight="1" x14ac:dyDescent="0.25"/>
    <row r="1889" ht="19.5" customHeight="1" x14ac:dyDescent="0.25"/>
    <row r="1890" ht="19.5" customHeight="1" x14ac:dyDescent="0.25"/>
    <row r="1891" ht="19.5" customHeight="1" x14ac:dyDescent="0.25"/>
    <row r="1892" ht="19.5" customHeight="1" x14ac:dyDescent="0.25"/>
    <row r="1893" ht="19.5" customHeight="1" x14ac:dyDescent="0.25"/>
    <row r="1894" ht="19.5" customHeight="1" x14ac:dyDescent="0.25"/>
    <row r="1895" ht="19.5" customHeight="1" x14ac:dyDescent="0.25"/>
    <row r="1896" ht="19.5" customHeight="1" x14ac:dyDescent="0.25"/>
    <row r="1897" ht="19.5" customHeight="1" x14ac:dyDescent="0.25"/>
    <row r="1898" ht="19.5" customHeight="1" x14ac:dyDescent="0.25"/>
    <row r="1899" ht="19.5" customHeight="1" x14ac:dyDescent="0.25"/>
    <row r="1900" ht="19.5" customHeight="1" x14ac:dyDescent="0.25"/>
    <row r="1901" ht="19.5" customHeight="1" x14ac:dyDescent="0.25"/>
    <row r="1902" ht="19.5" customHeight="1" x14ac:dyDescent="0.25"/>
    <row r="1903" ht="19.5" customHeight="1" x14ac:dyDescent="0.25"/>
    <row r="1904" ht="19.5" customHeight="1" x14ac:dyDescent="0.25"/>
    <row r="1905" ht="19.5" customHeight="1" x14ac:dyDescent="0.25"/>
    <row r="1906" ht="19.5" customHeight="1" x14ac:dyDescent="0.25"/>
    <row r="1907" ht="19.5" customHeight="1" x14ac:dyDescent="0.25"/>
    <row r="1908" ht="19.5" customHeight="1" x14ac:dyDescent="0.25"/>
    <row r="1909" ht="19.5" customHeight="1" x14ac:dyDescent="0.25"/>
    <row r="1910" ht="19.5" customHeight="1" x14ac:dyDescent="0.25"/>
    <row r="1911" ht="19.5" customHeight="1" x14ac:dyDescent="0.25"/>
    <row r="1912" ht="19.5" customHeight="1" x14ac:dyDescent="0.25"/>
    <row r="1913" ht="19.5" customHeight="1" x14ac:dyDescent="0.25"/>
    <row r="1914" ht="19.5" customHeight="1" x14ac:dyDescent="0.25"/>
    <row r="1915" ht="19.5" customHeight="1" x14ac:dyDescent="0.25"/>
    <row r="1916" ht="19.5" customHeight="1" x14ac:dyDescent="0.25"/>
    <row r="1917" ht="19.5" customHeight="1" x14ac:dyDescent="0.25"/>
    <row r="1918" ht="19.5" customHeight="1" x14ac:dyDescent="0.25"/>
    <row r="1919" ht="19.5" customHeight="1" x14ac:dyDescent="0.25"/>
    <row r="1920" ht="19.5" customHeight="1" x14ac:dyDescent="0.25"/>
    <row r="1921" ht="19.5" customHeight="1" x14ac:dyDescent="0.25"/>
    <row r="1922" ht="19.5" customHeight="1" x14ac:dyDescent="0.25"/>
    <row r="1923" ht="19.5" customHeight="1" x14ac:dyDescent="0.25"/>
    <row r="1924" ht="19.5" customHeight="1" x14ac:dyDescent="0.25"/>
    <row r="1925" ht="19.5" customHeight="1" x14ac:dyDescent="0.25"/>
    <row r="1926" ht="19.5" customHeight="1" x14ac:dyDescent="0.25"/>
    <row r="1927" ht="19.5" customHeight="1" x14ac:dyDescent="0.25"/>
    <row r="1928" ht="19.5" customHeight="1" x14ac:dyDescent="0.25"/>
    <row r="1929" ht="19.5" customHeight="1" x14ac:dyDescent="0.25"/>
    <row r="1930" ht="19.5" customHeight="1" x14ac:dyDescent="0.25"/>
    <row r="1931" ht="19.5" customHeight="1" x14ac:dyDescent="0.25"/>
    <row r="1932" ht="19.5" customHeight="1" x14ac:dyDescent="0.25"/>
    <row r="1933" ht="19.5" customHeight="1" x14ac:dyDescent="0.25"/>
    <row r="1934" ht="19.5" customHeight="1" x14ac:dyDescent="0.25"/>
    <row r="1935" ht="19.5" customHeight="1" x14ac:dyDescent="0.25"/>
    <row r="1936" ht="19.5" customHeight="1" x14ac:dyDescent="0.25"/>
    <row r="1937" ht="19.5" customHeight="1" x14ac:dyDescent="0.25"/>
    <row r="1938" ht="19.5" customHeight="1" x14ac:dyDescent="0.25"/>
    <row r="1939" ht="19.5" customHeight="1" x14ac:dyDescent="0.25"/>
    <row r="1940" ht="19.5" customHeight="1" x14ac:dyDescent="0.25"/>
    <row r="1941" ht="19.5" customHeight="1" x14ac:dyDescent="0.25"/>
    <row r="1942" ht="19.5" customHeight="1" x14ac:dyDescent="0.25"/>
    <row r="1943" ht="19.5" customHeight="1" x14ac:dyDescent="0.25"/>
    <row r="1944" ht="19.5" customHeight="1" x14ac:dyDescent="0.25"/>
    <row r="1945" ht="19.5" customHeight="1" x14ac:dyDescent="0.25"/>
    <row r="1946" ht="19.5" customHeight="1" x14ac:dyDescent="0.25"/>
    <row r="1947" ht="19.5" customHeight="1" x14ac:dyDescent="0.25"/>
    <row r="1948" ht="19.5" customHeight="1" x14ac:dyDescent="0.25"/>
    <row r="1949" ht="19.5" customHeight="1" x14ac:dyDescent="0.25"/>
    <row r="1950" ht="19.5" customHeight="1" x14ac:dyDescent="0.25"/>
    <row r="1951" ht="19.5" customHeight="1" x14ac:dyDescent="0.25"/>
    <row r="1952" ht="19.5" customHeight="1" x14ac:dyDescent="0.25"/>
    <row r="1953" ht="19.5" customHeight="1" x14ac:dyDescent="0.25"/>
    <row r="1954" ht="19.5" customHeight="1" x14ac:dyDescent="0.25"/>
    <row r="1955" ht="19.5" customHeight="1" x14ac:dyDescent="0.25"/>
    <row r="1956" ht="19.5" customHeight="1" x14ac:dyDescent="0.25"/>
    <row r="1957" ht="19.5" customHeight="1" x14ac:dyDescent="0.25"/>
    <row r="1958" ht="19.5" customHeight="1" x14ac:dyDescent="0.25"/>
    <row r="1959" ht="19.5" customHeight="1" x14ac:dyDescent="0.25"/>
    <row r="1960" ht="19.5" customHeight="1" x14ac:dyDescent="0.25"/>
    <row r="1961" ht="19.5" customHeight="1" x14ac:dyDescent="0.25"/>
    <row r="1962" ht="19.5" customHeight="1" x14ac:dyDescent="0.25"/>
    <row r="1963" ht="19.5" customHeight="1" x14ac:dyDescent="0.25"/>
    <row r="1964" ht="19.5" customHeight="1" x14ac:dyDescent="0.25"/>
    <row r="1965" ht="19.5" customHeight="1" x14ac:dyDescent="0.25"/>
    <row r="1966" ht="19.5" customHeight="1" x14ac:dyDescent="0.25"/>
    <row r="1967" ht="19.5" customHeight="1" x14ac:dyDescent="0.25"/>
    <row r="1968" ht="19.5" customHeight="1" x14ac:dyDescent="0.25"/>
    <row r="1969" ht="19.5" customHeight="1" x14ac:dyDescent="0.25"/>
    <row r="1970" ht="19.5" customHeight="1" x14ac:dyDescent="0.25"/>
    <row r="1971" ht="19.5" customHeight="1" x14ac:dyDescent="0.25"/>
    <row r="1972" ht="19.5" customHeight="1" x14ac:dyDescent="0.25"/>
    <row r="1973" ht="19.5" customHeight="1" x14ac:dyDescent="0.25"/>
    <row r="1974" ht="19.5" customHeight="1" x14ac:dyDescent="0.25"/>
    <row r="1975" ht="19.5" customHeight="1" x14ac:dyDescent="0.25"/>
    <row r="1976" ht="19.5" customHeight="1" x14ac:dyDescent="0.25"/>
    <row r="1977" ht="19.5" customHeight="1" x14ac:dyDescent="0.25"/>
    <row r="1978" ht="19.5" customHeight="1" x14ac:dyDescent="0.25"/>
    <row r="1979" ht="19.5" customHeight="1" x14ac:dyDescent="0.25"/>
    <row r="1980" ht="19.5" customHeight="1" x14ac:dyDescent="0.25"/>
    <row r="1981" ht="19.5" customHeight="1" x14ac:dyDescent="0.25"/>
    <row r="1982" ht="19.5" customHeight="1" x14ac:dyDescent="0.25"/>
    <row r="1983" ht="19.5" customHeight="1" x14ac:dyDescent="0.25"/>
    <row r="1984" ht="19.5" customHeight="1" x14ac:dyDescent="0.25"/>
    <row r="1985" ht="19.5" customHeight="1" x14ac:dyDescent="0.25"/>
    <row r="1986" ht="19.5" customHeight="1" x14ac:dyDescent="0.25"/>
    <row r="1987" ht="19.5" customHeight="1" x14ac:dyDescent="0.25"/>
    <row r="1988" ht="19.5" customHeight="1" x14ac:dyDescent="0.25"/>
    <row r="1989" ht="19.5" customHeight="1" x14ac:dyDescent="0.25"/>
    <row r="1990" ht="19.5" customHeight="1" x14ac:dyDescent="0.25"/>
    <row r="1991" ht="19.5" customHeight="1" x14ac:dyDescent="0.25"/>
    <row r="1992" ht="19.5" customHeight="1" x14ac:dyDescent="0.25"/>
    <row r="1993" ht="19.5" customHeight="1" x14ac:dyDescent="0.25"/>
    <row r="1994" ht="19.5" customHeight="1" x14ac:dyDescent="0.25"/>
    <row r="1995" ht="19.5" customHeight="1" x14ac:dyDescent="0.25"/>
    <row r="1996" ht="19.5" customHeight="1" x14ac:dyDescent="0.25"/>
    <row r="1997" ht="19.5" customHeight="1" x14ac:dyDescent="0.25"/>
    <row r="1998" ht="19.5" customHeight="1" x14ac:dyDescent="0.25"/>
    <row r="1999" ht="19.5" customHeight="1" x14ac:dyDescent="0.25"/>
    <row r="2000" ht="19.5" customHeight="1" x14ac:dyDescent="0.25"/>
    <row r="2001" ht="19.5" customHeight="1" x14ac:dyDescent="0.25"/>
    <row r="2002" ht="19.5" customHeight="1" x14ac:dyDescent="0.25"/>
    <row r="2003" ht="19.5" customHeight="1" x14ac:dyDescent="0.25"/>
    <row r="2004" ht="19.5" customHeight="1" x14ac:dyDescent="0.25"/>
    <row r="2005" ht="19.5" customHeight="1" x14ac:dyDescent="0.25"/>
    <row r="2006" ht="19.5" customHeight="1" x14ac:dyDescent="0.25"/>
    <row r="2007" ht="19.5" customHeight="1" x14ac:dyDescent="0.25"/>
    <row r="2008" ht="19.5" customHeight="1" x14ac:dyDescent="0.25"/>
    <row r="2009" ht="19.5" customHeight="1" x14ac:dyDescent="0.25"/>
    <row r="2010" ht="19.5" customHeight="1" x14ac:dyDescent="0.25"/>
    <row r="2011" ht="19.5" customHeight="1" x14ac:dyDescent="0.25"/>
    <row r="2012" ht="19.5" customHeight="1" x14ac:dyDescent="0.25"/>
    <row r="2013" ht="19.5" customHeight="1" x14ac:dyDescent="0.25"/>
    <row r="2014" ht="19.5" customHeight="1" x14ac:dyDescent="0.25"/>
    <row r="2015" ht="19.5" customHeight="1" x14ac:dyDescent="0.25"/>
    <row r="2016" ht="19.5" customHeight="1" x14ac:dyDescent="0.25"/>
    <row r="2017" ht="19.5" customHeight="1" x14ac:dyDescent="0.25"/>
    <row r="2018" ht="19.5" customHeight="1" x14ac:dyDescent="0.25"/>
    <row r="2019" ht="19.5" customHeight="1" x14ac:dyDescent="0.25"/>
    <row r="2020" ht="19.5" customHeight="1" x14ac:dyDescent="0.25"/>
    <row r="2021" ht="19.5" customHeight="1" x14ac:dyDescent="0.25"/>
    <row r="2022" ht="19.5" customHeight="1" x14ac:dyDescent="0.25"/>
    <row r="2023" ht="19.5" customHeight="1" x14ac:dyDescent="0.25"/>
    <row r="2024" ht="19.5" customHeight="1" x14ac:dyDescent="0.25"/>
    <row r="2025" ht="19.5" customHeight="1" x14ac:dyDescent="0.25"/>
    <row r="2026" ht="19.5" customHeight="1" x14ac:dyDescent="0.25"/>
    <row r="2027" ht="19.5" customHeight="1" x14ac:dyDescent="0.25"/>
    <row r="2028" ht="19.5" customHeight="1" x14ac:dyDescent="0.25"/>
    <row r="2029" ht="19.5" customHeight="1" x14ac:dyDescent="0.25"/>
    <row r="2030" ht="19.5" customHeight="1" x14ac:dyDescent="0.25"/>
    <row r="2031" ht="19.5" customHeight="1" x14ac:dyDescent="0.25"/>
    <row r="2032" ht="19.5" customHeight="1" x14ac:dyDescent="0.25"/>
    <row r="2033" ht="19.5" customHeight="1" x14ac:dyDescent="0.25"/>
    <row r="2034" ht="19.5" customHeight="1" x14ac:dyDescent="0.25"/>
    <row r="2035" ht="19.5" customHeight="1" x14ac:dyDescent="0.25"/>
    <row r="2036" ht="19.5" customHeight="1" x14ac:dyDescent="0.25"/>
    <row r="2037" ht="19.5" customHeight="1" x14ac:dyDescent="0.25"/>
    <row r="2038" ht="19.5" customHeight="1" x14ac:dyDescent="0.25"/>
    <row r="2039" ht="19.5" customHeight="1" x14ac:dyDescent="0.25"/>
    <row r="2040" ht="19.5" customHeight="1" x14ac:dyDescent="0.25"/>
    <row r="2041" ht="19.5" customHeight="1" x14ac:dyDescent="0.25"/>
    <row r="2042" ht="19.5" customHeight="1" x14ac:dyDescent="0.25"/>
    <row r="2043" ht="19.5" customHeight="1" x14ac:dyDescent="0.25"/>
    <row r="2044" ht="19.5" customHeight="1" x14ac:dyDescent="0.25"/>
    <row r="2045" ht="19.5" customHeight="1" x14ac:dyDescent="0.25"/>
    <row r="2046" ht="19.5" customHeight="1" x14ac:dyDescent="0.25"/>
    <row r="2047" ht="19.5" customHeight="1" x14ac:dyDescent="0.25"/>
    <row r="2048" ht="19.5" customHeight="1" x14ac:dyDescent="0.25"/>
    <row r="2049" ht="19.5" customHeight="1" x14ac:dyDescent="0.25"/>
    <row r="2050" ht="19.5" customHeight="1" x14ac:dyDescent="0.25"/>
    <row r="2051" ht="19.5" customHeight="1" x14ac:dyDescent="0.25"/>
    <row r="2052" ht="19.5" customHeight="1" x14ac:dyDescent="0.25"/>
    <row r="2053" ht="19.5" customHeight="1" x14ac:dyDescent="0.25"/>
    <row r="2054" ht="19.5" customHeight="1" x14ac:dyDescent="0.25"/>
    <row r="2055" ht="19.5" customHeight="1" x14ac:dyDescent="0.25"/>
    <row r="2056" ht="19.5" customHeight="1" x14ac:dyDescent="0.25"/>
    <row r="2057" ht="19.5" customHeight="1" x14ac:dyDescent="0.25"/>
    <row r="2058" ht="19.5" customHeight="1" x14ac:dyDescent="0.25"/>
    <row r="2059" ht="19.5" customHeight="1" x14ac:dyDescent="0.25"/>
    <row r="2060" ht="19.5" customHeight="1" x14ac:dyDescent="0.25"/>
    <row r="2061" ht="19.5" customHeight="1" x14ac:dyDescent="0.25"/>
    <row r="2062" ht="19.5" customHeight="1" x14ac:dyDescent="0.25"/>
    <row r="2063" ht="19.5" customHeight="1" x14ac:dyDescent="0.25"/>
    <row r="2064" ht="19.5" customHeight="1" x14ac:dyDescent="0.25"/>
    <row r="2065" ht="19.5" customHeight="1" x14ac:dyDescent="0.25"/>
    <row r="2066" ht="19.5" customHeight="1" x14ac:dyDescent="0.25"/>
    <row r="2067" ht="19.5" customHeight="1" x14ac:dyDescent="0.25"/>
    <row r="2068" ht="19.5" customHeight="1" x14ac:dyDescent="0.25"/>
    <row r="2069" ht="19.5" customHeight="1" x14ac:dyDescent="0.25"/>
    <row r="2070" ht="19.5" customHeight="1" x14ac:dyDescent="0.25"/>
    <row r="2071" ht="19.5" customHeight="1" x14ac:dyDescent="0.25"/>
    <row r="2072" ht="19.5" customHeight="1" x14ac:dyDescent="0.25"/>
    <row r="2073" ht="19.5" customHeight="1" x14ac:dyDescent="0.25"/>
    <row r="2074" ht="19.5" customHeight="1" x14ac:dyDescent="0.25"/>
    <row r="2075" ht="19.5" customHeight="1" x14ac:dyDescent="0.25"/>
    <row r="2076" ht="19.5" customHeight="1" x14ac:dyDescent="0.25"/>
    <row r="2077" ht="19.5" customHeight="1" x14ac:dyDescent="0.25"/>
    <row r="2078" ht="19.5" customHeight="1" x14ac:dyDescent="0.25"/>
    <row r="2079" ht="19.5" customHeight="1" x14ac:dyDescent="0.25"/>
    <row r="2080" ht="19.5" customHeight="1" x14ac:dyDescent="0.25"/>
    <row r="2081" ht="19.5" customHeight="1" x14ac:dyDescent="0.25"/>
    <row r="2082" ht="19.5" customHeight="1" x14ac:dyDescent="0.25"/>
    <row r="2083" ht="19.5" customHeight="1" x14ac:dyDescent="0.25"/>
    <row r="2084" ht="19.5" customHeight="1" x14ac:dyDescent="0.25"/>
    <row r="2085" ht="19.5" customHeight="1" x14ac:dyDescent="0.25"/>
    <row r="2086" ht="19.5" customHeight="1" x14ac:dyDescent="0.25"/>
    <row r="2087" ht="19.5" customHeight="1" x14ac:dyDescent="0.25"/>
    <row r="2088" ht="19.5" customHeight="1" x14ac:dyDescent="0.25"/>
    <row r="2089" ht="19.5" customHeight="1" x14ac:dyDescent="0.25"/>
    <row r="2090" ht="19.5" customHeight="1" x14ac:dyDescent="0.25"/>
    <row r="2091" ht="19.5" customHeight="1" x14ac:dyDescent="0.25"/>
    <row r="2092" ht="19.5" customHeight="1" x14ac:dyDescent="0.25"/>
    <row r="2093" ht="19.5" customHeight="1" x14ac:dyDescent="0.25"/>
    <row r="2094" ht="19.5" customHeight="1" x14ac:dyDescent="0.25"/>
    <row r="2095" ht="19.5" customHeight="1" x14ac:dyDescent="0.25"/>
    <row r="2096" ht="19.5" customHeight="1" x14ac:dyDescent="0.25"/>
    <row r="2097" ht="19.5" customHeight="1" x14ac:dyDescent="0.25"/>
    <row r="2098" ht="19.5" customHeight="1" x14ac:dyDescent="0.25"/>
    <row r="2099" ht="19.5" customHeight="1" x14ac:dyDescent="0.25"/>
    <row r="2100" ht="19.5" customHeight="1" x14ac:dyDescent="0.25"/>
    <row r="2101" ht="19.5" customHeight="1" x14ac:dyDescent="0.25"/>
    <row r="2102" ht="19.5" customHeight="1" x14ac:dyDescent="0.25"/>
    <row r="2103" ht="19.5" customHeight="1" x14ac:dyDescent="0.25"/>
    <row r="2104" ht="19.5" customHeight="1" x14ac:dyDescent="0.25"/>
    <row r="2105" ht="19.5" customHeight="1" x14ac:dyDescent="0.25"/>
    <row r="2106" ht="19.5" customHeight="1" x14ac:dyDescent="0.25"/>
    <row r="2107" ht="19.5" customHeight="1" x14ac:dyDescent="0.25"/>
    <row r="2108" ht="19.5" customHeight="1" x14ac:dyDescent="0.25"/>
    <row r="2109" ht="19.5" customHeight="1" x14ac:dyDescent="0.25"/>
    <row r="2110" ht="19.5" customHeight="1" x14ac:dyDescent="0.25"/>
    <row r="2111" ht="19.5" customHeight="1" x14ac:dyDescent="0.25"/>
    <row r="2112" ht="19.5" customHeight="1" x14ac:dyDescent="0.25"/>
    <row r="2113" ht="19.5" customHeight="1" x14ac:dyDescent="0.25"/>
    <row r="2114" ht="19.5" customHeight="1" x14ac:dyDescent="0.25"/>
    <row r="2115" ht="19.5" customHeight="1" x14ac:dyDescent="0.25"/>
    <row r="2116" ht="19.5" customHeight="1" x14ac:dyDescent="0.25"/>
    <row r="2117" ht="19.5" customHeight="1" x14ac:dyDescent="0.25"/>
    <row r="2118" ht="19.5" customHeight="1" x14ac:dyDescent="0.25"/>
    <row r="2119" ht="19.5" customHeight="1" x14ac:dyDescent="0.25"/>
    <row r="2120" ht="19.5" customHeight="1" x14ac:dyDescent="0.25"/>
    <row r="2121" ht="19.5" customHeight="1" x14ac:dyDescent="0.25"/>
    <row r="2122" ht="19.5" customHeight="1" x14ac:dyDescent="0.25"/>
    <row r="2123" ht="19.5" customHeight="1" x14ac:dyDescent="0.25"/>
    <row r="2124" ht="19.5" customHeight="1" x14ac:dyDescent="0.25"/>
    <row r="2125" ht="19.5" customHeight="1" x14ac:dyDescent="0.25"/>
    <row r="2126" ht="19.5" customHeight="1" x14ac:dyDescent="0.25"/>
    <row r="2127" ht="19.5" customHeight="1" x14ac:dyDescent="0.25"/>
    <row r="2128" ht="19.5" customHeight="1" x14ac:dyDescent="0.25"/>
    <row r="2129" ht="19.5" customHeight="1" x14ac:dyDescent="0.25"/>
    <row r="2130" ht="19.5" customHeight="1" x14ac:dyDescent="0.25"/>
    <row r="2131" ht="19.5" customHeight="1" x14ac:dyDescent="0.25"/>
    <row r="2132" ht="19.5" customHeight="1" x14ac:dyDescent="0.25"/>
    <row r="2133" ht="19.5" customHeight="1" x14ac:dyDescent="0.25"/>
    <row r="2134" ht="19.5" customHeight="1" x14ac:dyDescent="0.25"/>
    <row r="2135" ht="19.5" customHeight="1" x14ac:dyDescent="0.25"/>
    <row r="2136" ht="19.5" customHeight="1" x14ac:dyDescent="0.25"/>
    <row r="2137" ht="19.5" customHeight="1" x14ac:dyDescent="0.25"/>
    <row r="2138" ht="19.5" customHeight="1" x14ac:dyDescent="0.25"/>
    <row r="2139" ht="19.5" customHeight="1" x14ac:dyDescent="0.25"/>
    <row r="2140" ht="19.5" customHeight="1" x14ac:dyDescent="0.25"/>
    <row r="2141" ht="19.5" customHeight="1" x14ac:dyDescent="0.25"/>
    <row r="2142" ht="19.5" customHeight="1" x14ac:dyDescent="0.25"/>
    <row r="2143" ht="19.5" customHeight="1" x14ac:dyDescent="0.25"/>
    <row r="2144" ht="19.5" customHeight="1" x14ac:dyDescent="0.25"/>
    <row r="2145" ht="19.5" customHeight="1" x14ac:dyDescent="0.25"/>
    <row r="2146" ht="19.5" customHeight="1" x14ac:dyDescent="0.25"/>
    <row r="2147" ht="19.5" customHeight="1" x14ac:dyDescent="0.25"/>
    <row r="2148" ht="19.5" customHeight="1" x14ac:dyDescent="0.25"/>
    <row r="2149" ht="19.5" customHeight="1" x14ac:dyDescent="0.25"/>
    <row r="2150" ht="19.5" customHeight="1" x14ac:dyDescent="0.25"/>
    <row r="2151" ht="19.5" customHeight="1" x14ac:dyDescent="0.25"/>
    <row r="2152" ht="19.5" customHeight="1" x14ac:dyDescent="0.25"/>
    <row r="2153" ht="19.5" customHeight="1" x14ac:dyDescent="0.25"/>
    <row r="2154" ht="19.5" customHeight="1" x14ac:dyDescent="0.25"/>
    <row r="2155" ht="19.5" customHeight="1" x14ac:dyDescent="0.25"/>
    <row r="2156" ht="19.5" customHeight="1" x14ac:dyDescent="0.25"/>
    <row r="2157" ht="19.5" customHeight="1" x14ac:dyDescent="0.25"/>
    <row r="2158" ht="19.5" customHeight="1" x14ac:dyDescent="0.25"/>
    <row r="2159" ht="19.5" customHeight="1" x14ac:dyDescent="0.25"/>
    <row r="2160" ht="19.5" customHeight="1" x14ac:dyDescent="0.25"/>
    <row r="2161" ht="19.5" customHeight="1" x14ac:dyDescent="0.25"/>
    <row r="2162" ht="19.5" customHeight="1" x14ac:dyDescent="0.25"/>
    <row r="2163" ht="19.5" customHeight="1" x14ac:dyDescent="0.25"/>
    <row r="2164" ht="19.5" customHeight="1" x14ac:dyDescent="0.25"/>
    <row r="2165" ht="19.5" customHeight="1" x14ac:dyDescent="0.25"/>
    <row r="2166" ht="19.5" customHeight="1" x14ac:dyDescent="0.25"/>
    <row r="2167" ht="19.5" customHeight="1" x14ac:dyDescent="0.25"/>
    <row r="2168" ht="19.5" customHeight="1" x14ac:dyDescent="0.25"/>
    <row r="2169" ht="19.5" customHeight="1" x14ac:dyDescent="0.25"/>
    <row r="2170" ht="19.5" customHeight="1" x14ac:dyDescent="0.25"/>
    <row r="2171" ht="19.5" customHeight="1" x14ac:dyDescent="0.25"/>
    <row r="2172" ht="19.5" customHeight="1" x14ac:dyDescent="0.25"/>
    <row r="2173" ht="19.5" customHeight="1" x14ac:dyDescent="0.25"/>
    <row r="2174" ht="19.5" customHeight="1" x14ac:dyDescent="0.25"/>
    <row r="2175" ht="19.5" customHeight="1" x14ac:dyDescent="0.25"/>
    <row r="2176" ht="19.5" customHeight="1" x14ac:dyDescent="0.25"/>
    <row r="2177" ht="19.5" customHeight="1" x14ac:dyDescent="0.25"/>
    <row r="2178" ht="19.5" customHeight="1" x14ac:dyDescent="0.25"/>
    <row r="2179" ht="19.5" customHeight="1" x14ac:dyDescent="0.25"/>
    <row r="2180" ht="19.5" customHeight="1" x14ac:dyDescent="0.25"/>
    <row r="2181" ht="19.5" customHeight="1" x14ac:dyDescent="0.25"/>
    <row r="2182" ht="19.5" customHeight="1" x14ac:dyDescent="0.25"/>
    <row r="2183" ht="19.5" customHeight="1" x14ac:dyDescent="0.25"/>
    <row r="2184" ht="19.5" customHeight="1" x14ac:dyDescent="0.25"/>
    <row r="2185" ht="19.5" customHeight="1" x14ac:dyDescent="0.25"/>
    <row r="2186" ht="19.5" customHeight="1" x14ac:dyDescent="0.25"/>
    <row r="2187" ht="19.5" customHeight="1" x14ac:dyDescent="0.25"/>
    <row r="2188" ht="19.5" customHeight="1" x14ac:dyDescent="0.25"/>
    <row r="2189" ht="19.5" customHeight="1" x14ac:dyDescent="0.25"/>
    <row r="2190" ht="19.5" customHeight="1" x14ac:dyDescent="0.25"/>
    <row r="2191" ht="19.5" customHeight="1" x14ac:dyDescent="0.25"/>
    <row r="2192" ht="19.5" customHeight="1" x14ac:dyDescent="0.25"/>
    <row r="2193" ht="19.5" customHeight="1" x14ac:dyDescent="0.25"/>
    <row r="2194" ht="19.5" customHeight="1" x14ac:dyDescent="0.25"/>
    <row r="2195" ht="19.5" customHeight="1" x14ac:dyDescent="0.25"/>
    <row r="2196" ht="19.5" customHeight="1" x14ac:dyDescent="0.25"/>
    <row r="2197" ht="19.5" customHeight="1" x14ac:dyDescent="0.25"/>
    <row r="2198" ht="19.5" customHeight="1" x14ac:dyDescent="0.25"/>
    <row r="2199" ht="19.5" customHeight="1" x14ac:dyDescent="0.25"/>
    <row r="2200" ht="19.5" customHeight="1" x14ac:dyDescent="0.25"/>
    <row r="2201" ht="19.5" customHeight="1" x14ac:dyDescent="0.25"/>
    <row r="2202" ht="19.5" customHeight="1" x14ac:dyDescent="0.25"/>
    <row r="2203" ht="19.5" customHeight="1" x14ac:dyDescent="0.25"/>
    <row r="2204" ht="19.5" customHeight="1" x14ac:dyDescent="0.25"/>
    <row r="2205" ht="19.5" customHeight="1" x14ac:dyDescent="0.25"/>
    <row r="2206" ht="19.5" customHeight="1" x14ac:dyDescent="0.25"/>
    <row r="2207" ht="19.5" customHeight="1" x14ac:dyDescent="0.25"/>
    <row r="2208" ht="19.5" customHeight="1" x14ac:dyDescent="0.25"/>
    <row r="2209" ht="19.5" customHeight="1" x14ac:dyDescent="0.25"/>
    <row r="2210" ht="19.5" customHeight="1" x14ac:dyDescent="0.25"/>
    <row r="2211" ht="19.5" customHeight="1" x14ac:dyDescent="0.25"/>
    <row r="2212" ht="19.5" customHeight="1" x14ac:dyDescent="0.25"/>
    <row r="2213" ht="19.5" customHeight="1" x14ac:dyDescent="0.25"/>
    <row r="2214" ht="19.5" customHeight="1" x14ac:dyDescent="0.25"/>
    <row r="2215" ht="19.5" customHeight="1" x14ac:dyDescent="0.25"/>
    <row r="2216" ht="19.5" customHeight="1" x14ac:dyDescent="0.25"/>
    <row r="2217" ht="19.5" customHeight="1" x14ac:dyDescent="0.25"/>
    <row r="2218" ht="19.5" customHeight="1" x14ac:dyDescent="0.25"/>
    <row r="2219" ht="19.5" customHeight="1" x14ac:dyDescent="0.25"/>
    <row r="2220" ht="19.5" customHeight="1" x14ac:dyDescent="0.25"/>
    <row r="2221" ht="19.5" customHeight="1" x14ac:dyDescent="0.25"/>
    <row r="2222" ht="19.5" customHeight="1" x14ac:dyDescent="0.25"/>
    <row r="2223" ht="19.5" customHeight="1" x14ac:dyDescent="0.25"/>
    <row r="2224" ht="19.5" customHeight="1" x14ac:dyDescent="0.25"/>
    <row r="2225" ht="19.5" customHeight="1" x14ac:dyDescent="0.25"/>
    <row r="2226" ht="19.5" customHeight="1" x14ac:dyDescent="0.25"/>
    <row r="2227" ht="19.5" customHeight="1" x14ac:dyDescent="0.25"/>
    <row r="2228" ht="19.5" customHeight="1" x14ac:dyDescent="0.25"/>
    <row r="2229" ht="19.5" customHeight="1" x14ac:dyDescent="0.25"/>
    <row r="2230" ht="19.5" customHeight="1" x14ac:dyDescent="0.25"/>
    <row r="2231" ht="19.5" customHeight="1" x14ac:dyDescent="0.25"/>
    <row r="2232" ht="19.5" customHeight="1" x14ac:dyDescent="0.25"/>
    <row r="2233" ht="19.5" customHeight="1" x14ac:dyDescent="0.25"/>
    <row r="2234" ht="19.5" customHeight="1" x14ac:dyDescent="0.25"/>
    <row r="2235" ht="19.5" customHeight="1" x14ac:dyDescent="0.25"/>
    <row r="2236" ht="19.5" customHeight="1" x14ac:dyDescent="0.25"/>
    <row r="2237" ht="19.5" customHeight="1" x14ac:dyDescent="0.25"/>
    <row r="2238" ht="19.5" customHeight="1" x14ac:dyDescent="0.25"/>
    <row r="2239" ht="19.5" customHeight="1" x14ac:dyDescent="0.25"/>
    <row r="2240" ht="19.5" customHeight="1" x14ac:dyDescent="0.25"/>
    <row r="2241" ht="19.5" customHeight="1" x14ac:dyDescent="0.25"/>
    <row r="2242" ht="19.5" customHeight="1" x14ac:dyDescent="0.25"/>
    <row r="2243" ht="19.5" customHeight="1" x14ac:dyDescent="0.25"/>
    <row r="2244" ht="19.5" customHeight="1" x14ac:dyDescent="0.25"/>
    <row r="2245" ht="19.5" customHeight="1" x14ac:dyDescent="0.25"/>
    <row r="2246" ht="19.5" customHeight="1" x14ac:dyDescent="0.25"/>
    <row r="2247" ht="19.5" customHeight="1" x14ac:dyDescent="0.25"/>
    <row r="2248" ht="19.5" customHeight="1" x14ac:dyDescent="0.25"/>
    <row r="2249" ht="19.5" customHeight="1" x14ac:dyDescent="0.25"/>
    <row r="2250" ht="19.5" customHeight="1" x14ac:dyDescent="0.25"/>
    <row r="2251" ht="19.5" customHeight="1" x14ac:dyDescent="0.25"/>
    <row r="2252" ht="19.5" customHeight="1" x14ac:dyDescent="0.25"/>
    <row r="2253" ht="19.5" customHeight="1" x14ac:dyDescent="0.25"/>
    <row r="2254" ht="19.5" customHeight="1" x14ac:dyDescent="0.25"/>
    <row r="2255" ht="19.5" customHeight="1" x14ac:dyDescent="0.25"/>
    <row r="2256" ht="19.5" customHeight="1" x14ac:dyDescent="0.25"/>
    <row r="2257" ht="19.5" customHeight="1" x14ac:dyDescent="0.25"/>
    <row r="2258" ht="19.5" customHeight="1" x14ac:dyDescent="0.25"/>
    <row r="2259" ht="19.5" customHeight="1" x14ac:dyDescent="0.25"/>
    <row r="2260" ht="19.5" customHeight="1" x14ac:dyDescent="0.25"/>
    <row r="2261" ht="19.5" customHeight="1" x14ac:dyDescent="0.25"/>
    <row r="2262" ht="19.5" customHeight="1" x14ac:dyDescent="0.25"/>
    <row r="2263" ht="19.5" customHeight="1" x14ac:dyDescent="0.25"/>
    <row r="2264" ht="19.5" customHeight="1" x14ac:dyDescent="0.25"/>
    <row r="2265" ht="19.5" customHeight="1" x14ac:dyDescent="0.25"/>
    <row r="2266" ht="19.5" customHeight="1" x14ac:dyDescent="0.25"/>
    <row r="2267" ht="19.5" customHeight="1" x14ac:dyDescent="0.25"/>
    <row r="2268" ht="19.5" customHeight="1" x14ac:dyDescent="0.25"/>
    <row r="2269" ht="19.5" customHeight="1" x14ac:dyDescent="0.25"/>
    <row r="2270" ht="19.5" customHeight="1" x14ac:dyDescent="0.25"/>
    <row r="2271" ht="19.5" customHeight="1" x14ac:dyDescent="0.25"/>
    <row r="2272" ht="19.5" customHeight="1" x14ac:dyDescent="0.25"/>
    <row r="2273" ht="19.5" customHeight="1" x14ac:dyDescent="0.25"/>
    <row r="2274" ht="19.5" customHeight="1" x14ac:dyDescent="0.25"/>
    <row r="2275" ht="19.5" customHeight="1" x14ac:dyDescent="0.25"/>
    <row r="2276" ht="19.5" customHeight="1" x14ac:dyDescent="0.25"/>
    <row r="2277" ht="19.5" customHeight="1" x14ac:dyDescent="0.25"/>
    <row r="2278" ht="19.5" customHeight="1" x14ac:dyDescent="0.25"/>
    <row r="2279" ht="19.5" customHeight="1" x14ac:dyDescent="0.25"/>
    <row r="2280" ht="19.5" customHeight="1" x14ac:dyDescent="0.25"/>
    <row r="2281" ht="19.5" customHeight="1" x14ac:dyDescent="0.25"/>
    <row r="2282" ht="19.5" customHeight="1" x14ac:dyDescent="0.25"/>
    <row r="2283" ht="19.5" customHeight="1" x14ac:dyDescent="0.25"/>
    <row r="2284" ht="19.5" customHeight="1" x14ac:dyDescent="0.25"/>
    <row r="2285" ht="19.5" customHeight="1" x14ac:dyDescent="0.25"/>
    <row r="2286" ht="19.5" customHeight="1" x14ac:dyDescent="0.25"/>
    <row r="2287" ht="19.5" customHeight="1" x14ac:dyDescent="0.25"/>
    <row r="2288" ht="19.5" customHeight="1" x14ac:dyDescent="0.25"/>
    <row r="2289" ht="19.5" customHeight="1" x14ac:dyDescent="0.25"/>
    <row r="2290" ht="19.5" customHeight="1" x14ac:dyDescent="0.25"/>
    <row r="2291" ht="19.5" customHeight="1" x14ac:dyDescent="0.25"/>
    <row r="2292" ht="19.5" customHeight="1" x14ac:dyDescent="0.25"/>
    <row r="2293" ht="19.5" customHeight="1" x14ac:dyDescent="0.25"/>
    <row r="2294" ht="19.5" customHeight="1" x14ac:dyDescent="0.25"/>
    <row r="2295" ht="19.5" customHeight="1" x14ac:dyDescent="0.25"/>
    <row r="2296" ht="19.5" customHeight="1" x14ac:dyDescent="0.25"/>
    <row r="2297" ht="19.5" customHeight="1" x14ac:dyDescent="0.25"/>
    <row r="2298" ht="19.5" customHeight="1" x14ac:dyDescent="0.25"/>
    <row r="2299" ht="19.5" customHeight="1" x14ac:dyDescent="0.25"/>
    <row r="2300" ht="19.5" customHeight="1" x14ac:dyDescent="0.25"/>
    <row r="2301" ht="19.5" customHeight="1" x14ac:dyDescent="0.25"/>
    <row r="2302" ht="19.5" customHeight="1" x14ac:dyDescent="0.25"/>
    <row r="2303" ht="19.5" customHeight="1" x14ac:dyDescent="0.25"/>
    <row r="2304" ht="19.5" customHeight="1" x14ac:dyDescent="0.25"/>
    <row r="2305" ht="19.5" customHeight="1" x14ac:dyDescent="0.25"/>
    <row r="2306" ht="19.5" customHeight="1" x14ac:dyDescent="0.25"/>
    <row r="2307" ht="19.5" customHeight="1" x14ac:dyDescent="0.25"/>
    <row r="2308" ht="19.5" customHeight="1" x14ac:dyDescent="0.25"/>
    <row r="2309" ht="19.5" customHeight="1" x14ac:dyDescent="0.25"/>
    <row r="2310" ht="19.5" customHeight="1" x14ac:dyDescent="0.25"/>
    <row r="2311" ht="19.5" customHeight="1" x14ac:dyDescent="0.25"/>
    <row r="2312" ht="19.5" customHeight="1" x14ac:dyDescent="0.25"/>
    <row r="2313" ht="19.5" customHeight="1" x14ac:dyDescent="0.25"/>
    <row r="2314" ht="19.5" customHeight="1" x14ac:dyDescent="0.25"/>
    <row r="2315" ht="19.5" customHeight="1" x14ac:dyDescent="0.25"/>
    <row r="2316" ht="19.5" customHeight="1" x14ac:dyDescent="0.25"/>
    <row r="2317" ht="19.5" customHeight="1" x14ac:dyDescent="0.25"/>
    <row r="2318" ht="19.5" customHeight="1" x14ac:dyDescent="0.25"/>
    <row r="2319" ht="19.5" customHeight="1" x14ac:dyDescent="0.25"/>
    <row r="2320" ht="19.5" customHeight="1" x14ac:dyDescent="0.25"/>
    <row r="2321" ht="19.5" customHeight="1" x14ac:dyDescent="0.25"/>
    <row r="2322" ht="19.5" customHeight="1" x14ac:dyDescent="0.25"/>
    <row r="2323" ht="19.5" customHeight="1" x14ac:dyDescent="0.25"/>
    <row r="2324" ht="19.5" customHeight="1" x14ac:dyDescent="0.25"/>
    <row r="2325" ht="19.5" customHeight="1" x14ac:dyDescent="0.25"/>
    <row r="2326" ht="19.5" customHeight="1" x14ac:dyDescent="0.25"/>
    <row r="2327" ht="19.5" customHeight="1" x14ac:dyDescent="0.25"/>
    <row r="2328" ht="19.5" customHeight="1" x14ac:dyDescent="0.25"/>
    <row r="2329" ht="19.5" customHeight="1" x14ac:dyDescent="0.25"/>
    <row r="2330" ht="19.5" customHeight="1" x14ac:dyDescent="0.25"/>
    <row r="2331" ht="19.5" customHeight="1" x14ac:dyDescent="0.25"/>
    <row r="2332" ht="19.5" customHeight="1" x14ac:dyDescent="0.25"/>
    <row r="2333" ht="19.5" customHeight="1" x14ac:dyDescent="0.25"/>
    <row r="2334" ht="19.5" customHeight="1" x14ac:dyDescent="0.25"/>
    <row r="2335" ht="19.5" customHeight="1" x14ac:dyDescent="0.25"/>
    <row r="2336" ht="19.5" customHeight="1" x14ac:dyDescent="0.25"/>
    <row r="2337" ht="19.5" customHeight="1" x14ac:dyDescent="0.25"/>
    <row r="2338" ht="19.5" customHeight="1" x14ac:dyDescent="0.25"/>
    <row r="2339" ht="19.5" customHeight="1" x14ac:dyDescent="0.25"/>
    <row r="2340" ht="19.5" customHeight="1" x14ac:dyDescent="0.25"/>
    <row r="2341" ht="19.5" customHeight="1" x14ac:dyDescent="0.25"/>
    <row r="2342" ht="19.5" customHeight="1" x14ac:dyDescent="0.25"/>
    <row r="2343" ht="19.5" customHeight="1" x14ac:dyDescent="0.25"/>
    <row r="2344" ht="19.5" customHeight="1" x14ac:dyDescent="0.25"/>
    <row r="2345" ht="19.5" customHeight="1" x14ac:dyDescent="0.25"/>
    <row r="2346" ht="19.5" customHeight="1" x14ac:dyDescent="0.25"/>
    <row r="2347" ht="19.5" customHeight="1" x14ac:dyDescent="0.25"/>
    <row r="2348" ht="19.5" customHeight="1" x14ac:dyDescent="0.25"/>
    <row r="2349" ht="19.5" customHeight="1" x14ac:dyDescent="0.25"/>
    <row r="2350" ht="19.5" customHeight="1" x14ac:dyDescent="0.25"/>
    <row r="2351" ht="19.5" customHeight="1" x14ac:dyDescent="0.25"/>
    <row r="2352" ht="19.5" customHeight="1" x14ac:dyDescent="0.25"/>
    <row r="2353" ht="19.5" customHeight="1" x14ac:dyDescent="0.25"/>
    <row r="2354" ht="19.5" customHeight="1" x14ac:dyDescent="0.25"/>
    <row r="2355" ht="19.5" customHeight="1" x14ac:dyDescent="0.25"/>
    <row r="2356" ht="19.5" customHeight="1" x14ac:dyDescent="0.25"/>
    <row r="2357" ht="19.5" customHeight="1" x14ac:dyDescent="0.25"/>
    <row r="2358" ht="19.5" customHeight="1" x14ac:dyDescent="0.25"/>
    <row r="2359" ht="19.5" customHeight="1" x14ac:dyDescent="0.25"/>
    <row r="2360" ht="19.5" customHeight="1" x14ac:dyDescent="0.25"/>
    <row r="2361" ht="19.5" customHeight="1" x14ac:dyDescent="0.25"/>
    <row r="2362" ht="19.5" customHeight="1" x14ac:dyDescent="0.25"/>
    <row r="2363" ht="19.5" customHeight="1" x14ac:dyDescent="0.25"/>
    <row r="2364" ht="19.5" customHeight="1" x14ac:dyDescent="0.25"/>
    <row r="2365" ht="19.5" customHeight="1" x14ac:dyDescent="0.25"/>
    <row r="2366" ht="19.5" customHeight="1" x14ac:dyDescent="0.25"/>
    <row r="2367" ht="19.5" customHeight="1" x14ac:dyDescent="0.25"/>
    <row r="2368" ht="19.5" customHeight="1" x14ac:dyDescent="0.25"/>
    <row r="2369" ht="19.5" customHeight="1" x14ac:dyDescent="0.25"/>
    <row r="2370" ht="19.5" customHeight="1" x14ac:dyDescent="0.25"/>
    <row r="2371" ht="19.5" customHeight="1" x14ac:dyDescent="0.25"/>
    <row r="2372" ht="19.5" customHeight="1" x14ac:dyDescent="0.25"/>
    <row r="2373" ht="19.5" customHeight="1" x14ac:dyDescent="0.25"/>
    <row r="2374" ht="19.5" customHeight="1" x14ac:dyDescent="0.25"/>
    <row r="2375" ht="19.5" customHeight="1" x14ac:dyDescent="0.25"/>
    <row r="2376" ht="19.5" customHeight="1" x14ac:dyDescent="0.25"/>
    <row r="2377" ht="19.5" customHeight="1" x14ac:dyDescent="0.25"/>
    <row r="2378" ht="19.5" customHeight="1" x14ac:dyDescent="0.25"/>
    <row r="2379" ht="19.5" customHeight="1" x14ac:dyDescent="0.25"/>
    <row r="2380" ht="19.5" customHeight="1" x14ac:dyDescent="0.25"/>
    <row r="2381" ht="19.5" customHeight="1" x14ac:dyDescent="0.25"/>
    <row r="2382" ht="19.5" customHeight="1" x14ac:dyDescent="0.25"/>
    <row r="2383" ht="19.5" customHeight="1" x14ac:dyDescent="0.25"/>
    <row r="2384" ht="19.5" customHeight="1" x14ac:dyDescent="0.25"/>
    <row r="2385" ht="19.5" customHeight="1" x14ac:dyDescent="0.25"/>
    <row r="2386" ht="19.5" customHeight="1" x14ac:dyDescent="0.25"/>
    <row r="2387" ht="19.5" customHeight="1" x14ac:dyDescent="0.25"/>
    <row r="2388" ht="19.5" customHeight="1" x14ac:dyDescent="0.25"/>
    <row r="2389" ht="19.5" customHeight="1" x14ac:dyDescent="0.25"/>
    <row r="2390" ht="19.5" customHeight="1" x14ac:dyDescent="0.25"/>
    <row r="2391" ht="19.5" customHeight="1" x14ac:dyDescent="0.25"/>
    <row r="2392" ht="19.5" customHeight="1" x14ac:dyDescent="0.25"/>
    <row r="2393" ht="19.5" customHeight="1" x14ac:dyDescent="0.25"/>
    <row r="2394" ht="19.5" customHeight="1" x14ac:dyDescent="0.25"/>
    <row r="2395" ht="19.5" customHeight="1" x14ac:dyDescent="0.25"/>
    <row r="2396" ht="19.5" customHeight="1" x14ac:dyDescent="0.25"/>
    <row r="2397" ht="19.5" customHeight="1" x14ac:dyDescent="0.25"/>
    <row r="2398" ht="19.5" customHeight="1" x14ac:dyDescent="0.25"/>
    <row r="2399" ht="19.5" customHeight="1" x14ac:dyDescent="0.25"/>
    <row r="2400" ht="19.5" customHeight="1" x14ac:dyDescent="0.25"/>
    <row r="2401" ht="19.5" customHeight="1" x14ac:dyDescent="0.25"/>
    <row r="2402" ht="19.5" customHeight="1" x14ac:dyDescent="0.25"/>
    <row r="2403" ht="19.5" customHeight="1" x14ac:dyDescent="0.25"/>
    <row r="2404" ht="19.5" customHeight="1" x14ac:dyDescent="0.25"/>
    <row r="2405" ht="19.5" customHeight="1" x14ac:dyDescent="0.25"/>
    <row r="2406" ht="19.5" customHeight="1" x14ac:dyDescent="0.25"/>
    <row r="2407" ht="19.5" customHeight="1" x14ac:dyDescent="0.25"/>
    <row r="2408" ht="19.5" customHeight="1" x14ac:dyDescent="0.25"/>
    <row r="2409" ht="19.5" customHeight="1" x14ac:dyDescent="0.25"/>
    <row r="2410" ht="19.5" customHeight="1" x14ac:dyDescent="0.25"/>
    <row r="2411" ht="19.5" customHeight="1" x14ac:dyDescent="0.25"/>
    <row r="2412" ht="19.5" customHeight="1" x14ac:dyDescent="0.25"/>
    <row r="2413" ht="19.5" customHeight="1" x14ac:dyDescent="0.25"/>
    <row r="2414" ht="19.5" customHeight="1" x14ac:dyDescent="0.25"/>
    <row r="2415" ht="19.5" customHeight="1" x14ac:dyDescent="0.25"/>
    <row r="2416" ht="19.5" customHeight="1" x14ac:dyDescent="0.25"/>
    <row r="2417" ht="19.5" customHeight="1" x14ac:dyDescent="0.25"/>
    <row r="2418" ht="19.5" customHeight="1" x14ac:dyDescent="0.25"/>
    <row r="2419" ht="19.5" customHeight="1" x14ac:dyDescent="0.25"/>
    <row r="2420" ht="19.5" customHeight="1" x14ac:dyDescent="0.25"/>
    <row r="2421" ht="19.5" customHeight="1" x14ac:dyDescent="0.25"/>
    <row r="2422" ht="19.5" customHeight="1" x14ac:dyDescent="0.25"/>
    <row r="2423" ht="19.5" customHeight="1" x14ac:dyDescent="0.25"/>
    <row r="2424" ht="19.5" customHeight="1" x14ac:dyDescent="0.25"/>
    <row r="2425" ht="19.5" customHeight="1" x14ac:dyDescent="0.25"/>
    <row r="2426" ht="19.5" customHeight="1" x14ac:dyDescent="0.25"/>
    <row r="2427" ht="19.5" customHeight="1" x14ac:dyDescent="0.25"/>
    <row r="2428" ht="19.5" customHeight="1" x14ac:dyDescent="0.25"/>
    <row r="2429" ht="19.5" customHeight="1" x14ac:dyDescent="0.25"/>
    <row r="2430" ht="19.5" customHeight="1" x14ac:dyDescent="0.25"/>
    <row r="2431" ht="19.5" customHeight="1" x14ac:dyDescent="0.25"/>
    <row r="2432" ht="19.5" customHeight="1" x14ac:dyDescent="0.25"/>
    <row r="2433" ht="19.5" customHeight="1" x14ac:dyDescent="0.25"/>
    <row r="2434" ht="19.5" customHeight="1" x14ac:dyDescent="0.25"/>
    <row r="2435" ht="19.5" customHeight="1" x14ac:dyDescent="0.25"/>
    <row r="2436" ht="19.5" customHeight="1" x14ac:dyDescent="0.25"/>
    <row r="2437" ht="19.5" customHeight="1" x14ac:dyDescent="0.25"/>
    <row r="2438" ht="19.5" customHeight="1" x14ac:dyDescent="0.25"/>
    <row r="2439" ht="19.5" customHeight="1" x14ac:dyDescent="0.25"/>
    <row r="2440" ht="19.5" customHeight="1" x14ac:dyDescent="0.25"/>
    <row r="2441" ht="19.5" customHeight="1" x14ac:dyDescent="0.25"/>
    <row r="2442" ht="19.5" customHeight="1" x14ac:dyDescent="0.25"/>
    <row r="2443" ht="19.5" customHeight="1" x14ac:dyDescent="0.25"/>
    <row r="2444" ht="19.5" customHeight="1" x14ac:dyDescent="0.25"/>
    <row r="2445" ht="19.5" customHeight="1" x14ac:dyDescent="0.25"/>
    <row r="2446" ht="19.5" customHeight="1" x14ac:dyDescent="0.25"/>
    <row r="2447" ht="19.5" customHeight="1" x14ac:dyDescent="0.25"/>
    <row r="2448" ht="19.5" customHeight="1" x14ac:dyDescent="0.25"/>
    <row r="2449" ht="19.5" customHeight="1" x14ac:dyDescent="0.25"/>
    <row r="2450" ht="19.5" customHeight="1" x14ac:dyDescent="0.25"/>
    <row r="2451" ht="19.5" customHeight="1" x14ac:dyDescent="0.25"/>
    <row r="2452" ht="19.5" customHeight="1" x14ac:dyDescent="0.25"/>
    <row r="2453" ht="19.5" customHeight="1" x14ac:dyDescent="0.25"/>
    <row r="2454" ht="19.5" customHeight="1" x14ac:dyDescent="0.25"/>
    <row r="2455" ht="19.5" customHeight="1" x14ac:dyDescent="0.25"/>
    <row r="2456" ht="19.5" customHeight="1" x14ac:dyDescent="0.25"/>
    <row r="2457" ht="19.5" customHeight="1" x14ac:dyDescent="0.25"/>
    <row r="2458" ht="19.5" customHeight="1" x14ac:dyDescent="0.25"/>
    <row r="2459" ht="19.5" customHeight="1" x14ac:dyDescent="0.25"/>
    <row r="2460" ht="19.5" customHeight="1" x14ac:dyDescent="0.25"/>
    <row r="2461" ht="19.5" customHeight="1" x14ac:dyDescent="0.25"/>
    <row r="2462" ht="19.5" customHeight="1" x14ac:dyDescent="0.25"/>
    <row r="2463" ht="19.5" customHeight="1" x14ac:dyDescent="0.25"/>
    <row r="2464" ht="19.5" customHeight="1" x14ac:dyDescent="0.25"/>
    <row r="2465" ht="19.5" customHeight="1" x14ac:dyDescent="0.25"/>
    <row r="2466" ht="19.5" customHeight="1" x14ac:dyDescent="0.25"/>
    <row r="2467" ht="19.5" customHeight="1" x14ac:dyDescent="0.25"/>
    <row r="2468" ht="19.5" customHeight="1" x14ac:dyDescent="0.25"/>
    <row r="2469" ht="19.5" customHeight="1" x14ac:dyDescent="0.25"/>
    <row r="2470" ht="19.5" customHeight="1" x14ac:dyDescent="0.25"/>
    <row r="2471" ht="19.5" customHeight="1" x14ac:dyDescent="0.25"/>
    <row r="2472" ht="19.5" customHeight="1" x14ac:dyDescent="0.25"/>
    <row r="2473" ht="19.5" customHeight="1" x14ac:dyDescent="0.25"/>
    <row r="2474" ht="19.5" customHeight="1" x14ac:dyDescent="0.25"/>
    <row r="2475" ht="19.5" customHeight="1" x14ac:dyDescent="0.25"/>
    <row r="2476" ht="19.5" customHeight="1" x14ac:dyDescent="0.25"/>
    <row r="2477" ht="19.5" customHeight="1" x14ac:dyDescent="0.25"/>
    <row r="2478" ht="19.5" customHeight="1" x14ac:dyDescent="0.25"/>
    <row r="2479" ht="19.5" customHeight="1" x14ac:dyDescent="0.25"/>
    <row r="2480" ht="19.5" customHeight="1" x14ac:dyDescent="0.25"/>
    <row r="2481" ht="19.5" customHeight="1" x14ac:dyDescent="0.25"/>
    <row r="2482" ht="19.5" customHeight="1" x14ac:dyDescent="0.25"/>
    <row r="2483" ht="19.5" customHeight="1" x14ac:dyDescent="0.25"/>
    <row r="2484" ht="19.5" customHeight="1" x14ac:dyDescent="0.25"/>
    <row r="2485" ht="19.5" customHeight="1" x14ac:dyDescent="0.25"/>
    <row r="2486" ht="19.5" customHeight="1" x14ac:dyDescent="0.25"/>
    <row r="2487" ht="19.5" customHeight="1" x14ac:dyDescent="0.25"/>
    <row r="2488" ht="19.5" customHeight="1" x14ac:dyDescent="0.25"/>
    <row r="2489" ht="19.5" customHeight="1" x14ac:dyDescent="0.25"/>
    <row r="2490" ht="19.5" customHeight="1" x14ac:dyDescent="0.25"/>
    <row r="2491" ht="19.5" customHeight="1" x14ac:dyDescent="0.25"/>
    <row r="2492" ht="19.5" customHeight="1" x14ac:dyDescent="0.25"/>
    <row r="2493" ht="19.5" customHeight="1" x14ac:dyDescent="0.25"/>
    <row r="2494" ht="19.5" customHeight="1" x14ac:dyDescent="0.25"/>
    <row r="2495" ht="19.5" customHeight="1" x14ac:dyDescent="0.25"/>
    <row r="2496" ht="19.5" customHeight="1" x14ac:dyDescent="0.25"/>
    <row r="2497" ht="19.5" customHeight="1" x14ac:dyDescent="0.25"/>
    <row r="2498" ht="19.5" customHeight="1" x14ac:dyDescent="0.25"/>
    <row r="2499" ht="19.5" customHeight="1" x14ac:dyDescent="0.25"/>
    <row r="2500" ht="19.5" customHeight="1" x14ac:dyDescent="0.25"/>
    <row r="2501" ht="19.5" customHeight="1" x14ac:dyDescent="0.25"/>
    <row r="2502" ht="19.5" customHeight="1" x14ac:dyDescent="0.25"/>
    <row r="2503" ht="19.5" customHeight="1" x14ac:dyDescent="0.25"/>
    <row r="2504" ht="19.5" customHeight="1" x14ac:dyDescent="0.25"/>
    <row r="2505" ht="19.5" customHeight="1" x14ac:dyDescent="0.25"/>
    <row r="2506" ht="19.5" customHeight="1" x14ac:dyDescent="0.25"/>
    <row r="2507" ht="19.5" customHeight="1" x14ac:dyDescent="0.25"/>
    <row r="2508" ht="19.5" customHeight="1" x14ac:dyDescent="0.25"/>
    <row r="2509" ht="19.5" customHeight="1" x14ac:dyDescent="0.25"/>
    <row r="2510" ht="19.5" customHeight="1" x14ac:dyDescent="0.25"/>
    <row r="2511" ht="19.5" customHeight="1" x14ac:dyDescent="0.25"/>
    <row r="2512" ht="19.5" customHeight="1" x14ac:dyDescent="0.25"/>
    <row r="2513" ht="19.5" customHeight="1" x14ac:dyDescent="0.25"/>
    <row r="2514" ht="19.5" customHeight="1" x14ac:dyDescent="0.25"/>
    <row r="2515" ht="19.5" customHeight="1" x14ac:dyDescent="0.25"/>
    <row r="2516" ht="19.5" customHeight="1" x14ac:dyDescent="0.25"/>
    <row r="2517" ht="19.5" customHeight="1" x14ac:dyDescent="0.25"/>
    <row r="2518" ht="19.5" customHeight="1" x14ac:dyDescent="0.25"/>
    <row r="2519" ht="19.5" customHeight="1" x14ac:dyDescent="0.25"/>
    <row r="2520" ht="19.5" customHeight="1" x14ac:dyDescent="0.25"/>
    <row r="2521" ht="19.5" customHeight="1" x14ac:dyDescent="0.25"/>
    <row r="2522" ht="19.5" customHeight="1" x14ac:dyDescent="0.25"/>
    <row r="2523" ht="19.5" customHeight="1" x14ac:dyDescent="0.25"/>
    <row r="2524" ht="19.5" customHeight="1" x14ac:dyDescent="0.25"/>
    <row r="2525" ht="19.5" customHeight="1" x14ac:dyDescent="0.25"/>
    <row r="2526" ht="19.5" customHeight="1" x14ac:dyDescent="0.25"/>
    <row r="2527" ht="19.5" customHeight="1" x14ac:dyDescent="0.25"/>
    <row r="2528" ht="19.5" customHeight="1" x14ac:dyDescent="0.25"/>
    <row r="2529" ht="19.5" customHeight="1" x14ac:dyDescent="0.25"/>
    <row r="2530" ht="19.5" customHeight="1" x14ac:dyDescent="0.25"/>
    <row r="2531" ht="19.5" customHeight="1" x14ac:dyDescent="0.25"/>
    <row r="2532" ht="19.5" customHeight="1" x14ac:dyDescent="0.25"/>
    <row r="2533" ht="19.5" customHeight="1" x14ac:dyDescent="0.25"/>
    <row r="2534" ht="19.5" customHeight="1" x14ac:dyDescent="0.25"/>
    <row r="2535" ht="19.5" customHeight="1" x14ac:dyDescent="0.25"/>
    <row r="2536" ht="19.5" customHeight="1" x14ac:dyDescent="0.25"/>
    <row r="2537" ht="19.5" customHeight="1" x14ac:dyDescent="0.25"/>
    <row r="2538" ht="19.5" customHeight="1" x14ac:dyDescent="0.25"/>
    <row r="2539" ht="19.5" customHeight="1" x14ac:dyDescent="0.25"/>
    <row r="2540" ht="19.5" customHeight="1" x14ac:dyDescent="0.25"/>
    <row r="2541" ht="19.5" customHeight="1" x14ac:dyDescent="0.25"/>
    <row r="2542" ht="19.5" customHeight="1" x14ac:dyDescent="0.25"/>
    <row r="2543" ht="19.5" customHeight="1" x14ac:dyDescent="0.25"/>
    <row r="2544" ht="19.5" customHeight="1" x14ac:dyDescent="0.25"/>
    <row r="2545" ht="19.5" customHeight="1" x14ac:dyDescent="0.25"/>
    <row r="2546" ht="19.5" customHeight="1" x14ac:dyDescent="0.25"/>
    <row r="2547" ht="19.5" customHeight="1" x14ac:dyDescent="0.25"/>
    <row r="2548" ht="19.5" customHeight="1" x14ac:dyDescent="0.25"/>
    <row r="2549" ht="19.5" customHeight="1" x14ac:dyDescent="0.25"/>
    <row r="2550" ht="19.5" customHeight="1" x14ac:dyDescent="0.25"/>
    <row r="2551" ht="19.5" customHeight="1" x14ac:dyDescent="0.25"/>
    <row r="2552" ht="19.5" customHeight="1" x14ac:dyDescent="0.25"/>
    <row r="2553" ht="19.5" customHeight="1" x14ac:dyDescent="0.25"/>
    <row r="2554" ht="19.5" customHeight="1" x14ac:dyDescent="0.25"/>
    <row r="2555" ht="19.5" customHeight="1" x14ac:dyDescent="0.25"/>
    <row r="2556" ht="19.5" customHeight="1" x14ac:dyDescent="0.25"/>
    <row r="2557" ht="19.5" customHeight="1" x14ac:dyDescent="0.25"/>
    <row r="2558" ht="19.5" customHeight="1" x14ac:dyDescent="0.25"/>
    <row r="2559" ht="19.5" customHeight="1" x14ac:dyDescent="0.25"/>
    <row r="2560" ht="19.5" customHeight="1" x14ac:dyDescent="0.25"/>
    <row r="2561" ht="19.5" customHeight="1" x14ac:dyDescent="0.25"/>
    <row r="2562" ht="19.5" customHeight="1" x14ac:dyDescent="0.25"/>
    <row r="2563" ht="19.5" customHeight="1" x14ac:dyDescent="0.25"/>
    <row r="2564" ht="19.5" customHeight="1" x14ac:dyDescent="0.25"/>
    <row r="2565" ht="19.5" customHeight="1" x14ac:dyDescent="0.25"/>
    <row r="2566" ht="19.5" customHeight="1" x14ac:dyDescent="0.25"/>
    <row r="2567" ht="19.5" customHeight="1" x14ac:dyDescent="0.25"/>
    <row r="2568" ht="19.5" customHeight="1" x14ac:dyDescent="0.25"/>
    <row r="2569" ht="19.5" customHeight="1" x14ac:dyDescent="0.25"/>
    <row r="2570" ht="19.5" customHeight="1" x14ac:dyDescent="0.25"/>
    <row r="2571" ht="19.5" customHeight="1" x14ac:dyDescent="0.25"/>
    <row r="2572" ht="19.5" customHeight="1" x14ac:dyDescent="0.25"/>
    <row r="2573" ht="19.5" customHeight="1" x14ac:dyDescent="0.25"/>
    <row r="2574" ht="19.5" customHeight="1" x14ac:dyDescent="0.25"/>
    <row r="2575" ht="19.5" customHeight="1" x14ac:dyDescent="0.25"/>
    <row r="2576" ht="19.5" customHeight="1" x14ac:dyDescent="0.25"/>
    <row r="2577" ht="19.5" customHeight="1" x14ac:dyDescent="0.25"/>
    <row r="2578" ht="19.5" customHeight="1" x14ac:dyDescent="0.25"/>
    <row r="2579" ht="19.5" customHeight="1" x14ac:dyDescent="0.25"/>
    <row r="2580" ht="19.5" customHeight="1" x14ac:dyDescent="0.25"/>
    <row r="2581" ht="19.5" customHeight="1" x14ac:dyDescent="0.25"/>
    <row r="2582" ht="19.5" customHeight="1" x14ac:dyDescent="0.25"/>
    <row r="2583" ht="19.5" customHeight="1" x14ac:dyDescent="0.25"/>
    <row r="2584" ht="19.5" customHeight="1" x14ac:dyDescent="0.25"/>
    <row r="2585" ht="19.5" customHeight="1" x14ac:dyDescent="0.25"/>
    <row r="2586" ht="19.5" customHeight="1" x14ac:dyDescent="0.25"/>
    <row r="2587" ht="19.5" customHeight="1" x14ac:dyDescent="0.25"/>
    <row r="2588" ht="19.5" customHeight="1" x14ac:dyDescent="0.25"/>
    <row r="2589" ht="19.5" customHeight="1" x14ac:dyDescent="0.25"/>
    <row r="2590" ht="19.5" customHeight="1" x14ac:dyDescent="0.25"/>
    <row r="2591" ht="19.5" customHeight="1" x14ac:dyDescent="0.25"/>
    <row r="2592" ht="19.5" customHeight="1" x14ac:dyDescent="0.25"/>
    <row r="2593" ht="19.5" customHeight="1" x14ac:dyDescent="0.25"/>
    <row r="2594" ht="19.5" customHeight="1" x14ac:dyDescent="0.25"/>
    <row r="2595" ht="19.5" customHeight="1" x14ac:dyDescent="0.25"/>
    <row r="2596" ht="19.5" customHeight="1" x14ac:dyDescent="0.25"/>
    <row r="2597" ht="19.5" customHeight="1" x14ac:dyDescent="0.25"/>
    <row r="2598" ht="19.5" customHeight="1" x14ac:dyDescent="0.25"/>
    <row r="2599" ht="19.5" customHeight="1" x14ac:dyDescent="0.25"/>
    <row r="2600" ht="19.5" customHeight="1" x14ac:dyDescent="0.25"/>
    <row r="2601" ht="19.5" customHeight="1" x14ac:dyDescent="0.25"/>
    <row r="2602" ht="19.5" customHeight="1" x14ac:dyDescent="0.25"/>
    <row r="2603" ht="19.5" customHeight="1" x14ac:dyDescent="0.25"/>
    <row r="2604" ht="19.5" customHeight="1" x14ac:dyDescent="0.25"/>
    <row r="2605" ht="19.5" customHeight="1" x14ac:dyDescent="0.25"/>
    <row r="2606" ht="19.5" customHeight="1" x14ac:dyDescent="0.25"/>
    <row r="2607" ht="19.5" customHeight="1" x14ac:dyDescent="0.25"/>
    <row r="2608" ht="19.5" customHeight="1" x14ac:dyDescent="0.25"/>
    <row r="2609" ht="19.5" customHeight="1" x14ac:dyDescent="0.25"/>
    <row r="2610" ht="19.5" customHeight="1" x14ac:dyDescent="0.25"/>
    <row r="2611" ht="19.5" customHeight="1" x14ac:dyDescent="0.25"/>
    <row r="2612" ht="19.5" customHeight="1" x14ac:dyDescent="0.25"/>
    <row r="2613" ht="19.5" customHeight="1" x14ac:dyDescent="0.25"/>
    <row r="2614" ht="19.5" customHeight="1" x14ac:dyDescent="0.25"/>
    <row r="2615" ht="19.5" customHeight="1" x14ac:dyDescent="0.25"/>
    <row r="2616" ht="19.5" customHeight="1" x14ac:dyDescent="0.25"/>
    <row r="2617" ht="19.5" customHeight="1" x14ac:dyDescent="0.25"/>
    <row r="2618" ht="19.5" customHeight="1" x14ac:dyDescent="0.25"/>
    <row r="2619" ht="19.5" customHeight="1" x14ac:dyDescent="0.25"/>
    <row r="2620" ht="19.5" customHeight="1" x14ac:dyDescent="0.25"/>
    <row r="2621" ht="19.5" customHeight="1" x14ac:dyDescent="0.25"/>
    <row r="2622" ht="19.5" customHeight="1" x14ac:dyDescent="0.25"/>
    <row r="2623" ht="19.5" customHeight="1" x14ac:dyDescent="0.25"/>
    <row r="2624" ht="19.5" customHeight="1" x14ac:dyDescent="0.25"/>
    <row r="2625" ht="19.5" customHeight="1" x14ac:dyDescent="0.25"/>
    <row r="2626" ht="19.5" customHeight="1" x14ac:dyDescent="0.25"/>
    <row r="2627" ht="19.5" customHeight="1" x14ac:dyDescent="0.25"/>
    <row r="2628" ht="19.5" customHeight="1" x14ac:dyDescent="0.25"/>
    <row r="2629" ht="19.5" customHeight="1" x14ac:dyDescent="0.25"/>
    <row r="2630" ht="19.5" customHeight="1" x14ac:dyDescent="0.25"/>
    <row r="2631" ht="19.5" customHeight="1" x14ac:dyDescent="0.25"/>
    <row r="2632" ht="19.5" customHeight="1" x14ac:dyDescent="0.25"/>
    <row r="2633" ht="19.5" customHeight="1" x14ac:dyDescent="0.25"/>
    <row r="2634" ht="19.5" customHeight="1" x14ac:dyDescent="0.25"/>
    <row r="2635" ht="19.5" customHeight="1" x14ac:dyDescent="0.25"/>
    <row r="2636" ht="19.5" customHeight="1" x14ac:dyDescent="0.25"/>
    <row r="2637" ht="19.5" customHeight="1" x14ac:dyDescent="0.25"/>
    <row r="2638" ht="19.5" customHeight="1" x14ac:dyDescent="0.25"/>
    <row r="2639" ht="19.5" customHeight="1" x14ac:dyDescent="0.25"/>
    <row r="2640" ht="19.5" customHeight="1" x14ac:dyDescent="0.25"/>
    <row r="2641" ht="19.5" customHeight="1" x14ac:dyDescent="0.25"/>
    <row r="2642" ht="19.5" customHeight="1" x14ac:dyDescent="0.25"/>
    <row r="2643" ht="19.5" customHeight="1" x14ac:dyDescent="0.25"/>
    <row r="2644" ht="19.5" customHeight="1" x14ac:dyDescent="0.25"/>
    <row r="2645" ht="19.5" customHeight="1" x14ac:dyDescent="0.25"/>
    <row r="2646" ht="19.5" customHeight="1" x14ac:dyDescent="0.25"/>
    <row r="2647" ht="19.5" customHeight="1" x14ac:dyDescent="0.25"/>
    <row r="2648" ht="19.5" customHeight="1" x14ac:dyDescent="0.25"/>
    <row r="2649" ht="19.5" customHeight="1" x14ac:dyDescent="0.25"/>
    <row r="2650" ht="19.5" customHeight="1" x14ac:dyDescent="0.25"/>
    <row r="2651" ht="19.5" customHeight="1" x14ac:dyDescent="0.25"/>
    <row r="2652" ht="19.5" customHeight="1" x14ac:dyDescent="0.25"/>
    <row r="2653" ht="19.5" customHeight="1" x14ac:dyDescent="0.25"/>
    <row r="2654" ht="19.5" customHeight="1" x14ac:dyDescent="0.25"/>
    <row r="2655" ht="19.5" customHeight="1" x14ac:dyDescent="0.25"/>
    <row r="2656" ht="19.5" customHeight="1" x14ac:dyDescent="0.25"/>
    <row r="2657" ht="19.5" customHeight="1" x14ac:dyDescent="0.25"/>
    <row r="2658" ht="19.5" customHeight="1" x14ac:dyDescent="0.25"/>
    <row r="2659" ht="19.5" customHeight="1" x14ac:dyDescent="0.25"/>
    <row r="2660" ht="19.5" customHeight="1" x14ac:dyDescent="0.25"/>
    <row r="2661" ht="19.5" customHeight="1" x14ac:dyDescent="0.25"/>
    <row r="2662" ht="19.5" customHeight="1" x14ac:dyDescent="0.25"/>
    <row r="2663" ht="19.5" customHeight="1" x14ac:dyDescent="0.25"/>
    <row r="2664" ht="19.5" customHeight="1" x14ac:dyDescent="0.25"/>
    <row r="2665" ht="19.5" customHeight="1" x14ac:dyDescent="0.25"/>
    <row r="2666" ht="19.5" customHeight="1" x14ac:dyDescent="0.25"/>
    <row r="2667" ht="19.5" customHeight="1" x14ac:dyDescent="0.25"/>
    <row r="2668" ht="19.5" customHeight="1" x14ac:dyDescent="0.25"/>
    <row r="2669" ht="19.5" customHeight="1" x14ac:dyDescent="0.25"/>
    <row r="2670" ht="19.5" customHeight="1" x14ac:dyDescent="0.25"/>
    <row r="2671" ht="19.5" customHeight="1" x14ac:dyDescent="0.25"/>
    <row r="2672" ht="19.5" customHeight="1" x14ac:dyDescent="0.25"/>
    <row r="2673" ht="19.5" customHeight="1" x14ac:dyDescent="0.25"/>
    <row r="2674" ht="19.5" customHeight="1" x14ac:dyDescent="0.25"/>
    <row r="2675" ht="19.5" customHeight="1" x14ac:dyDescent="0.25"/>
    <row r="2676" ht="19.5" customHeight="1" x14ac:dyDescent="0.25"/>
    <row r="2677" ht="19.5" customHeight="1" x14ac:dyDescent="0.25"/>
    <row r="2678" ht="19.5" customHeight="1" x14ac:dyDescent="0.25"/>
    <row r="2679" ht="19.5" customHeight="1" x14ac:dyDescent="0.25"/>
    <row r="2680" ht="19.5" customHeight="1" x14ac:dyDescent="0.25"/>
    <row r="2681" ht="19.5" customHeight="1" x14ac:dyDescent="0.25"/>
    <row r="2682" ht="19.5" customHeight="1" x14ac:dyDescent="0.25"/>
    <row r="2683" ht="19.5" customHeight="1" x14ac:dyDescent="0.25"/>
    <row r="2684" ht="19.5" customHeight="1" x14ac:dyDescent="0.25"/>
    <row r="2685" ht="19.5" customHeight="1" x14ac:dyDescent="0.25"/>
    <row r="2686" ht="19.5" customHeight="1" x14ac:dyDescent="0.25"/>
    <row r="2687" ht="19.5" customHeight="1" x14ac:dyDescent="0.25"/>
    <row r="2688" ht="19.5" customHeight="1" x14ac:dyDescent="0.25"/>
    <row r="2689" ht="19.5" customHeight="1" x14ac:dyDescent="0.25"/>
    <row r="2690" ht="19.5" customHeight="1" x14ac:dyDescent="0.25"/>
    <row r="2691" ht="19.5" customHeight="1" x14ac:dyDescent="0.25"/>
    <row r="2692" ht="19.5" customHeight="1" x14ac:dyDescent="0.25"/>
    <row r="2693" ht="19.5" customHeight="1" x14ac:dyDescent="0.25"/>
    <row r="2694" ht="19.5" customHeight="1" x14ac:dyDescent="0.25"/>
    <row r="2695" ht="19.5" customHeight="1" x14ac:dyDescent="0.25"/>
    <row r="2696" ht="19.5" customHeight="1" x14ac:dyDescent="0.25"/>
    <row r="2697" ht="19.5" customHeight="1" x14ac:dyDescent="0.25"/>
    <row r="2698" ht="19.5" customHeight="1" x14ac:dyDescent="0.25"/>
    <row r="2699" ht="19.5" customHeight="1" x14ac:dyDescent="0.25"/>
    <row r="2700" ht="19.5" customHeight="1" x14ac:dyDescent="0.25"/>
    <row r="2701" ht="19.5" customHeight="1" x14ac:dyDescent="0.25"/>
    <row r="2702" ht="19.5" customHeight="1" x14ac:dyDescent="0.25"/>
    <row r="2703" ht="19.5" customHeight="1" x14ac:dyDescent="0.25"/>
    <row r="2704" ht="19.5" customHeight="1" x14ac:dyDescent="0.25"/>
    <row r="2705" ht="19.5" customHeight="1" x14ac:dyDescent="0.25"/>
    <row r="2706" ht="19.5" customHeight="1" x14ac:dyDescent="0.25"/>
    <row r="2707" ht="19.5" customHeight="1" x14ac:dyDescent="0.25"/>
    <row r="2708" ht="19.5" customHeight="1" x14ac:dyDescent="0.25"/>
    <row r="2709" ht="19.5" customHeight="1" x14ac:dyDescent="0.25"/>
    <row r="2710" ht="19.5" customHeight="1" x14ac:dyDescent="0.25"/>
    <row r="2711" ht="19.5" customHeight="1" x14ac:dyDescent="0.25"/>
    <row r="2712" ht="19.5" customHeight="1" x14ac:dyDescent="0.25"/>
    <row r="2713" ht="19.5" customHeight="1" x14ac:dyDescent="0.25"/>
    <row r="2714" ht="19.5" customHeight="1" x14ac:dyDescent="0.25"/>
    <row r="2715" ht="19.5" customHeight="1" x14ac:dyDescent="0.25"/>
    <row r="2716" ht="19.5" customHeight="1" x14ac:dyDescent="0.25"/>
    <row r="2717" ht="19.5" customHeight="1" x14ac:dyDescent="0.25"/>
    <row r="2718" ht="19.5" customHeight="1" x14ac:dyDescent="0.25"/>
    <row r="2719" ht="19.5" customHeight="1" x14ac:dyDescent="0.25"/>
    <row r="2720" ht="19.5" customHeight="1" x14ac:dyDescent="0.25"/>
    <row r="2721" ht="19.5" customHeight="1" x14ac:dyDescent="0.25"/>
    <row r="2722" ht="19.5" customHeight="1" x14ac:dyDescent="0.25"/>
    <row r="2723" ht="19.5" customHeight="1" x14ac:dyDescent="0.25"/>
    <row r="2724" ht="19.5" customHeight="1" x14ac:dyDescent="0.25"/>
    <row r="2725" ht="19.5" customHeight="1" x14ac:dyDescent="0.25"/>
    <row r="2726" ht="19.5" customHeight="1" x14ac:dyDescent="0.25"/>
    <row r="2727" ht="19.5" customHeight="1" x14ac:dyDescent="0.25"/>
    <row r="2728" ht="19.5" customHeight="1" x14ac:dyDescent="0.25"/>
    <row r="2729" ht="19.5" customHeight="1" x14ac:dyDescent="0.25"/>
    <row r="2730" ht="19.5" customHeight="1" x14ac:dyDescent="0.25"/>
    <row r="2731" ht="19.5" customHeight="1" x14ac:dyDescent="0.25"/>
    <row r="2732" ht="19.5" customHeight="1" x14ac:dyDescent="0.25"/>
    <row r="2733" ht="19.5" customHeight="1" x14ac:dyDescent="0.25"/>
    <row r="2734" ht="19.5" customHeight="1" x14ac:dyDescent="0.25"/>
    <row r="2735" ht="19.5" customHeight="1" x14ac:dyDescent="0.25"/>
    <row r="2736" ht="19.5" customHeight="1" x14ac:dyDescent="0.25"/>
    <row r="2737" ht="19.5" customHeight="1" x14ac:dyDescent="0.25"/>
    <row r="2738" ht="19.5" customHeight="1" x14ac:dyDescent="0.25"/>
    <row r="2739" ht="19.5" customHeight="1" x14ac:dyDescent="0.25"/>
    <row r="2740" ht="19.5" customHeight="1" x14ac:dyDescent="0.25"/>
    <row r="2741" ht="19.5" customHeight="1" x14ac:dyDescent="0.25"/>
    <row r="2742" ht="19.5" customHeight="1" x14ac:dyDescent="0.25"/>
    <row r="2743" ht="19.5" customHeight="1" x14ac:dyDescent="0.25"/>
    <row r="2744" ht="19.5" customHeight="1" x14ac:dyDescent="0.25"/>
    <row r="2745" ht="19.5" customHeight="1" x14ac:dyDescent="0.25"/>
    <row r="2746" ht="19.5" customHeight="1" x14ac:dyDescent="0.25"/>
    <row r="2747" ht="19.5" customHeight="1" x14ac:dyDescent="0.25"/>
    <row r="2748" ht="19.5" customHeight="1" x14ac:dyDescent="0.25"/>
    <row r="2749" ht="19.5" customHeight="1" x14ac:dyDescent="0.25"/>
    <row r="2750" ht="19.5" customHeight="1" x14ac:dyDescent="0.25"/>
    <row r="2751" ht="19.5" customHeight="1" x14ac:dyDescent="0.25"/>
    <row r="2752" ht="19.5" customHeight="1" x14ac:dyDescent="0.25"/>
    <row r="2753" ht="19.5" customHeight="1" x14ac:dyDescent="0.25"/>
    <row r="2754" ht="19.5" customHeight="1" x14ac:dyDescent="0.25"/>
    <row r="2755" ht="19.5" customHeight="1" x14ac:dyDescent="0.25"/>
    <row r="2756" ht="19.5" customHeight="1" x14ac:dyDescent="0.25"/>
    <row r="2757" ht="19.5" customHeight="1" x14ac:dyDescent="0.25"/>
    <row r="2758" ht="19.5" customHeight="1" x14ac:dyDescent="0.25"/>
    <row r="2759" ht="19.5" customHeight="1" x14ac:dyDescent="0.25"/>
    <row r="2760" ht="19.5" customHeight="1" x14ac:dyDescent="0.25"/>
    <row r="2761" ht="19.5" customHeight="1" x14ac:dyDescent="0.25"/>
    <row r="2762" ht="19.5" customHeight="1" x14ac:dyDescent="0.25"/>
    <row r="2763" ht="19.5" customHeight="1" x14ac:dyDescent="0.25"/>
    <row r="2764" ht="19.5" customHeight="1" x14ac:dyDescent="0.25"/>
    <row r="2765" ht="19.5" customHeight="1" x14ac:dyDescent="0.25"/>
    <row r="2766" ht="19.5" customHeight="1" x14ac:dyDescent="0.25"/>
    <row r="2767" ht="19.5" customHeight="1" x14ac:dyDescent="0.25"/>
    <row r="2768" ht="19.5" customHeight="1" x14ac:dyDescent="0.25"/>
    <row r="2769" ht="19.5" customHeight="1" x14ac:dyDescent="0.25"/>
    <row r="2770" ht="19.5" customHeight="1" x14ac:dyDescent="0.25"/>
    <row r="2771" ht="19.5" customHeight="1" x14ac:dyDescent="0.25"/>
    <row r="2772" ht="19.5" customHeight="1" x14ac:dyDescent="0.25"/>
    <row r="2773" ht="19.5" customHeight="1" x14ac:dyDescent="0.25"/>
    <row r="2774" ht="19.5" customHeight="1" x14ac:dyDescent="0.25"/>
    <row r="2775" ht="19.5" customHeight="1" x14ac:dyDescent="0.25"/>
    <row r="2776" ht="19.5" customHeight="1" x14ac:dyDescent="0.25"/>
    <row r="2777" ht="19.5" customHeight="1" x14ac:dyDescent="0.25"/>
    <row r="2778" ht="19.5" customHeight="1" x14ac:dyDescent="0.25"/>
    <row r="2779" ht="19.5" customHeight="1" x14ac:dyDescent="0.25"/>
    <row r="2780" ht="19.5" customHeight="1" x14ac:dyDescent="0.25"/>
    <row r="2781" ht="19.5" customHeight="1" x14ac:dyDescent="0.25"/>
    <row r="2782" ht="19.5" customHeight="1" x14ac:dyDescent="0.25"/>
    <row r="2783" ht="19.5" customHeight="1" x14ac:dyDescent="0.25"/>
    <row r="2784" ht="19.5" customHeight="1" x14ac:dyDescent="0.25"/>
    <row r="2785" ht="19.5" customHeight="1" x14ac:dyDescent="0.25"/>
    <row r="2786" ht="19.5" customHeight="1" x14ac:dyDescent="0.25"/>
    <row r="2787" ht="19.5" customHeight="1" x14ac:dyDescent="0.25"/>
    <row r="2788" ht="19.5" customHeight="1" x14ac:dyDescent="0.25"/>
    <row r="2789" ht="19.5" customHeight="1" x14ac:dyDescent="0.25"/>
    <row r="2790" ht="19.5" customHeight="1" x14ac:dyDescent="0.25"/>
    <row r="2791" ht="19.5" customHeight="1" x14ac:dyDescent="0.25"/>
    <row r="2792" ht="19.5" customHeight="1" x14ac:dyDescent="0.25"/>
    <row r="2793" ht="19.5" customHeight="1" x14ac:dyDescent="0.25"/>
    <row r="2794" ht="19.5" customHeight="1" x14ac:dyDescent="0.25"/>
    <row r="2795" ht="19.5" customHeight="1" x14ac:dyDescent="0.25"/>
    <row r="2796" ht="19.5" customHeight="1" x14ac:dyDescent="0.25"/>
    <row r="2797" ht="19.5" customHeight="1" x14ac:dyDescent="0.25"/>
    <row r="2798" ht="19.5" customHeight="1" x14ac:dyDescent="0.25"/>
    <row r="2799" ht="19.5" customHeight="1" x14ac:dyDescent="0.25"/>
    <row r="2800" ht="19.5" customHeight="1" x14ac:dyDescent="0.25"/>
    <row r="2801" ht="19.5" customHeight="1" x14ac:dyDescent="0.25"/>
    <row r="2802" ht="19.5" customHeight="1" x14ac:dyDescent="0.25"/>
    <row r="2803" ht="19.5" customHeight="1" x14ac:dyDescent="0.25"/>
    <row r="2804" ht="19.5" customHeight="1" x14ac:dyDescent="0.25"/>
    <row r="2805" ht="19.5" customHeight="1" x14ac:dyDescent="0.25"/>
    <row r="2806" ht="19.5" customHeight="1" x14ac:dyDescent="0.25"/>
    <row r="2807" ht="19.5" customHeight="1" x14ac:dyDescent="0.25"/>
    <row r="2808" ht="19.5" customHeight="1" x14ac:dyDescent="0.25"/>
    <row r="2809" ht="19.5" customHeight="1" x14ac:dyDescent="0.25"/>
    <row r="2810" ht="19.5" customHeight="1" x14ac:dyDescent="0.25"/>
    <row r="2811" ht="19.5" customHeight="1" x14ac:dyDescent="0.25"/>
    <row r="2812" ht="19.5" customHeight="1" x14ac:dyDescent="0.25"/>
    <row r="2813" ht="19.5" customHeight="1" x14ac:dyDescent="0.25"/>
    <row r="2814" ht="19.5" customHeight="1" x14ac:dyDescent="0.25"/>
    <row r="2815" ht="19.5" customHeight="1" x14ac:dyDescent="0.25"/>
    <row r="2816" ht="19.5" customHeight="1" x14ac:dyDescent="0.25"/>
    <row r="2817" ht="19.5" customHeight="1" x14ac:dyDescent="0.25"/>
    <row r="2818" ht="19.5" customHeight="1" x14ac:dyDescent="0.25"/>
    <row r="2819" ht="19.5" customHeight="1" x14ac:dyDescent="0.25"/>
    <row r="2820" ht="19.5" customHeight="1" x14ac:dyDescent="0.25"/>
    <row r="2821" ht="19.5" customHeight="1" x14ac:dyDescent="0.25"/>
    <row r="2822" ht="19.5" customHeight="1" x14ac:dyDescent="0.25"/>
    <row r="2823" ht="19.5" customHeight="1" x14ac:dyDescent="0.25"/>
    <row r="2824" ht="19.5" customHeight="1" x14ac:dyDescent="0.25"/>
    <row r="2825" ht="19.5" customHeight="1" x14ac:dyDescent="0.25"/>
    <row r="2826" ht="19.5" customHeight="1" x14ac:dyDescent="0.25"/>
    <row r="2827" ht="19.5" customHeight="1" x14ac:dyDescent="0.25"/>
    <row r="2828" ht="19.5" customHeight="1" x14ac:dyDescent="0.25"/>
    <row r="2829" ht="19.5" customHeight="1" x14ac:dyDescent="0.25"/>
    <row r="2830" ht="19.5" customHeight="1" x14ac:dyDescent="0.25"/>
    <row r="2831" ht="19.5" customHeight="1" x14ac:dyDescent="0.25"/>
    <row r="2832" ht="19.5" customHeight="1" x14ac:dyDescent="0.25"/>
    <row r="2833" ht="19.5" customHeight="1" x14ac:dyDescent="0.25"/>
    <row r="2834" ht="19.5" customHeight="1" x14ac:dyDescent="0.25"/>
    <row r="2835" ht="19.5" customHeight="1" x14ac:dyDescent="0.25"/>
    <row r="2836" ht="19.5" customHeight="1" x14ac:dyDescent="0.25"/>
    <row r="2837" ht="19.5" customHeight="1" x14ac:dyDescent="0.25"/>
    <row r="2838" ht="19.5" customHeight="1" x14ac:dyDescent="0.25"/>
    <row r="2839" ht="19.5" customHeight="1" x14ac:dyDescent="0.25"/>
    <row r="2840" ht="19.5" customHeight="1" x14ac:dyDescent="0.25"/>
    <row r="2841" ht="19.5" customHeight="1" x14ac:dyDescent="0.25"/>
    <row r="2842" ht="19.5" customHeight="1" x14ac:dyDescent="0.25"/>
    <row r="2843" ht="19.5" customHeight="1" x14ac:dyDescent="0.25"/>
    <row r="2844" ht="19.5" customHeight="1" x14ac:dyDescent="0.25"/>
    <row r="2845" ht="19.5" customHeight="1" x14ac:dyDescent="0.25"/>
    <row r="2846" ht="19.5" customHeight="1" x14ac:dyDescent="0.25"/>
    <row r="2847" ht="19.5" customHeight="1" x14ac:dyDescent="0.25"/>
    <row r="2848" ht="19.5" customHeight="1" x14ac:dyDescent="0.25"/>
    <row r="2849" ht="19.5" customHeight="1" x14ac:dyDescent="0.25"/>
    <row r="2850" ht="19.5" customHeight="1" x14ac:dyDescent="0.25"/>
    <row r="2851" ht="19.5" customHeight="1" x14ac:dyDescent="0.25"/>
    <row r="2852" ht="19.5" customHeight="1" x14ac:dyDescent="0.25"/>
    <row r="2853" ht="19.5" customHeight="1" x14ac:dyDescent="0.25"/>
    <row r="2854" ht="19.5" customHeight="1" x14ac:dyDescent="0.25"/>
    <row r="2855" ht="19.5" customHeight="1" x14ac:dyDescent="0.25"/>
    <row r="2856" ht="19.5" customHeight="1" x14ac:dyDescent="0.25"/>
    <row r="2857" ht="19.5" customHeight="1" x14ac:dyDescent="0.25"/>
    <row r="2858" ht="19.5" customHeight="1" x14ac:dyDescent="0.25"/>
    <row r="2859" ht="19.5" customHeight="1" x14ac:dyDescent="0.25"/>
    <row r="2860" ht="19.5" customHeight="1" x14ac:dyDescent="0.25"/>
    <row r="2861" ht="19.5" customHeight="1" x14ac:dyDescent="0.25"/>
    <row r="2862" ht="19.5" customHeight="1" x14ac:dyDescent="0.25"/>
    <row r="2863" ht="19.5" customHeight="1" x14ac:dyDescent="0.25"/>
    <row r="2864" ht="19.5" customHeight="1" x14ac:dyDescent="0.25"/>
    <row r="2865" ht="19.5" customHeight="1" x14ac:dyDescent="0.25"/>
    <row r="2866" ht="19.5" customHeight="1" x14ac:dyDescent="0.25"/>
    <row r="2867" ht="19.5" customHeight="1" x14ac:dyDescent="0.25"/>
    <row r="2868" ht="19.5" customHeight="1" x14ac:dyDescent="0.25"/>
    <row r="2869" ht="19.5" customHeight="1" x14ac:dyDescent="0.25"/>
    <row r="2870" ht="19.5" customHeight="1" x14ac:dyDescent="0.25"/>
    <row r="2871" ht="19.5" customHeight="1" x14ac:dyDescent="0.25"/>
    <row r="2872" ht="19.5" customHeight="1" x14ac:dyDescent="0.25"/>
    <row r="2873" ht="19.5" customHeight="1" x14ac:dyDescent="0.25"/>
    <row r="2874" ht="19.5" customHeight="1" x14ac:dyDescent="0.25"/>
    <row r="2875" ht="19.5" customHeight="1" x14ac:dyDescent="0.25"/>
    <row r="2876" ht="19.5" customHeight="1" x14ac:dyDescent="0.25"/>
    <row r="2877" ht="19.5" customHeight="1" x14ac:dyDescent="0.25"/>
    <row r="2878" ht="19.5" customHeight="1" x14ac:dyDescent="0.25"/>
    <row r="2879" ht="19.5" customHeight="1" x14ac:dyDescent="0.25"/>
    <row r="2880" ht="19.5" customHeight="1" x14ac:dyDescent="0.25"/>
    <row r="2881" ht="19.5" customHeight="1" x14ac:dyDescent="0.25"/>
    <row r="2882" ht="19.5" customHeight="1" x14ac:dyDescent="0.25"/>
    <row r="2883" ht="19.5" customHeight="1" x14ac:dyDescent="0.25"/>
    <row r="2884" ht="19.5" customHeight="1" x14ac:dyDescent="0.25"/>
    <row r="2885" ht="19.5" customHeight="1" x14ac:dyDescent="0.25"/>
    <row r="2886" ht="19.5" customHeight="1" x14ac:dyDescent="0.25"/>
    <row r="2887" ht="19.5" customHeight="1" x14ac:dyDescent="0.25"/>
    <row r="2888" ht="19.5" customHeight="1" x14ac:dyDescent="0.25"/>
    <row r="2889" ht="19.5" customHeight="1" x14ac:dyDescent="0.25"/>
    <row r="2890" ht="19.5" customHeight="1" x14ac:dyDescent="0.25"/>
    <row r="2891" ht="19.5" customHeight="1" x14ac:dyDescent="0.25"/>
    <row r="2892" ht="19.5" customHeight="1" x14ac:dyDescent="0.25"/>
    <row r="2893" ht="19.5" customHeight="1" x14ac:dyDescent="0.25"/>
    <row r="2894" ht="19.5" customHeight="1" x14ac:dyDescent="0.25"/>
    <row r="2895" ht="19.5" customHeight="1" x14ac:dyDescent="0.25"/>
    <row r="2896" ht="19.5" customHeight="1" x14ac:dyDescent="0.25"/>
    <row r="2897" ht="19.5" customHeight="1" x14ac:dyDescent="0.25"/>
    <row r="2898" ht="19.5" customHeight="1" x14ac:dyDescent="0.25"/>
    <row r="2899" ht="19.5" customHeight="1" x14ac:dyDescent="0.25"/>
    <row r="2900" ht="19.5" customHeight="1" x14ac:dyDescent="0.25"/>
    <row r="2901" ht="19.5" customHeight="1" x14ac:dyDescent="0.25"/>
    <row r="2902" ht="19.5" customHeight="1" x14ac:dyDescent="0.25"/>
    <row r="2903" ht="19.5" customHeight="1" x14ac:dyDescent="0.25"/>
    <row r="2904" ht="19.5" customHeight="1" x14ac:dyDescent="0.25"/>
    <row r="2905" ht="19.5" customHeight="1" x14ac:dyDescent="0.25"/>
    <row r="2906" ht="19.5" customHeight="1" x14ac:dyDescent="0.25"/>
    <row r="2907" ht="19.5" customHeight="1" x14ac:dyDescent="0.25"/>
    <row r="2908" ht="19.5" customHeight="1" x14ac:dyDescent="0.25"/>
    <row r="2909" ht="19.5" customHeight="1" x14ac:dyDescent="0.25"/>
    <row r="2910" ht="19.5" customHeight="1" x14ac:dyDescent="0.25"/>
    <row r="2911" ht="19.5" customHeight="1" x14ac:dyDescent="0.25"/>
    <row r="2912" ht="19.5" customHeight="1" x14ac:dyDescent="0.25"/>
    <row r="2913" ht="19.5" customHeight="1" x14ac:dyDescent="0.25"/>
    <row r="2914" ht="19.5" customHeight="1" x14ac:dyDescent="0.25"/>
    <row r="2915" ht="19.5" customHeight="1" x14ac:dyDescent="0.25"/>
    <row r="2916" ht="19.5" customHeight="1" x14ac:dyDescent="0.25"/>
    <row r="2917" ht="19.5" customHeight="1" x14ac:dyDescent="0.25"/>
    <row r="2918" ht="19.5" customHeight="1" x14ac:dyDescent="0.25"/>
    <row r="2919" ht="19.5" customHeight="1" x14ac:dyDescent="0.25"/>
    <row r="2920" ht="19.5" customHeight="1" x14ac:dyDescent="0.25"/>
    <row r="2921" ht="19.5" customHeight="1" x14ac:dyDescent="0.25"/>
    <row r="2922" ht="19.5" customHeight="1" x14ac:dyDescent="0.25"/>
    <row r="2923" ht="19.5" customHeight="1" x14ac:dyDescent="0.25"/>
    <row r="2924" ht="19.5" customHeight="1" x14ac:dyDescent="0.25"/>
    <row r="2925" ht="19.5" customHeight="1" x14ac:dyDescent="0.25"/>
    <row r="2926" ht="19.5" customHeight="1" x14ac:dyDescent="0.25"/>
    <row r="2927" ht="19.5" customHeight="1" x14ac:dyDescent="0.25"/>
    <row r="2928" ht="19.5" customHeight="1" x14ac:dyDescent="0.25"/>
    <row r="2929" ht="19.5" customHeight="1" x14ac:dyDescent="0.25"/>
    <row r="2930" ht="19.5" customHeight="1" x14ac:dyDescent="0.25"/>
    <row r="2931" ht="19.5" customHeight="1" x14ac:dyDescent="0.25"/>
    <row r="2932" ht="19.5" customHeight="1" x14ac:dyDescent="0.25"/>
    <row r="2933" ht="19.5" customHeight="1" x14ac:dyDescent="0.25"/>
    <row r="2934" ht="19.5" customHeight="1" x14ac:dyDescent="0.25"/>
    <row r="2935" ht="19.5" customHeight="1" x14ac:dyDescent="0.25"/>
    <row r="2936" ht="19.5" customHeight="1" x14ac:dyDescent="0.25"/>
    <row r="2937" ht="19.5" customHeight="1" x14ac:dyDescent="0.25"/>
    <row r="2938" ht="19.5" customHeight="1" x14ac:dyDescent="0.25"/>
    <row r="2939" ht="19.5" customHeight="1" x14ac:dyDescent="0.25"/>
    <row r="2940" ht="19.5" customHeight="1" x14ac:dyDescent="0.25"/>
    <row r="2941" ht="19.5" customHeight="1" x14ac:dyDescent="0.25"/>
    <row r="2942" ht="19.5" customHeight="1" x14ac:dyDescent="0.25"/>
    <row r="2943" ht="19.5" customHeight="1" x14ac:dyDescent="0.25"/>
    <row r="2944" ht="19.5" customHeight="1" x14ac:dyDescent="0.25"/>
    <row r="2945" ht="19.5" customHeight="1" x14ac:dyDescent="0.25"/>
    <row r="2946" ht="19.5" customHeight="1" x14ac:dyDescent="0.25"/>
    <row r="2947" ht="19.5" customHeight="1" x14ac:dyDescent="0.25"/>
    <row r="2948" ht="19.5" customHeight="1" x14ac:dyDescent="0.25"/>
    <row r="2949" ht="19.5" customHeight="1" x14ac:dyDescent="0.25"/>
    <row r="2950" ht="19.5" customHeight="1" x14ac:dyDescent="0.25"/>
    <row r="2951" ht="19.5" customHeight="1" x14ac:dyDescent="0.25"/>
    <row r="2952" ht="19.5" customHeight="1" x14ac:dyDescent="0.25"/>
    <row r="2953" ht="19.5" customHeight="1" x14ac:dyDescent="0.25"/>
    <row r="2954" ht="19.5" customHeight="1" x14ac:dyDescent="0.25"/>
    <row r="2955" ht="19.5" customHeight="1" x14ac:dyDescent="0.25"/>
    <row r="2956" ht="19.5" customHeight="1" x14ac:dyDescent="0.25"/>
    <row r="2957" ht="19.5" customHeight="1" x14ac:dyDescent="0.25"/>
    <row r="2958" ht="19.5" customHeight="1" x14ac:dyDescent="0.25"/>
    <row r="2959" ht="19.5" customHeight="1" x14ac:dyDescent="0.25"/>
    <row r="2960" ht="19.5" customHeight="1" x14ac:dyDescent="0.25"/>
    <row r="2961" ht="19.5" customHeight="1" x14ac:dyDescent="0.25"/>
    <row r="2962" ht="19.5" customHeight="1" x14ac:dyDescent="0.25"/>
    <row r="2963" ht="19.5" customHeight="1" x14ac:dyDescent="0.25"/>
    <row r="2964" ht="19.5" customHeight="1" x14ac:dyDescent="0.25"/>
    <row r="2965" ht="19.5" customHeight="1" x14ac:dyDescent="0.25"/>
    <row r="2966" ht="19.5" customHeight="1" x14ac:dyDescent="0.25"/>
    <row r="2967" ht="19.5" customHeight="1" x14ac:dyDescent="0.25"/>
    <row r="2968" ht="19.5" customHeight="1" x14ac:dyDescent="0.25"/>
    <row r="2969" ht="19.5" customHeight="1" x14ac:dyDescent="0.25"/>
    <row r="2970" ht="19.5" customHeight="1" x14ac:dyDescent="0.25"/>
    <row r="2971" ht="19.5" customHeight="1" x14ac:dyDescent="0.25"/>
    <row r="2972" ht="19.5" customHeight="1" x14ac:dyDescent="0.25"/>
    <row r="2973" ht="19.5" customHeight="1" x14ac:dyDescent="0.25"/>
    <row r="2974" ht="19.5" customHeight="1" x14ac:dyDescent="0.25"/>
    <row r="2975" ht="19.5" customHeight="1" x14ac:dyDescent="0.25"/>
    <row r="2976" ht="19.5" customHeight="1" x14ac:dyDescent="0.25"/>
    <row r="2977" ht="19.5" customHeight="1" x14ac:dyDescent="0.25"/>
    <row r="2978" ht="19.5" customHeight="1" x14ac:dyDescent="0.25"/>
    <row r="2979" ht="19.5" customHeight="1" x14ac:dyDescent="0.25"/>
    <row r="2980" ht="19.5" customHeight="1" x14ac:dyDescent="0.25"/>
    <row r="2981" ht="19.5" customHeight="1" x14ac:dyDescent="0.25"/>
    <row r="2982" ht="19.5" customHeight="1" x14ac:dyDescent="0.25"/>
    <row r="2983" ht="19.5" customHeight="1" x14ac:dyDescent="0.25"/>
    <row r="2984" ht="19.5" customHeight="1" x14ac:dyDescent="0.25"/>
    <row r="2985" ht="19.5" customHeight="1" x14ac:dyDescent="0.25"/>
    <row r="2986" ht="19.5" customHeight="1" x14ac:dyDescent="0.25"/>
    <row r="2987" ht="19.5" customHeight="1" x14ac:dyDescent="0.25"/>
    <row r="2988" ht="19.5" customHeight="1" x14ac:dyDescent="0.25"/>
    <row r="2989" ht="19.5" customHeight="1" x14ac:dyDescent="0.25"/>
    <row r="2990" ht="19.5" customHeight="1" x14ac:dyDescent="0.25"/>
    <row r="2991" ht="19.5" customHeight="1" x14ac:dyDescent="0.25"/>
    <row r="2992" ht="19.5" customHeight="1" x14ac:dyDescent="0.25"/>
    <row r="2993" ht="19.5" customHeight="1" x14ac:dyDescent="0.25"/>
    <row r="2994" ht="19.5" customHeight="1" x14ac:dyDescent="0.25"/>
    <row r="2995" ht="19.5" customHeight="1" x14ac:dyDescent="0.25"/>
    <row r="2996" ht="19.5" customHeight="1" x14ac:dyDescent="0.25"/>
    <row r="2997" ht="19.5" customHeight="1" x14ac:dyDescent="0.25"/>
    <row r="2998" ht="19.5" customHeight="1" x14ac:dyDescent="0.25"/>
    <row r="2999" ht="19.5" customHeight="1" x14ac:dyDescent="0.25"/>
    <row r="3000" ht="19.5" customHeight="1" x14ac:dyDescent="0.25"/>
    <row r="3001" ht="19.5" customHeight="1" x14ac:dyDescent="0.25"/>
    <row r="3002" ht="19.5" customHeight="1" x14ac:dyDescent="0.25"/>
    <row r="3003" ht="19.5" customHeight="1" x14ac:dyDescent="0.25"/>
    <row r="3004" ht="19.5" customHeight="1" x14ac:dyDescent="0.25"/>
    <row r="3005" ht="19.5" customHeight="1" x14ac:dyDescent="0.25"/>
    <row r="3006" ht="19.5" customHeight="1" x14ac:dyDescent="0.25"/>
    <row r="3007" ht="19.5" customHeight="1" x14ac:dyDescent="0.25"/>
    <row r="3008" ht="19.5" customHeight="1" x14ac:dyDescent="0.25"/>
    <row r="3009" ht="19.5" customHeight="1" x14ac:dyDescent="0.25"/>
    <row r="3010" ht="19.5" customHeight="1" x14ac:dyDescent="0.25"/>
    <row r="3011" ht="19.5" customHeight="1" x14ac:dyDescent="0.25"/>
    <row r="3012" ht="19.5" customHeight="1" x14ac:dyDescent="0.25"/>
    <row r="3013" ht="19.5" customHeight="1" x14ac:dyDescent="0.25"/>
    <row r="3014" ht="19.5" customHeight="1" x14ac:dyDescent="0.25"/>
    <row r="3015" ht="19.5" customHeight="1" x14ac:dyDescent="0.25"/>
    <row r="3016" ht="19.5" customHeight="1" x14ac:dyDescent="0.25"/>
    <row r="3017" ht="19.5" customHeight="1" x14ac:dyDescent="0.25"/>
    <row r="3018" ht="19.5" customHeight="1" x14ac:dyDescent="0.25"/>
    <row r="3019" ht="19.5" customHeight="1" x14ac:dyDescent="0.25"/>
    <row r="3020" ht="19.5" customHeight="1" x14ac:dyDescent="0.25"/>
    <row r="3021" ht="19.5" customHeight="1" x14ac:dyDescent="0.25"/>
    <row r="3022" ht="19.5" customHeight="1" x14ac:dyDescent="0.25"/>
    <row r="3023" ht="19.5" customHeight="1" x14ac:dyDescent="0.25"/>
    <row r="3024" ht="19.5" customHeight="1" x14ac:dyDescent="0.25"/>
    <row r="3025" ht="19.5" customHeight="1" x14ac:dyDescent="0.25"/>
    <row r="3026" ht="19.5" customHeight="1" x14ac:dyDescent="0.25"/>
    <row r="3027" ht="19.5" customHeight="1" x14ac:dyDescent="0.25"/>
    <row r="3028" ht="19.5" customHeight="1" x14ac:dyDescent="0.25"/>
    <row r="3029" ht="19.5" customHeight="1" x14ac:dyDescent="0.25"/>
    <row r="3030" ht="19.5" customHeight="1" x14ac:dyDescent="0.25"/>
    <row r="3031" ht="19.5" customHeight="1" x14ac:dyDescent="0.25"/>
    <row r="3032" ht="19.5" customHeight="1" x14ac:dyDescent="0.25"/>
    <row r="3033" ht="19.5" customHeight="1" x14ac:dyDescent="0.25"/>
    <row r="3034" ht="19.5" customHeight="1" x14ac:dyDescent="0.25"/>
    <row r="3035" ht="19.5" customHeight="1" x14ac:dyDescent="0.25"/>
    <row r="3036" ht="19.5" customHeight="1" x14ac:dyDescent="0.25"/>
    <row r="3037" ht="19.5" customHeight="1" x14ac:dyDescent="0.25"/>
    <row r="3038" ht="19.5" customHeight="1" x14ac:dyDescent="0.25"/>
    <row r="3039" ht="19.5" customHeight="1" x14ac:dyDescent="0.25"/>
    <row r="3040" ht="19.5" customHeight="1" x14ac:dyDescent="0.25"/>
    <row r="3041" ht="19.5" customHeight="1" x14ac:dyDescent="0.25"/>
    <row r="3042" ht="19.5" customHeight="1" x14ac:dyDescent="0.25"/>
    <row r="3043" ht="19.5" customHeight="1" x14ac:dyDescent="0.25"/>
    <row r="3044" ht="19.5" customHeight="1" x14ac:dyDescent="0.25"/>
    <row r="3045" ht="19.5" customHeight="1" x14ac:dyDescent="0.25"/>
    <row r="3046" ht="19.5" customHeight="1" x14ac:dyDescent="0.25"/>
    <row r="3047" ht="19.5" customHeight="1" x14ac:dyDescent="0.25"/>
    <row r="3048" ht="19.5" customHeight="1" x14ac:dyDescent="0.25"/>
    <row r="3049" ht="19.5" customHeight="1" x14ac:dyDescent="0.25"/>
    <row r="3050" ht="19.5" customHeight="1" x14ac:dyDescent="0.25"/>
    <row r="3051" ht="19.5" customHeight="1" x14ac:dyDescent="0.25"/>
    <row r="3052" ht="19.5" customHeight="1" x14ac:dyDescent="0.25"/>
    <row r="3053" ht="19.5" customHeight="1" x14ac:dyDescent="0.25"/>
    <row r="3054" ht="19.5" customHeight="1" x14ac:dyDescent="0.25"/>
    <row r="3055" ht="19.5" customHeight="1" x14ac:dyDescent="0.25"/>
    <row r="3056" ht="19.5" customHeight="1" x14ac:dyDescent="0.25"/>
    <row r="3057" ht="19.5" customHeight="1" x14ac:dyDescent="0.25"/>
    <row r="3058" ht="19.5" customHeight="1" x14ac:dyDescent="0.25"/>
    <row r="3059" ht="19.5" customHeight="1" x14ac:dyDescent="0.25"/>
    <row r="3060" ht="19.5" customHeight="1" x14ac:dyDescent="0.25"/>
    <row r="3061" ht="19.5" customHeight="1" x14ac:dyDescent="0.25"/>
    <row r="3062" ht="19.5" customHeight="1" x14ac:dyDescent="0.25"/>
    <row r="3063" ht="19.5" customHeight="1" x14ac:dyDescent="0.25"/>
    <row r="3064" ht="19.5" customHeight="1" x14ac:dyDescent="0.25"/>
    <row r="3065" ht="19.5" customHeight="1" x14ac:dyDescent="0.25"/>
    <row r="3066" ht="19.5" customHeight="1" x14ac:dyDescent="0.25"/>
    <row r="3067" ht="19.5" customHeight="1" x14ac:dyDescent="0.25"/>
    <row r="3068" ht="19.5" customHeight="1" x14ac:dyDescent="0.25"/>
    <row r="3069" ht="19.5" customHeight="1" x14ac:dyDescent="0.25"/>
    <row r="3070" ht="19.5" customHeight="1" x14ac:dyDescent="0.25"/>
    <row r="3071" ht="19.5" customHeight="1" x14ac:dyDescent="0.25"/>
    <row r="3072" ht="19.5" customHeight="1" x14ac:dyDescent="0.25"/>
    <row r="3073" ht="19.5" customHeight="1" x14ac:dyDescent="0.25"/>
    <row r="3074" ht="19.5" customHeight="1" x14ac:dyDescent="0.25"/>
    <row r="3075" ht="19.5" customHeight="1" x14ac:dyDescent="0.25"/>
    <row r="3076" ht="19.5" customHeight="1" x14ac:dyDescent="0.25"/>
    <row r="3077" ht="19.5" customHeight="1" x14ac:dyDescent="0.25"/>
    <row r="3078" ht="19.5" customHeight="1" x14ac:dyDescent="0.25"/>
    <row r="3079" ht="19.5" customHeight="1" x14ac:dyDescent="0.25"/>
    <row r="3080" ht="19.5" customHeight="1" x14ac:dyDescent="0.25"/>
    <row r="3081" ht="19.5" customHeight="1" x14ac:dyDescent="0.25"/>
    <row r="3082" ht="19.5" customHeight="1" x14ac:dyDescent="0.25"/>
    <row r="3083" ht="19.5" customHeight="1" x14ac:dyDescent="0.25"/>
    <row r="3084" ht="19.5" customHeight="1" x14ac:dyDescent="0.25"/>
    <row r="3085" ht="19.5" customHeight="1" x14ac:dyDescent="0.25"/>
    <row r="3086" ht="19.5" customHeight="1" x14ac:dyDescent="0.25"/>
    <row r="3087" ht="19.5" customHeight="1" x14ac:dyDescent="0.25"/>
    <row r="3088" ht="19.5" customHeight="1" x14ac:dyDescent="0.25"/>
    <row r="3089" ht="19.5" customHeight="1" x14ac:dyDescent="0.25"/>
    <row r="3090" ht="19.5" customHeight="1" x14ac:dyDescent="0.25"/>
    <row r="3091" ht="19.5" customHeight="1" x14ac:dyDescent="0.25"/>
    <row r="3092" ht="19.5" customHeight="1" x14ac:dyDescent="0.25"/>
    <row r="3093" ht="19.5" customHeight="1" x14ac:dyDescent="0.25"/>
    <row r="3094" ht="19.5" customHeight="1" x14ac:dyDescent="0.25"/>
    <row r="3095" ht="19.5" customHeight="1" x14ac:dyDescent="0.25"/>
    <row r="3096" ht="19.5" customHeight="1" x14ac:dyDescent="0.25"/>
    <row r="3097" ht="19.5" customHeight="1" x14ac:dyDescent="0.25"/>
    <row r="3098" ht="19.5" customHeight="1" x14ac:dyDescent="0.25"/>
    <row r="3099" ht="19.5" customHeight="1" x14ac:dyDescent="0.25"/>
    <row r="3100" ht="19.5" customHeight="1" x14ac:dyDescent="0.25"/>
    <row r="3101" ht="19.5" customHeight="1" x14ac:dyDescent="0.25"/>
    <row r="3102" ht="19.5" customHeight="1" x14ac:dyDescent="0.25"/>
    <row r="3103" ht="19.5" customHeight="1" x14ac:dyDescent="0.25"/>
    <row r="3104" ht="19.5" customHeight="1" x14ac:dyDescent="0.25"/>
    <row r="3105" ht="19.5" customHeight="1" x14ac:dyDescent="0.25"/>
    <row r="3106" ht="19.5" customHeight="1" x14ac:dyDescent="0.25"/>
    <row r="3107" ht="19.5" customHeight="1" x14ac:dyDescent="0.25"/>
    <row r="3108" ht="19.5" customHeight="1" x14ac:dyDescent="0.25"/>
    <row r="3109" ht="19.5" customHeight="1" x14ac:dyDescent="0.25"/>
    <row r="3110" ht="19.5" customHeight="1" x14ac:dyDescent="0.25"/>
    <row r="3111" ht="19.5" customHeight="1" x14ac:dyDescent="0.25"/>
    <row r="3112" ht="19.5" customHeight="1" x14ac:dyDescent="0.25"/>
    <row r="3113" ht="19.5" customHeight="1" x14ac:dyDescent="0.25"/>
    <row r="3114" ht="19.5" customHeight="1" x14ac:dyDescent="0.25"/>
    <row r="3115" ht="19.5" customHeight="1" x14ac:dyDescent="0.25"/>
    <row r="3116" ht="19.5" customHeight="1" x14ac:dyDescent="0.25"/>
    <row r="3117" ht="19.5" customHeight="1" x14ac:dyDescent="0.25"/>
    <row r="3118" ht="19.5" customHeight="1" x14ac:dyDescent="0.25"/>
    <row r="3119" ht="19.5" customHeight="1" x14ac:dyDescent="0.25"/>
    <row r="3120" ht="19.5" customHeight="1" x14ac:dyDescent="0.25"/>
    <row r="3121" ht="19.5" customHeight="1" x14ac:dyDescent="0.25"/>
    <row r="3122" ht="19.5" customHeight="1" x14ac:dyDescent="0.25"/>
    <row r="3123" ht="19.5" customHeight="1" x14ac:dyDescent="0.25"/>
    <row r="3124" ht="19.5" customHeight="1" x14ac:dyDescent="0.25"/>
    <row r="3125" ht="19.5" customHeight="1" x14ac:dyDescent="0.25"/>
    <row r="3126" ht="19.5" customHeight="1" x14ac:dyDescent="0.25"/>
    <row r="3127" ht="19.5" customHeight="1" x14ac:dyDescent="0.25"/>
    <row r="3128" ht="19.5" customHeight="1" x14ac:dyDescent="0.25"/>
    <row r="3129" ht="19.5" customHeight="1" x14ac:dyDescent="0.25"/>
    <row r="3130" ht="19.5" customHeight="1" x14ac:dyDescent="0.25"/>
    <row r="3131" ht="19.5" customHeight="1" x14ac:dyDescent="0.25"/>
    <row r="3132" ht="19.5" customHeight="1" x14ac:dyDescent="0.25"/>
    <row r="3133" ht="19.5" customHeight="1" x14ac:dyDescent="0.25"/>
    <row r="3134" ht="19.5" customHeight="1" x14ac:dyDescent="0.25"/>
    <row r="3135" ht="19.5" customHeight="1" x14ac:dyDescent="0.25"/>
    <row r="3136" ht="19.5" customHeight="1" x14ac:dyDescent="0.25"/>
    <row r="3137" ht="19.5" customHeight="1" x14ac:dyDescent="0.25"/>
    <row r="3138" ht="19.5" customHeight="1" x14ac:dyDescent="0.25"/>
    <row r="3139" ht="19.5" customHeight="1" x14ac:dyDescent="0.25"/>
    <row r="3140" ht="19.5" customHeight="1" x14ac:dyDescent="0.25"/>
    <row r="3141" ht="19.5" customHeight="1" x14ac:dyDescent="0.25"/>
    <row r="3142" ht="19.5" customHeight="1" x14ac:dyDescent="0.25"/>
    <row r="3143" ht="19.5" customHeight="1" x14ac:dyDescent="0.25"/>
    <row r="3144" ht="19.5" customHeight="1" x14ac:dyDescent="0.25"/>
    <row r="3145" ht="19.5" customHeight="1" x14ac:dyDescent="0.25"/>
    <row r="3146" ht="19.5" customHeight="1" x14ac:dyDescent="0.25"/>
    <row r="3147" ht="19.5" customHeight="1" x14ac:dyDescent="0.25"/>
    <row r="3148" ht="19.5" customHeight="1" x14ac:dyDescent="0.25"/>
    <row r="3149" ht="19.5" customHeight="1" x14ac:dyDescent="0.25"/>
    <row r="3150" ht="19.5" customHeight="1" x14ac:dyDescent="0.25"/>
    <row r="3151" ht="19.5" customHeight="1" x14ac:dyDescent="0.25"/>
    <row r="3152" ht="19.5" customHeight="1" x14ac:dyDescent="0.25"/>
    <row r="3153" ht="19.5" customHeight="1" x14ac:dyDescent="0.25"/>
    <row r="3154" ht="19.5" customHeight="1" x14ac:dyDescent="0.25"/>
    <row r="3155" ht="19.5" customHeight="1" x14ac:dyDescent="0.25"/>
    <row r="3156" ht="19.5" customHeight="1" x14ac:dyDescent="0.25"/>
    <row r="3157" ht="19.5" customHeight="1" x14ac:dyDescent="0.25"/>
    <row r="3158" ht="19.5" customHeight="1" x14ac:dyDescent="0.25"/>
    <row r="3159" ht="19.5" customHeight="1" x14ac:dyDescent="0.25"/>
    <row r="3160" ht="19.5" customHeight="1" x14ac:dyDescent="0.25"/>
    <row r="3161" ht="19.5" customHeight="1" x14ac:dyDescent="0.25"/>
    <row r="3162" ht="19.5" customHeight="1" x14ac:dyDescent="0.25"/>
    <row r="3163" ht="19.5" customHeight="1" x14ac:dyDescent="0.25"/>
    <row r="3164" ht="19.5" customHeight="1" x14ac:dyDescent="0.25"/>
    <row r="3165" ht="19.5" customHeight="1" x14ac:dyDescent="0.25"/>
    <row r="3166" ht="19.5" customHeight="1" x14ac:dyDescent="0.25"/>
    <row r="3167" ht="19.5" customHeight="1" x14ac:dyDescent="0.25"/>
    <row r="3168" ht="19.5" customHeight="1" x14ac:dyDescent="0.25"/>
    <row r="3169" ht="19.5" customHeight="1" x14ac:dyDescent="0.25"/>
    <row r="3170" ht="19.5" customHeight="1" x14ac:dyDescent="0.25"/>
    <row r="3171" ht="19.5" customHeight="1" x14ac:dyDescent="0.25"/>
    <row r="3172" ht="19.5" customHeight="1" x14ac:dyDescent="0.25"/>
    <row r="3173" ht="19.5" customHeight="1" x14ac:dyDescent="0.25"/>
    <row r="3174" ht="19.5" customHeight="1" x14ac:dyDescent="0.25"/>
    <row r="3175" ht="19.5" customHeight="1" x14ac:dyDescent="0.25"/>
    <row r="3176" ht="19.5" customHeight="1" x14ac:dyDescent="0.25"/>
    <row r="3177" ht="19.5" customHeight="1" x14ac:dyDescent="0.25"/>
    <row r="3178" ht="19.5" customHeight="1" x14ac:dyDescent="0.25"/>
    <row r="3179" ht="19.5" customHeight="1" x14ac:dyDescent="0.25"/>
    <row r="3180" ht="19.5" customHeight="1" x14ac:dyDescent="0.25"/>
    <row r="3181" ht="19.5" customHeight="1" x14ac:dyDescent="0.25"/>
    <row r="3182" ht="19.5" customHeight="1" x14ac:dyDescent="0.25"/>
    <row r="3183" ht="19.5" customHeight="1" x14ac:dyDescent="0.25"/>
    <row r="3184" ht="19.5" customHeight="1" x14ac:dyDescent="0.25"/>
    <row r="3185" ht="19.5" customHeight="1" x14ac:dyDescent="0.25"/>
    <row r="3186" ht="19.5" customHeight="1" x14ac:dyDescent="0.25"/>
    <row r="3187" ht="19.5" customHeight="1" x14ac:dyDescent="0.25"/>
    <row r="3188" ht="19.5" customHeight="1" x14ac:dyDescent="0.25"/>
    <row r="3189" ht="19.5" customHeight="1" x14ac:dyDescent="0.25"/>
    <row r="3190" ht="19.5" customHeight="1" x14ac:dyDescent="0.25"/>
    <row r="3191" ht="19.5" customHeight="1" x14ac:dyDescent="0.25"/>
    <row r="3192" ht="19.5" customHeight="1" x14ac:dyDescent="0.25"/>
    <row r="3193" ht="19.5" customHeight="1" x14ac:dyDescent="0.25"/>
    <row r="3194" ht="19.5" customHeight="1" x14ac:dyDescent="0.25"/>
    <row r="3195" ht="19.5" customHeight="1" x14ac:dyDescent="0.25"/>
    <row r="3196" ht="19.5" customHeight="1" x14ac:dyDescent="0.25"/>
    <row r="3197" ht="19.5" customHeight="1" x14ac:dyDescent="0.25"/>
    <row r="3198" ht="19.5" customHeight="1" x14ac:dyDescent="0.25"/>
    <row r="3199" ht="19.5" customHeight="1" x14ac:dyDescent="0.25"/>
    <row r="3200" ht="19.5" customHeight="1" x14ac:dyDescent="0.25"/>
    <row r="3201" ht="19.5" customHeight="1" x14ac:dyDescent="0.25"/>
    <row r="3202" ht="19.5" customHeight="1" x14ac:dyDescent="0.25"/>
    <row r="3203" ht="19.5" customHeight="1" x14ac:dyDescent="0.25"/>
    <row r="3204" ht="19.5" customHeight="1" x14ac:dyDescent="0.25"/>
    <row r="3205" ht="19.5" customHeight="1" x14ac:dyDescent="0.25"/>
    <row r="3206" ht="19.5" customHeight="1" x14ac:dyDescent="0.25"/>
    <row r="3207" ht="19.5" customHeight="1" x14ac:dyDescent="0.25"/>
    <row r="3208" ht="19.5" customHeight="1" x14ac:dyDescent="0.25"/>
    <row r="3209" ht="19.5" customHeight="1" x14ac:dyDescent="0.25"/>
    <row r="3210" ht="19.5" customHeight="1" x14ac:dyDescent="0.25"/>
    <row r="3211" ht="19.5" customHeight="1" x14ac:dyDescent="0.25"/>
    <row r="3212" ht="19.5" customHeight="1" x14ac:dyDescent="0.25"/>
    <row r="3213" ht="19.5" customHeight="1" x14ac:dyDescent="0.25"/>
    <row r="3214" ht="19.5" customHeight="1" x14ac:dyDescent="0.25"/>
    <row r="3215" ht="19.5" customHeight="1" x14ac:dyDescent="0.25"/>
    <row r="3216" ht="19.5" customHeight="1" x14ac:dyDescent="0.25"/>
    <row r="3217" ht="19.5" customHeight="1" x14ac:dyDescent="0.25"/>
    <row r="3218" ht="19.5" customHeight="1" x14ac:dyDescent="0.25"/>
    <row r="3219" ht="19.5" customHeight="1" x14ac:dyDescent="0.25"/>
    <row r="3220" ht="19.5" customHeight="1" x14ac:dyDescent="0.25"/>
    <row r="3221" ht="19.5" customHeight="1" x14ac:dyDescent="0.25"/>
    <row r="3222" ht="19.5" customHeight="1" x14ac:dyDescent="0.25"/>
    <row r="3223" ht="19.5" customHeight="1" x14ac:dyDescent="0.25"/>
    <row r="3224" ht="19.5" customHeight="1" x14ac:dyDescent="0.25"/>
    <row r="3225" ht="19.5" customHeight="1" x14ac:dyDescent="0.25"/>
    <row r="3226" ht="19.5" customHeight="1" x14ac:dyDescent="0.25"/>
    <row r="3227" ht="19.5" customHeight="1" x14ac:dyDescent="0.25"/>
    <row r="3228" ht="19.5" customHeight="1" x14ac:dyDescent="0.25"/>
    <row r="3229" ht="19.5" customHeight="1" x14ac:dyDescent="0.25"/>
    <row r="3230" ht="19.5" customHeight="1" x14ac:dyDescent="0.25"/>
    <row r="3231" ht="19.5" customHeight="1" x14ac:dyDescent="0.25"/>
    <row r="3232" ht="19.5" customHeight="1" x14ac:dyDescent="0.25"/>
    <row r="3233" ht="19.5" customHeight="1" x14ac:dyDescent="0.25"/>
    <row r="3234" ht="19.5" customHeight="1" x14ac:dyDescent="0.25"/>
    <row r="3235" ht="19.5" customHeight="1" x14ac:dyDescent="0.25"/>
    <row r="3236" ht="19.5" customHeight="1" x14ac:dyDescent="0.25"/>
    <row r="3237" ht="19.5" customHeight="1" x14ac:dyDescent="0.25"/>
    <row r="3238" ht="19.5" customHeight="1" x14ac:dyDescent="0.25"/>
    <row r="3239" ht="19.5" customHeight="1" x14ac:dyDescent="0.25"/>
    <row r="3240" ht="19.5" customHeight="1" x14ac:dyDescent="0.25"/>
    <row r="3241" ht="19.5" customHeight="1" x14ac:dyDescent="0.25"/>
    <row r="3242" ht="19.5" customHeight="1" x14ac:dyDescent="0.25"/>
    <row r="3243" ht="19.5" customHeight="1" x14ac:dyDescent="0.25"/>
    <row r="3244" ht="19.5" customHeight="1" x14ac:dyDescent="0.25"/>
    <row r="3245" ht="19.5" customHeight="1" x14ac:dyDescent="0.25"/>
    <row r="3246" ht="19.5" customHeight="1" x14ac:dyDescent="0.25"/>
    <row r="3247" ht="19.5" customHeight="1" x14ac:dyDescent="0.25"/>
    <row r="3248" ht="19.5" customHeight="1" x14ac:dyDescent="0.25"/>
    <row r="3249" ht="19.5" customHeight="1" x14ac:dyDescent="0.25"/>
    <row r="3250" ht="19.5" customHeight="1" x14ac:dyDescent="0.25"/>
    <row r="3251" ht="19.5" customHeight="1" x14ac:dyDescent="0.25"/>
    <row r="3252" ht="19.5" customHeight="1" x14ac:dyDescent="0.25"/>
    <row r="3253" ht="19.5" customHeight="1" x14ac:dyDescent="0.25"/>
    <row r="3254" ht="19.5" customHeight="1" x14ac:dyDescent="0.25"/>
    <row r="3255" ht="19.5" customHeight="1" x14ac:dyDescent="0.25"/>
    <row r="3256" ht="19.5" customHeight="1" x14ac:dyDescent="0.25"/>
    <row r="3257" ht="19.5" customHeight="1" x14ac:dyDescent="0.25"/>
    <row r="3258" ht="19.5" customHeight="1" x14ac:dyDescent="0.25"/>
    <row r="3259" ht="19.5" customHeight="1" x14ac:dyDescent="0.25"/>
    <row r="3260" ht="19.5" customHeight="1" x14ac:dyDescent="0.25"/>
    <row r="3261" ht="19.5" customHeight="1" x14ac:dyDescent="0.25"/>
    <row r="3262" ht="19.5" customHeight="1" x14ac:dyDescent="0.25"/>
    <row r="3263" ht="19.5" customHeight="1" x14ac:dyDescent="0.25"/>
    <row r="3264" ht="19.5" customHeight="1" x14ac:dyDescent="0.25"/>
    <row r="3265" ht="19.5" customHeight="1" x14ac:dyDescent="0.25"/>
    <row r="3266" ht="19.5" customHeight="1" x14ac:dyDescent="0.25"/>
    <row r="3267" ht="19.5" customHeight="1" x14ac:dyDescent="0.25"/>
    <row r="3268" ht="19.5" customHeight="1" x14ac:dyDescent="0.25"/>
    <row r="3269" ht="19.5" customHeight="1" x14ac:dyDescent="0.25"/>
    <row r="3270" ht="19.5" customHeight="1" x14ac:dyDescent="0.25"/>
    <row r="3271" ht="19.5" customHeight="1" x14ac:dyDescent="0.25"/>
    <row r="3272" ht="19.5" customHeight="1" x14ac:dyDescent="0.25"/>
    <row r="3273" ht="19.5" customHeight="1" x14ac:dyDescent="0.25"/>
    <row r="3274" ht="19.5" customHeight="1" x14ac:dyDescent="0.25"/>
    <row r="3275" ht="19.5" customHeight="1" x14ac:dyDescent="0.25"/>
    <row r="3276" ht="19.5" customHeight="1" x14ac:dyDescent="0.25"/>
    <row r="3277" ht="19.5" customHeight="1" x14ac:dyDescent="0.25"/>
    <row r="3278" ht="19.5" customHeight="1" x14ac:dyDescent="0.25"/>
    <row r="3279" ht="19.5" customHeight="1" x14ac:dyDescent="0.25"/>
    <row r="3280" ht="19.5" customHeight="1" x14ac:dyDescent="0.25"/>
    <row r="3281" ht="19.5" customHeight="1" x14ac:dyDescent="0.25"/>
    <row r="3282" ht="19.5" customHeight="1" x14ac:dyDescent="0.25"/>
    <row r="3283" ht="19.5" customHeight="1" x14ac:dyDescent="0.25"/>
    <row r="3284" ht="19.5" customHeight="1" x14ac:dyDescent="0.25"/>
    <row r="3285" ht="19.5" customHeight="1" x14ac:dyDescent="0.25"/>
    <row r="3286" ht="19.5" customHeight="1" x14ac:dyDescent="0.25"/>
    <row r="3287" ht="19.5" customHeight="1" x14ac:dyDescent="0.25"/>
    <row r="3288" ht="19.5" customHeight="1" x14ac:dyDescent="0.25"/>
    <row r="3289" ht="19.5" customHeight="1" x14ac:dyDescent="0.25"/>
    <row r="3290" ht="19.5" customHeight="1" x14ac:dyDescent="0.25"/>
    <row r="3291" ht="19.5" customHeight="1" x14ac:dyDescent="0.25"/>
    <row r="3292" ht="19.5" customHeight="1" x14ac:dyDescent="0.25"/>
    <row r="3293" ht="19.5" customHeight="1" x14ac:dyDescent="0.25"/>
    <row r="3294" ht="19.5" customHeight="1" x14ac:dyDescent="0.25"/>
    <row r="3295" ht="19.5" customHeight="1" x14ac:dyDescent="0.25"/>
    <row r="3296" ht="19.5" customHeight="1" x14ac:dyDescent="0.25"/>
    <row r="3297" ht="19.5" customHeight="1" x14ac:dyDescent="0.25"/>
    <row r="3298" ht="19.5" customHeight="1" x14ac:dyDescent="0.25"/>
    <row r="3299" ht="19.5" customHeight="1" x14ac:dyDescent="0.25"/>
    <row r="3300" ht="19.5" customHeight="1" x14ac:dyDescent="0.25"/>
    <row r="3301" ht="19.5" customHeight="1" x14ac:dyDescent="0.25"/>
    <row r="3302" ht="19.5" customHeight="1" x14ac:dyDescent="0.25"/>
    <row r="3303" ht="19.5" customHeight="1" x14ac:dyDescent="0.25"/>
    <row r="3304" ht="19.5" customHeight="1" x14ac:dyDescent="0.25"/>
    <row r="3305" ht="19.5" customHeight="1" x14ac:dyDescent="0.25"/>
    <row r="3306" ht="19.5" customHeight="1" x14ac:dyDescent="0.25"/>
    <row r="3307" ht="19.5" customHeight="1" x14ac:dyDescent="0.25"/>
    <row r="3308" ht="19.5" customHeight="1" x14ac:dyDescent="0.25"/>
    <row r="3309" ht="19.5" customHeight="1" x14ac:dyDescent="0.25"/>
    <row r="3310" ht="19.5" customHeight="1" x14ac:dyDescent="0.25"/>
    <row r="3311" ht="19.5" customHeight="1" x14ac:dyDescent="0.25"/>
    <row r="3312" ht="19.5" customHeight="1" x14ac:dyDescent="0.25"/>
    <row r="3313" ht="19.5" customHeight="1" x14ac:dyDescent="0.25"/>
    <row r="3314" ht="19.5" customHeight="1" x14ac:dyDescent="0.25"/>
    <row r="3315" ht="19.5" customHeight="1" x14ac:dyDescent="0.25"/>
    <row r="3316" ht="19.5" customHeight="1" x14ac:dyDescent="0.25"/>
    <row r="3317" ht="19.5" customHeight="1" x14ac:dyDescent="0.25"/>
    <row r="3318" ht="19.5" customHeight="1" x14ac:dyDescent="0.25"/>
    <row r="3319" ht="19.5" customHeight="1" x14ac:dyDescent="0.25"/>
    <row r="3320" ht="19.5" customHeight="1" x14ac:dyDescent="0.25"/>
    <row r="3321" ht="19.5" customHeight="1" x14ac:dyDescent="0.25"/>
    <row r="3322" ht="19.5" customHeight="1" x14ac:dyDescent="0.25"/>
    <row r="3323" ht="19.5" customHeight="1" x14ac:dyDescent="0.25"/>
    <row r="3324" ht="19.5" customHeight="1" x14ac:dyDescent="0.25"/>
    <row r="3325" ht="19.5" customHeight="1" x14ac:dyDescent="0.25"/>
    <row r="3326" ht="19.5" customHeight="1" x14ac:dyDescent="0.25"/>
    <row r="3327" ht="19.5" customHeight="1" x14ac:dyDescent="0.25"/>
    <row r="3328" ht="19.5" customHeight="1" x14ac:dyDescent="0.25"/>
    <row r="3329" ht="19.5" customHeight="1" x14ac:dyDescent="0.25"/>
    <row r="3330" ht="19.5" customHeight="1" x14ac:dyDescent="0.25"/>
    <row r="3331" ht="19.5" customHeight="1" x14ac:dyDescent="0.25"/>
    <row r="3332" ht="19.5" customHeight="1" x14ac:dyDescent="0.25"/>
    <row r="3333" ht="19.5" customHeight="1" x14ac:dyDescent="0.25"/>
    <row r="3334" ht="19.5" customHeight="1" x14ac:dyDescent="0.25"/>
    <row r="3335" ht="19.5" customHeight="1" x14ac:dyDescent="0.25"/>
    <row r="3336" ht="19.5" customHeight="1" x14ac:dyDescent="0.25"/>
    <row r="3337" ht="19.5" customHeight="1" x14ac:dyDescent="0.25"/>
    <row r="3338" ht="19.5" customHeight="1" x14ac:dyDescent="0.25"/>
    <row r="3339" ht="19.5" customHeight="1" x14ac:dyDescent="0.25"/>
    <row r="3340" ht="19.5" customHeight="1" x14ac:dyDescent="0.25"/>
    <row r="3341" ht="19.5" customHeight="1" x14ac:dyDescent="0.25"/>
    <row r="3342" ht="19.5" customHeight="1" x14ac:dyDescent="0.25"/>
    <row r="3343" ht="19.5" customHeight="1" x14ac:dyDescent="0.25"/>
    <row r="3344" ht="19.5" customHeight="1" x14ac:dyDescent="0.25"/>
    <row r="3345" ht="19.5" customHeight="1" x14ac:dyDescent="0.25"/>
    <row r="3346" ht="19.5" customHeight="1" x14ac:dyDescent="0.25"/>
    <row r="3347" ht="19.5" customHeight="1" x14ac:dyDescent="0.25"/>
    <row r="3348" ht="19.5" customHeight="1" x14ac:dyDescent="0.25"/>
    <row r="3349" ht="19.5" customHeight="1" x14ac:dyDescent="0.25"/>
    <row r="3350" ht="19.5" customHeight="1" x14ac:dyDescent="0.25"/>
    <row r="3351" ht="19.5" customHeight="1" x14ac:dyDescent="0.25"/>
    <row r="3352" ht="19.5" customHeight="1" x14ac:dyDescent="0.25"/>
    <row r="3353" ht="19.5" customHeight="1" x14ac:dyDescent="0.25"/>
    <row r="3354" ht="19.5" customHeight="1" x14ac:dyDescent="0.25"/>
    <row r="3355" ht="19.5" customHeight="1" x14ac:dyDescent="0.25"/>
    <row r="3356" ht="19.5" customHeight="1" x14ac:dyDescent="0.25"/>
    <row r="3357" ht="19.5" customHeight="1" x14ac:dyDescent="0.25"/>
    <row r="3358" ht="19.5" customHeight="1" x14ac:dyDescent="0.25"/>
    <row r="3359" ht="19.5" customHeight="1" x14ac:dyDescent="0.25"/>
    <row r="3360" ht="19.5" customHeight="1" x14ac:dyDescent="0.25"/>
    <row r="3361" ht="19.5" customHeight="1" x14ac:dyDescent="0.25"/>
    <row r="3362" ht="19.5" customHeight="1" x14ac:dyDescent="0.25"/>
    <row r="3363" ht="19.5" customHeight="1" x14ac:dyDescent="0.25"/>
    <row r="3364" ht="19.5" customHeight="1" x14ac:dyDescent="0.25"/>
    <row r="3365" ht="19.5" customHeight="1" x14ac:dyDescent="0.25"/>
    <row r="3366" ht="19.5" customHeight="1" x14ac:dyDescent="0.25"/>
    <row r="3367" ht="19.5" customHeight="1" x14ac:dyDescent="0.25"/>
    <row r="3368" ht="19.5" customHeight="1" x14ac:dyDescent="0.25"/>
    <row r="3369" ht="19.5" customHeight="1" x14ac:dyDescent="0.25"/>
    <row r="3370" ht="19.5" customHeight="1" x14ac:dyDescent="0.25"/>
    <row r="3371" ht="19.5" customHeight="1" x14ac:dyDescent="0.25"/>
    <row r="3372" ht="19.5" customHeight="1" x14ac:dyDescent="0.25"/>
    <row r="3373" ht="19.5" customHeight="1" x14ac:dyDescent="0.25"/>
    <row r="3374" ht="19.5" customHeight="1" x14ac:dyDescent="0.25"/>
    <row r="3375" ht="19.5" customHeight="1" x14ac:dyDescent="0.25"/>
    <row r="3376" ht="19.5" customHeight="1" x14ac:dyDescent="0.25"/>
    <row r="3377" ht="19.5" customHeight="1" x14ac:dyDescent="0.25"/>
    <row r="3378" ht="19.5" customHeight="1" x14ac:dyDescent="0.25"/>
    <row r="3379" ht="19.5" customHeight="1" x14ac:dyDescent="0.25"/>
    <row r="3380" ht="19.5" customHeight="1" x14ac:dyDescent="0.25"/>
    <row r="3381" ht="19.5" customHeight="1" x14ac:dyDescent="0.25"/>
    <row r="3382" ht="19.5" customHeight="1" x14ac:dyDescent="0.25"/>
    <row r="3383" ht="19.5" customHeight="1" x14ac:dyDescent="0.25"/>
    <row r="3384" ht="19.5" customHeight="1" x14ac:dyDescent="0.25"/>
    <row r="3385" ht="19.5" customHeight="1" x14ac:dyDescent="0.25"/>
    <row r="3386" ht="19.5" customHeight="1" x14ac:dyDescent="0.25"/>
    <row r="3387" ht="19.5" customHeight="1" x14ac:dyDescent="0.25"/>
    <row r="3388" ht="19.5" customHeight="1" x14ac:dyDescent="0.25"/>
    <row r="3389" ht="19.5" customHeight="1" x14ac:dyDescent="0.25"/>
    <row r="3390" ht="19.5" customHeight="1" x14ac:dyDescent="0.25"/>
    <row r="3391" ht="19.5" customHeight="1" x14ac:dyDescent="0.25"/>
    <row r="3392" ht="19.5" customHeight="1" x14ac:dyDescent="0.25"/>
    <row r="3393" ht="19.5" customHeight="1" x14ac:dyDescent="0.25"/>
    <row r="3394" ht="19.5" customHeight="1" x14ac:dyDescent="0.25"/>
    <row r="3395" ht="19.5" customHeight="1" x14ac:dyDescent="0.25"/>
    <row r="3396" ht="19.5" customHeight="1" x14ac:dyDescent="0.25"/>
    <row r="3397" ht="19.5" customHeight="1" x14ac:dyDescent="0.25"/>
    <row r="3398" ht="19.5" customHeight="1" x14ac:dyDescent="0.25"/>
    <row r="3399" ht="19.5" customHeight="1" x14ac:dyDescent="0.25"/>
    <row r="3400" ht="19.5" customHeight="1" x14ac:dyDescent="0.25"/>
    <row r="3401" ht="19.5" customHeight="1" x14ac:dyDescent="0.25"/>
    <row r="3402" ht="19.5" customHeight="1" x14ac:dyDescent="0.25"/>
    <row r="3403" ht="19.5" customHeight="1" x14ac:dyDescent="0.25"/>
    <row r="3404" ht="19.5" customHeight="1" x14ac:dyDescent="0.25"/>
    <row r="3405" ht="19.5" customHeight="1" x14ac:dyDescent="0.25"/>
    <row r="3406" ht="19.5" customHeight="1" x14ac:dyDescent="0.25"/>
    <row r="3407" ht="19.5" customHeight="1" x14ac:dyDescent="0.25"/>
    <row r="3408" ht="19.5" customHeight="1" x14ac:dyDescent="0.25"/>
    <row r="3409" ht="19.5" customHeight="1" x14ac:dyDescent="0.25"/>
    <row r="3410" ht="19.5" customHeight="1" x14ac:dyDescent="0.25"/>
    <row r="3411" ht="19.5" customHeight="1" x14ac:dyDescent="0.25"/>
    <row r="3412" ht="19.5" customHeight="1" x14ac:dyDescent="0.25"/>
    <row r="3413" ht="19.5" customHeight="1" x14ac:dyDescent="0.25"/>
    <row r="3414" ht="19.5" customHeight="1" x14ac:dyDescent="0.25"/>
    <row r="3415" ht="19.5" customHeight="1" x14ac:dyDescent="0.25"/>
    <row r="3416" ht="19.5" customHeight="1" x14ac:dyDescent="0.25"/>
    <row r="3417" ht="19.5" customHeight="1" x14ac:dyDescent="0.25"/>
    <row r="3418" ht="19.5" customHeight="1" x14ac:dyDescent="0.25"/>
    <row r="3419" ht="19.5" customHeight="1" x14ac:dyDescent="0.25"/>
    <row r="3420" ht="19.5" customHeight="1" x14ac:dyDescent="0.25"/>
    <row r="3421" ht="19.5" customHeight="1" x14ac:dyDescent="0.25"/>
    <row r="3422" ht="19.5" customHeight="1" x14ac:dyDescent="0.25"/>
    <row r="3423" ht="19.5" customHeight="1" x14ac:dyDescent="0.25"/>
    <row r="3424" ht="19.5" customHeight="1" x14ac:dyDescent="0.25"/>
    <row r="3425" ht="19.5" customHeight="1" x14ac:dyDescent="0.25"/>
    <row r="3426" ht="19.5" customHeight="1" x14ac:dyDescent="0.25"/>
    <row r="3427" ht="19.5" customHeight="1" x14ac:dyDescent="0.25"/>
    <row r="3428" ht="19.5" customHeight="1" x14ac:dyDescent="0.25"/>
    <row r="3429" ht="19.5" customHeight="1" x14ac:dyDescent="0.25"/>
    <row r="3430" ht="19.5" customHeight="1" x14ac:dyDescent="0.25"/>
    <row r="3431" ht="19.5" customHeight="1" x14ac:dyDescent="0.25"/>
    <row r="3432" ht="19.5" customHeight="1" x14ac:dyDescent="0.25"/>
    <row r="3433" ht="19.5" customHeight="1" x14ac:dyDescent="0.25"/>
    <row r="3434" ht="19.5" customHeight="1" x14ac:dyDescent="0.25"/>
    <row r="3435" ht="19.5" customHeight="1" x14ac:dyDescent="0.25"/>
    <row r="3436" ht="19.5" customHeight="1" x14ac:dyDescent="0.25"/>
    <row r="3437" ht="19.5" customHeight="1" x14ac:dyDescent="0.25"/>
    <row r="3438" ht="19.5" customHeight="1" x14ac:dyDescent="0.25"/>
    <row r="3439" ht="19.5" customHeight="1" x14ac:dyDescent="0.25"/>
    <row r="3440" ht="19.5" customHeight="1" x14ac:dyDescent="0.25"/>
    <row r="3441" ht="19.5" customHeight="1" x14ac:dyDescent="0.25"/>
    <row r="3442" ht="19.5" customHeight="1" x14ac:dyDescent="0.25"/>
    <row r="3443" ht="19.5" customHeight="1" x14ac:dyDescent="0.25"/>
    <row r="3444" ht="19.5" customHeight="1" x14ac:dyDescent="0.25"/>
    <row r="3445" ht="19.5" customHeight="1" x14ac:dyDescent="0.25"/>
    <row r="3446" ht="19.5" customHeight="1" x14ac:dyDescent="0.25"/>
    <row r="3447" ht="19.5" customHeight="1" x14ac:dyDescent="0.25"/>
    <row r="3448" ht="19.5" customHeight="1" x14ac:dyDescent="0.25"/>
    <row r="3449" ht="19.5" customHeight="1" x14ac:dyDescent="0.25"/>
    <row r="3450" ht="19.5" customHeight="1" x14ac:dyDescent="0.25"/>
    <row r="3451" ht="19.5" customHeight="1" x14ac:dyDescent="0.25"/>
    <row r="3452" ht="19.5" customHeight="1" x14ac:dyDescent="0.25"/>
    <row r="3453" ht="19.5" customHeight="1" x14ac:dyDescent="0.25"/>
    <row r="3454" ht="19.5" customHeight="1" x14ac:dyDescent="0.25"/>
    <row r="3455" ht="19.5" customHeight="1" x14ac:dyDescent="0.25"/>
    <row r="3456" ht="19.5" customHeight="1" x14ac:dyDescent="0.25"/>
    <row r="3457" ht="19.5" customHeight="1" x14ac:dyDescent="0.25"/>
    <row r="3458" ht="19.5" customHeight="1" x14ac:dyDescent="0.25"/>
    <row r="3459" ht="19.5" customHeight="1" x14ac:dyDescent="0.25"/>
    <row r="3460" ht="19.5" customHeight="1" x14ac:dyDescent="0.25"/>
    <row r="3461" ht="19.5" customHeight="1" x14ac:dyDescent="0.25"/>
    <row r="3462" ht="19.5" customHeight="1" x14ac:dyDescent="0.25"/>
    <row r="3463" ht="19.5" customHeight="1" x14ac:dyDescent="0.25"/>
    <row r="3464" ht="19.5" customHeight="1" x14ac:dyDescent="0.25"/>
    <row r="3465" ht="19.5" customHeight="1" x14ac:dyDescent="0.25"/>
    <row r="3466" ht="19.5" customHeight="1" x14ac:dyDescent="0.25"/>
    <row r="3467" ht="19.5" customHeight="1" x14ac:dyDescent="0.25"/>
    <row r="3468" ht="19.5" customHeight="1" x14ac:dyDescent="0.25"/>
    <row r="3469" ht="19.5" customHeight="1" x14ac:dyDescent="0.25"/>
    <row r="3470" ht="19.5" customHeight="1" x14ac:dyDescent="0.25"/>
    <row r="3471" ht="19.5" customHeight="1" x14ac:dyDescent="0.25"/>
    <row r="3472" ht="19.5" customHeight="1" x14ac:dyDescent="0.25"/>
    <row r="3473" ht="19.5" customHeight="1" x14ac:dyDescent="0.25"/>
    <row r="3474" ht="19.5" customHeight="1" x14ac:dyDescent="0.25"/>
    <row r="3475" ht="19.5" customHeight="1" x14ac:dyDescent="0.25"/>
    <row r="3476" ht="19.5" customHeight="1" x14ac:dyDescent="0.25"/>
    <row r="3477" ht="19.5" customHeight="1" x14ac:dyDescent="0.25"/>
    <row r="3478" ht="19.5" customHeight="1" x14ac:dyDescent="0.25"/>
    <row r="3479" ht="19.5" customHeight="1" x14ac:dyDescent="0.25"/>
    <row r="3480" ht="19.5" customHeight="1" x14ac:dyDescent="0.25"/>
    <row r="3481" ht="19.5" customHeight="1" x14ac:dyDescent="0.25"/>
    <row r="3482" ht="19.5" customHeight="1" x14ac:dyDescent="0.25"/>
    <row r="3483" ht="19.5" customHeight="1" x14ac:dyDescent="0.25"/>
    <row r="3484" ht="19.5" customHeight="1" x14ac:dyDescent="0.25"/>
    <row r="3485" ht="19.5" customHeight="1" x14ac:dyDescent="0.25"/>
    <row r="3486" ht="19.5" customHeight="1" x14ac:dyDescent="0.25"/>
    <row r="3487" ht="19.5" customHeight="1" x14ac:dyDescent="0.25"/>
    <row r="3488" ht="19.5" customHeight="1" x14ac:dyDescent="0.25"/>
    <row r="3489" ht="19.5" customHeight="1" x14ac:dyDescent="0.25"/>
    <row r="3490" ht="19.5" customHeight="1" x14ac:dyDescent="0.25"/>
    <row r="3491" ht="19.5" customHeight="1" x14ac:dyDescent="0.25"/>
    <row r="3492" ht="19.5" customHeight="1" x14ac:dyDescent="0.25"/>
    <row r="3493" ht="19.5" customHeight="1" x14ac:dyDescent="0.25"/>
    <row r="3494" ht="19.5" customHeight="1" x14ac:dyDescent="0.25"/>
    <row r="3495" ht="19.5" customHeight="1" x14ac:dyDescent="0.25"/>
    <row r="3496" ht="19.5" customHeight="1" x14ac:dyDescent="0.25"/>
    <row r="3497" ht="19.5" customHeight="1" x14ac:dyDescent="0.25"/>
    <row r="3498" ht="19.5" customHeight="1" x14ac:dyDescent="0.25"/>
    <row r="3499" ht="19.5" customHeight="1" x14ac:dyDescent="0.25"/>
    <row r="3500" ht="19.5" customHeight="1" x14ac:dyDescent="0.25"/>
    <row r="3501" ht="19.5" customHeight="1" x14ac:dyDescent="0.25"/>
    <row r="3502" ht="19.5" customHeight="1" x14ac:dyDescent="0.25"/>
    <row r="3503" ht="19.5" customHeight="1" x14ac:dyDescent="0.25"/>
    <row r="3504" ht="19.5" customHeight="1" x14ac:dyDescent="0.25"/>
    <row r="3505" ht="19.5" customHeight="1" x14ac:dyDescent="0.25"/>
    <row r="3506" ht="19.5" customHeight="1" x14ac:dyDescent="0.25"/>
    <row r="3507" ht="19.5" customHeight="1" x14ac:dyDescent="0.25"/>
    <row r="3508" ht="19.5" customHeight="1" x14ac:dyDescent="0.25"/>
    <row r="3509" ht="19.5" customHeight="1" x14ac:dyDescent="0.25"/>
    <row r="3510" ht="19.5" customHeight="1" x14ac:dyDescent="0.25"/>
    <row r="3511" ht="19.5" customHeight="1" x14ac:dyDescent="0.25"/>
    <row r="3512" ht="19.5" customHeight="1" x14ac:dyDescent="0.25"/>
    <row r="3513" ht="19.5" customHeight="1" x14ac:dyDescent="0.25"/>
    <row r="3514" ht="19.5" customHeight="1" x14ac:dyDescent="0.25"/>
    <row r="3515" ht="19.5" customHeight="1" x14ac:dyDescent="0.25"/>
    <row r="3516" ht="19.5" customHeight="1" x14ac:dyDescent="0.25"/>
    <row r="3517" ht="19.5" customHeight="1" x14ac:dyDescent="0.25"/>
    <row r="3518" ht="19.5" customHeight="1" x14ac:dyDescent="0.25"/>
    <row r="3519" ht="19.5" customHeight="1" x14ac:dyDescent="0.25"/>
    <row r="3520" ht="19.5" customHeight="1" x14ac:dyDescent="0.25"/>
    <row r="3521" ht="19.5" customHeight="1" x14ac:dyDescent="0.25"/>
    <row r="3522" ht="19.5" customHeight="1" x14ac:dyDescent="0.25"/>
    <row r="3523" ht="19.5" customHeight="1" x14ac:dyDescent="0.25"/>
    <row r="3524" ht="19.5" customHeight="1" x14ac:dyDescent="0.25"/>
    <row r="3525" ht="19.5" customHeight="1" x14ac:dyDescent="0.25"/>
    <row r="3526" ht="19.5" customHeight="1" x14ac:dyDescent="0.25"/>
    <row r="3527" ht="19.5" customHeight="1" x14ac:dyDescent="0.25"/>
    <row r="3528" ht="19.5" customHeight="1" x14ac:dyDescent="0.25"/>
    <row r="3529" ht="19.5" customHeight="1" x14ac:dyDescent="0.25"/>
    <row r="3530" ht="19.5" customHeight="1" x14ac:dyDescent="0.25"/>
    <row r="3531" ht="19.5" customHeight="1" x14ac:dyDescent="0.25"/>
    <row r="3532" ht="19.5" customHeight="1" x14ac:dyDescent="0.25"/>
    <row r="3533" ht="19.5" customHeight="1" x14ac:dyDescent="0.25"/>
    <row r="3534" ht="19.5" customHeight="1" x14ac:dyDescent="0.25"/>
    <row r="3535" ht="19.5" customHeight="1" x14ac:dyDescent="0.25"/>
    <row r="3536" ht="19.5" customHeight="1" x14ac:dyDescent="0.25"/>
    <row r="3537" ht="19.5" customHeight="1" x14ac:dyDescent="0.25"/>
    <row r="3538" ht="19.5" customHeight="1" x14ac:dyDescent="0.25"/>
    <row r="3539" ht="19.5" customHeight="1" x14ac:dyDescent="0.25"/>
    <row r="3540" ht="19.5" customHeight="1" x14ac:dyDescent="0.25"/>
    <row r="3541" ht="19.5" customHeight="1" x14ac:dyDescent="0.25"/>
    <row r="3542" ht="19.5" customHeight="1" x14ac:dyDescent="0.25"/>
    <row r="3543" ht="19.5" customHeight="1" x14ac:dyDescent="0.25"/>
    <row r="3544" ht="19.5" customHeight="1" x14ac:dyDescent="0.25"/>
    <row r="3545" ht="19.5" customHeight="1" x14ac:dyDescent="0.25"/>
    <row r="3546" ht="19.5" customHeight="1" x14ac:dyDescent="0.25"/>
    <row r="3547" ht="19.5" customHeight="1" x14ac:dyDescent="0.25"/>
    <row r="3548" ht="19.5" customHeight="1" x14ac:dyDescent="0.25"/>
    <row r="3549" ht="19.5" customHeight="1" x14ac:dyDescent="0.25"/>
    <row r="3550" ht="19.5" customHeight="1" x14ac:dyDescent="0.25"/>
    <row r="3551" ht="19.5" customHeight="1" x14ac:dyDescent="0.25"/>
    <row r="3552" ht="19.5" customHeight="1" x14ac:dyDescent="0.25"/>
    <row r="3553" ht="19.5" customHeight="1" x14ac:dyDescent="0.25"/>
    <row r="3554" ht="19.5" customHeight="1" x14ac:dyDescent="0.25"/>
    <row r="3555" ht="19.5" customHeight="1" x14ac:dyDescent="0.25"/>
    <row r="3556" ht="19.5" customHeight="1" x14ac:dyDescent="0.25"/>
    <row r="3557" ht="19.5" customHeight="1" x14ac:dyDescent="0.25"/>
    <row r="3558" ht="19.5" customHeight="1" x14ac:dyDescent="0.25"/>
    <row r="3559" ht="19.5" customHeight="1" x14ac:dyDescent="0.25"/>
    <row r="3560" ht="19.5" customHeight="1" x14ac:dyDescent="0.25"/>
    <row r="3561" ht="19.5" customHeight="1" x14ac:dyDescent="0.25"/>
    <row r="3562" ht="19.5" customHeight="1" x14ac:dyDescent="0.25"/>
    <row r="3563" ht="19.5" customHeight="1" x14ac:dyDescent="0.25"/>
    <row r="3564" ht="19.5" customHeight="1" x14ac:dyDescent="0.25"/>
    <row r="3565" ht="19.5" customHeight="1" x14ac:dyDescent="0.25"/>
    <row r="3566" ht="19.5" customHeight="1" x14ac:dyDescent="0.25"/>
    <row r="3567" ht="19.5" customHeight="1" x14ac:dyDescent="0.25"/>
    <row r="3568" ht="19.5" customHeight="1" x14ac:dyDescent="0.25"/>
    <row r="3569" ht="19.5" customHeight="1" x14ac:dyDescent="0.25"/>
    <row r="3570" ht="19.5" customHeight="1" x14ac:dyDescent="0.25"/>
    <row r="3571" ht="19.5" customHeight="1" x14ac:dyDescent="0.25"/>
    <row r="3572" ht="19.5" customHeight="1" x14ac:dyDescent="0.25"/>
    <row r="3573" ht="19.5" customHeight="1" x14ac:dyDescent="0.25"/>
    <row r="3574" ht="19.5" customHeight="1" x14ac:dyDescent="0.25"/>
    <row r="3575" ht="19.5" customHeight="1" x14ac:dyDescent="0.25"/>
    <row r="3576" ht="19.5" customHeight="1" x14ac:dyDescent="0.25"/>
    <row r="3577" ht="19.5" customHeight="1" x14ac:dyDescent="0.25"/>
    <row r="3578" ht="19.5" customHeight="1" x14ac:dyDescent="0.25"/>
    <row r="3579" ht="19.5" customHeight="1" x14ac:dyDescent="0.25"/>
    <row r="3580" ht="19.5" customHeight="1" x14ac:dyDescent="0.25"/>
    <row r="3581" ht="19.5" customHeight="1" x14ac:dyDescent="0.25"/>
    <row r="3582" ht="19.5" customHeight="1" x14ac:dyDescent="0.25"/>
    <row r="3583" ht="19.5" customHeight="1" x14ac:dyDescent="0.25"/>
    <row r="3584" ht="19.5" customHeight="1" x14ac:dyDescent="0.25"/>
    <row r="3585" ht="19.5" customHeight="1" x14ac:dyDescent="0.25"/>
    <row r="3586" ht="19.5" customHeight="1" x14ac:dyDescent="0.25"/>
    <row r="3587" ht="19.5" customHeight="1" x14ac:dyDescent="0.25"/>
    <row r="3588" ht="19.5" customHeight="1" x14ac:dyDescent="0.25"/>
    <row r="3589" ht="19.5" customHeight="1" x14ac:dyDescent="0.25"/>
    <row r="3590" ht="19.5" customHeight="1" x14ac:dyDescent="0.25"/>
    <row r="3591" ht="19.5" customHeight="1" x14ac:dyDescent="0.25"/>
    <row r="3592" ht="19.5" customHeight="1" x14ac:dyDescent="0.25"/>
    <row r="3593" ht="19.5" customHeight="1" x14ac:dyDescent="0.25"/>
    <row r="3594" ht="19.5" customHeight="1" x14ac:dyDescent="0.25"/>
    <row r="3595" ht="19.5" customHeight="1" x14ac:dyDescent="0.25"/>
    <row r="3596" ht="19.5" customHeight="1" x14ac:dyDescent="0.25"/>
    <row r="3597" ht="19.5" customHeight="1" x14ac:dyDescent="0.25"/>
    <row r="3598" ht="19.5" customHeight="1" x14ac:dyDescent="0.25"/>
    <row r="3599" ht="19.5" customHeight="1" x14ac:dyDescent="0.25"/>
    <row r="3600" ht="19.5" customHeight="1" x14ac:dyDescent="0.25"/>
    <row r="3601" ht="19.5" customHeight="1" x14ac:dyDescent="0.25"/>
    <row r="3602" ht="19.5" customHeight="1" x14ac:dyDescent="0.25"/>
    <row r="3603" ht="19.5" customHeight="1" x14ac:dyDescent="0.25"/>
    <row r="3604" ht="19.5" customHeight="1" x14ac:dyDescent="0.25"/>
    <row r="3605" ht="19.5" customHeight="1" x14ac:dyDescent="0.25"/>
    <row r="3606" ht="19.5" customHeight="1" x14ac:dyDescent="0.25"/>
    <row r="3607" ht="19.5" customHeight="1" x14ac:dyDescent="0.25"/>
    <row r="3608" ht="19.5" customHeight="1" x14ac:dyDescent="0.25"/>
    <row r="3609" ht="19.5" customHeight="1" x14ac:dyDescent="0.25"/>
    <row r="3610" ht="19.5" customHeight="1" x14ac:dyDescent="0.25"/>
    <row r="3611" ht="19.5" customHeight="1" x14ac:dyDescent="0.25"/>
    <row r="3612" ht="19.5" customHeight="1" x14ac:dyDescent="0.25"/>
    <row r="3613" ht="19.5" customHeight="1" x14ac:dyDescent="0.25"/>
    <row r="3614" ht="19.5" customHeight="1" x14ac:dyDescent="0.25"/>
    <row r="3615" ht="19.5" customHeight="1" x14ac:dyDescent="0.25"/>
    <row r="3616" ht="19.5" customHeight="1" x14ac:dyDescent="0.25"/>
    <row r="3617" ht="19.5" customHeight="1" x14ac:dyDescent="0.25"/>
    <row r="3618" ht="19.5" customHeight="1" x14ac:dyDescent="0.25"/>
    <row r="3619" ht="19.5" customHeight="1" x14ac:dyDescent="0.25"/>
    <row r="3620" ht="19.5" customHeight="1" x14ac:dyDescent="0.25"/>
    <row r="3621" ht="19.5" customHeight="1" x14ac:dyDescent="0.25"/>
    <row r="3622" ht="19.5" customHeight="1" x14ac:dyDescent="0.25"/>
    <row r="3623" ht="19.5" customHeight="1" x14ac:dyDescent="0.25"/>
    <row r="3624" ht="19.5" customHeight="1" x14ac:dyDescent="0.25"/>
    <row r="3625" ht="19.5" customHeight="1" x14ac:dyDescent="0.25"/>
    <row r="3626" ht="19.5" customHeight="1" x14ac:dyDescent="0.25"/>
    <row r="3627" ht="19.5" customHeight="1" x14ac:dyDescent="0.25"/>
    <row r="3628" ht="19.5" customHeight="1" x14ac:dyDescent="0.25"/>
    <row r="3629" ht="19.5" customHeight="1" x14ac:dyDescent="0.25"/>
    <row r="3630" ht="19.5" customHeight="1" x14ac:dyDescent="0.25"/>
    <row r="3631" ht="19.5" customHeight="1" x14ac:dyDescent="0.25"/>
    <row r="3632" ht="19.5" customHeight="1" x14ac:dyDescent="0.25"/>
    <row r="3633" ht="19.5" customHeight="1" x14ac:dyDescent="0.25"/>
    <row r="3634" ht="19.5" customHeight="1" x14ac:dyDescent="0.25"/>
    <row r="3635" ht="19.5" customHeight="1" x14ac:dyDescent="0.25"/>
    <row r="3636" ht="19.5" customHeight="1" x14ac:dyDescent="0.25"/>
    <row r="3637" ht="19.5" customHeight="1" x14ac:dyDescent="0.25"/>
    <row r="3638" ht="19.5" customHeight="1" x14ac:dyDescent="0.25"/>
    <row r="3639" ht="19.5" customHeight="1" x14ac:dyDescent="0.25"/>
    <row r="3640" ht="19.5" customHeight="1" x14ac:dyDescent="0.25"/>
    <row r="3641" ht="19.5" customHeight="1" x14ac:dyDescent="0.25"/>
    <row r="3642" ht="19.5" customHeight="1" x14ac:dyDescent="0.25"/>
    <row r="3643" ht="19.5" customHeight="1" x14ac:dyDescent="0.25"/>
    <row r="3644" ht="19.5" customHeight="1" x14ac:dyDescent="0.25"/>
    <row r="3645" ht="19.5" customHeight="1" x14ac:dyDescent="0.25"/>
    <row r="3646" ht="19.5" customHeight="1" x14ac:dyDescent="0.25"/>
    <row r="3647" ht="19.5" customHeight="1" x14ac:dyDescent="0.25"/>
    <row r="3648" ht="19.5" customHeight="1" x14ac:dyDescent="0.25"/>
    <row r="3649" ht="19.5" customHeight="1" x14ac:dyDescent="0.25"/>
    <row r="3650" ht="19.5" customHeight="1" x14ac:dyDescent="0.25"/>
    <row r="3651" ht="19.5" customHeight="1" x14ac:dyDescent="0.25"/>
    <row r="3652" ht="19.5" customHeight="1" x14ac:dyDescent="0.25"/>
    <row r="3653" ht="19.5" customHeight="1" x14ac:dyDescent="0.25"/>
    <row r="3654" ht="19.5" customHeight="1" x14ac:dyDescent="0.25"/>
    <row r="3655" ht="19.5" customHeight="1" x14ac:dyDescent="0.25"/>
    <row r="3656" ht="19.5" customHeight="1" x14ac:dyDescent="0.25"/>
    <row r="3657" ht="19.5" customHeight="1" x14ac:dyDescent="0.25"/>
    <row r="3658" ht="19.5" customHeight="1" x14ac:dyDescent="0.25"/>
    <row r="3659" ht="19.5" customHeight="1" x14ac:dyDescent="0.25"/>
    <row r="3660" ht="19.5" customHeight="1" x14ac:dyDescent="0.25"/>
    <row r="3661" ht="19.5" customHeight="1" x14ac:dyDescent="0.25"/>
    <row r="3662" ht="19.5" customHeight="1" x14ac:dyDescent="0.25"/>
    <row r="3663" ht="19.5" customHeight="1" x14ac:dyDescent="0.25"/>
    <row r="3664" ht="19.5" customHeight="1" x14ac:dyDescent="0.25"/>
    <row r="3665" ht="19.5" customHeight="1" x14ac:dyDescent="0.25"/>
    <row r="3666" ht="19.5" customHeight="1" x14ac:dyDescent="0.25"/>
    <row r="3667" ht="19.5" customHeight="1" x14ac:dyDescent="0.25"/>
    <row r="3668" ht="19.5" customHeight="1" x14ac:dyDescent="0.25"/>
    <row r="3669" ht="19.5" customHeight="1" x14ac:dyDescent="0.25"/>
    <row r="3670" ht="19.5" customHeight="1" x14ac:dyDescent="0.25"/>
    <row r="3671" ht="19.5" customHeight="1" x14ac:dyDescent="0.25"/>
    <row r="3672" ht="19.5" customHeight="1" x14ac:dyDescent="0.25"/>
    <row r="3673" ht="19.5" customHeight="1" x14ac:dyDescent="0.25"/>
    <row r="3674" ht="19.5" customHeight="1" x14ac:dyDescent="0.25"/>
    <row r="3675" ht="19.5" customHeight="1" x14ac:dyDescent="0.25"/>
    <row r="3676" ht="19.5" customHeight="1" x14ac:dyDescent="0.25"/>
    <row r="3677" ht="19.5" customHeight="1" x14ac:dyDescent="0.25"/>
    <row r="3678" ht="19.5" customHeight="1" x14ac:dyDescent="0.25"/>
    <row r="3679" ht="19.5" customHeight="1" x14ac:dyDescent="0.25"/>
    <row r="3680" ht="19.5" customHeight="1" x14ac:dyDescent="0.25"/>
    <row r="3681" ht="19.5" customHeight="1" x14ac:dyDescent="0.25"/>
    <row r="3682" ht="19.5" customHeight="1" x14ac:dyDescent="0.25"/>
    <row r="3683" ht="19.5" customHeight="1" x14ac:dyDescent="0.25"/>
    <row r="3684" ht="19.5" customHeight="1" x14ac:dyDescent="0.25"/>
    <row r="3685" ht="19.5" customHeight="1" x14ac:dyDescent="0.25"/>
    <row r="3686" ht="19.5" customHeight="1" x14ac:dyDescent="0.25"/>
    <row r="3687" ht="19.5" customHeight="1" x14ac:dyDescent="0.25"/>
    <row r="3688" ht="19.5" customHeight="1" x14ac:dyDescent="0.25"/>
    <row r="3689" ht="19.5" customHeight="1" x14ac:dyDescent="0.25"/>
    <row r="3690" ht="19.5" customHeight="1" x14ac:dyDescent="0.25"/>
    <row r="3691" ht="19.5" customHeight="1" x14ac:dyDescent="0.25"/>
    <row r="3692" ht="19.5" customHeight="1" x14ac:dyDescent="0.25"/>
    <row r="3693" ht="19.5" customHeight="1" x14ac:dyDescent="0.25"/>
    <row r="3694" ht="19.5" customHeight="1" x14ac:dyDescent="0.25"/>
    <row r="3695" ht="19.5" customHeight="1" x14ac:dyDescent="0.25"/>
    <row r="3696" ht="19.5" customHeight="1" x14ac:dyDescent="0.25"/>
    <row r="3697" ht="19.5" customHeight="1" x14ac:dyDescent="0.25"/>
    <row r="3698" ht="19.5" customHeight="1" x14ac:dyDescent="0.25"/>
    <row r="3699" ht="19.5" customHeight="1" x14ac:dyDescent="0.25"/>
    <row r="3700" ht="19.5" customHeight="1" x14ac:dyDescent="0.25"/>
    <row r="3701" ht="19.5" customHeight="1" x14ac:dyDescent="0.25"/>
    <row r="3702" ht="19.5" customHeight="1" x14ac:dyDescent="0.25"/>
    <row r="3703" ht="19.5" customHeight="1" x14ac:dyDescent="0.25"/>
    <row r="3704" ht="19.5" customHeight="1" x14ac:dyDescent="0.25"/>
    <row r="3705" ht="19.5" customHeight="1" x14ac:dyDescent="0.25"/>
    <row r="3706" ht="19.5" customHeight="1" x14ac:dyDescent="0.25"/>
    <row r="3707" ht="19.5" customHeight="1" x14ac:dyDescent="0.25"/>
    <row r="3708" ht="19.5" customHeight="1" x14ac:dyDescent="0.25"/>
    <row r="3709" ht="19.5" customHeight="1" x14ac:dyDescent="0.25"/>
    <row r="3710" ht="19.5" customHeight="1" x14ac:dyDescent="0.25"/>
    <row r="3711" ht="19.5" customHeight="1" x14ac:dyDescent="0.25"/>
    <row r="3712" ht="19.5" customHeight="1" x14ac:dyDescent="0.25"/>
    <row r="3713" ht="19.5" customHeight="1" x14ac:dyDescent="0.25"/>
    <row r="3714" ht="19.5" customHeight="1" x14ac:dyDescent="0.25"/>
    <row r="3715" ht="19.5" customHeight="1" x14ac:dyDescent="0.25"/>
    <row r="3716" ht="19.5" customHeight="1" x14ac:dyDescent="0.25"/>
    <row r="3717" ht="19.5" customHeight="1" x14ac:dyDescent="0.25"/>
    <row r="3718" ht="19.5" customHeight="1" x14ac:dyDescent="0.25"/>
    <row r="3719" ht="19.5" customHeight="1" x14ac:dyDescent="0.25"/>
    <row r="3720" ht="19.5" customHeight="1" x14ac:dyDescent="0.25"/>
    <row r="3721" ht="19.5" customHeight="1" x14ac:dyDescent="0.25"/>
    <row r="3722" ht="19.5" customHeight="1" x14ac:dyDescent="0.25"/>
    <row r="3723" ht="19.5" customHeight="1" x14ac:dyDescent="0.25"/>
    <row r="3724" ht="19.5" customHeight="1" x14ac:dyDescent="0.25"/>
    <row r="3725" ht="19.5" customHeight="1" x14ac:dyDescent="0.25"/>
    <row r="3726" ht="19.5" customHeight="1" x14ac:dyDescent="0.25"/>
    <row r="3727" ht="19.5" customHeight="1" x14ac:dyDescent="0.25"/>
    <row r="3728" ht="19.5" customHeight="1" x14ac:dyDescent="0.25"/>
    <row r="3729" ht="19.5" customHeight="1" x14ac:dyDescent="0.25"/>
    <row r="3730" ht="19.5" customHeight="1" x14ac:dyDescent="0.25"/>
    <row r="3731" ht="19.5" customHeight="1" x14ac:dyDescent="0.25"/>
    <row r="3732" ht="19.5" customHeight="1" x14ac:dyDescent="0.25"/>
    <row r="3733" ht="19.5" customHeight="1" x14ac:dyDescent="0.25"/>
    <row r="3734" ht="19.5" customHeight="1" x14ac:dyDescent="0.25"/>
    <row r="3735" ht="19.5" customHeight="1" x14ac:dyDescent="0.25"/>
    <row r="3736" ht="19.5" customHeight="1" x14ac:dyDescent="0.25"/>
    <row r="3737" ht="19.5" customHeight="1" x14ac:dyDescent="0.25"/>
    <row r="3738" ht="19.5" customHeight="1" x14ac:dyDescent="0.25"/>
    <row r="3739" ht="19.5" customHeight="1" x14ac:dyDescent="0.25"/>
    <row r="3740" ht="19.5" customHeight="1" x14ac:dyDescent="0.25"/>
    <row r="3741" ht="19.5" customHeight="1" x14ac:dyDescent="0.25"/>
    <row r="3742" ht="19.5" customHeight="1" x14ac:dyDescent="0.25"/>
    <row r="3743" ht="19.5" customHeight="1" x14ac:dyDescent="0.25"/>
    <row r="3744" ht="19.5" customHeight="1" x14ac:dyDescent="0.25"/>
    <row r="3745" ht="19.5" customHeight="1" x14ac:dyDescent="0.25"/>
    <row r="3746" ht="19.5" customHeight="1" x14ac:dyDescent="0.25"/>
    <row r="3747" ht="19.5" customHeight="1" x14ac:dyDescent="0.25"/>
    <row r="3748" ht="19.5" customHeight="1" x14ac:dyDescent="0.25"/>
    <row r="3749" ht="19.5" customHeight="1" x14ac:dyDescent="0.25"/>
    <row r="3750" ht="19.5" customHeight="1" x14ac:dyDescent="0.25"/>
    <row r="3751" ht="19.5" customHeight="1" x14ac:dyDescent="0.25"/>
    <row r="3752" ht="19.5" customHeight="1" x14ac:dyDescent="0.25"/>
    <row r="3753" ht="19.5" customHeight="1" x14ac:dyDescent="0.25"/>
    <row r="3754" ht="19.5" customHeight="1" x14ac:dyDescent="0.25"/>
    <row r="3755" ht="19.5" customHeight="1" x14ac:dyDescent="0.25"/>
    <row r="3756" ht="19.5" customHeight="1" x14ac:dyDescent="0.25"/>
    <row r="3757" ht="19.5" customHeight="1" x14ac:dyDescent="0.25"/>
    <row r="3758" ht="19.5" customHeight="1" x14ac:dyDescent="0.25"/>
    <row r="3759" ht="19.5" customHeight="1" x14ac:dyDescent="0.25"/>
    <row r="3760" ht="19.5" customHeight="1" x14ac:dyDescent="0.25"/>
    <row r="3761" ht="19.5" customHeight="1" x14ac:dyDescent="0.25"/>
    <row r="3762" ht="19.5" customHeight="1" x14ac:dyDescent="0.25"/>
    <row r="3763" ht="19.5" customHeight="1" x14ac:dyDescent="0.25"/>
    <row r="3764" ht="19.5" customHeight="1" x14ac:dyDescent="0.25"/>
    <row r="3765" ht="19.5" customHeight="1" x14ac:dyDescent="0.25"/>
    <row r="3766" ht="19.5" customHeight="1" x14ac:dyDescent="0.25"/>
    <row r="3767" ht="19.5" customHeight="1" x14ac:dyDescent="0.25"/>
    <row r="3768" ht="19.5" customHeight="1" x14ac:dyDescent="0.25"/>
    <row r="3769" ht="19.5" customHeight="1" x14ac:dyDescent="0.25"/>
    <row r="3770" ht="19.5" customHeight="1" x14ac:dyDescent="0.25"/>
    <row r="3771" ht="19.5" customHeight="1" x14ac:dyDescent="0.25"/>
    <row r="3772" ht="19.5" customHeight="1" x14ac:dyDescent="0.25"/>
    <row r="3773" ht="19.5" customHeight="1" x14ac:dyDescent="0.25"/>
    <row r="3774" ht="19.5" customHeight="1" x14ac:dyDescent="0.25"/>
    <row r="3775" ht="19.5" customHeight="1" x14ac:dyDescent="0.25"/>
    <row r="3776" ht="19.5" customHeight="1" x14ac:dyDescent="0.25"/>
    <row r="3777" ht="19.5" customHeight="1" x14ac:dyDescent="0.25"/>
    <row r="3778" ht="19.5" customHeight="1" x14ac:dyDescent="0.25"/>
    <row r="3779" ht="19.5" customHeight="1" x14ac:dyDescent="0.25"/>
    <row r="3780" ht="19.5" customHeight="1" x14ac:dyDescent="0.25"/>
    <row r="3781" ht="19.5" customHeight="1" x14ac:dyDescent="0.25"/>
    <row r="3782" ht="19.5" customHeight="1" x14ac:dyDescent="0.25"/>
    <row r="3783" ht="19.5" customHeight="1" x14ac:dyDescent="0.25"/>
    <row r="3784" ht="19.5" customHeight="1" x14ac:dyDescent="0.25"/>
    <row r="3785" ht="19.5" customHeight="1" x14ac:dyDescent="0.25"/>
    <row r="3786" ht="19.5" customHeight="1" x14ac:dyDescent="0.25"/>
    <row r="3787" ht="19.5" customHeight="1" x14ac:dyDescent="0.25"/>
    <row r="3788" ht="19.5" customHeight="1" x14ac:dyDescent="0.25"/>
    <row r="3789" ht="19.5" customHeight="1" x14ac:dyDescent="0.25"/>
    <row r="3790" ht="19.5" customHeight="1" x14ac:dyDescent="0.25"/>
    <row r="3791" ht="19.5" customHeight="1" x14ac:dyDescent="0.25"/>
    <row r="3792" ht="19.5" customHeight="1" x14ac:dyDescent="0.25"/>
    <row r="3793" ht="19.5" customHeight="1" x14ac:dyDescent="0.25"/>
    <row r="3794" ht="19.5" customHeight="1" x14ac:dyDescent="0.25"/>
    <row r="3795" ht="19.5" customHeight="1" x14ac:dyDescent="0.25"/>
    <row r="3796" ht="19.5" customHeight="1" x14ac:dyDescent="0.25"/>
    <row r="3797" ht="19.5" customHeight="1" x14ac:dyDescent="0.25"/>
    <row r="3798" ht="19.5" customHeight="1" x14ac:dyDescent="0.25"/>
    <row r="3799" ht="19.5" customHeight="1" x14ac:dyDescent="0.25"/>
    <row r="3800" ht="19.5" customHeight="1" x14ac:dyDescent="0.25"/>
  </sheetData>
  <sheetProtection autoFilter="0" pivotTables="0"/>
  <autoFilter ref="A1:J1088" xr:uid="{00000000-0009-0000-0000-000000000000}"/>
  <phoneticPr fontId="2" type="noConversion"/>
  <dataValidations count="6">
    <dataValidation type="list" allowBlank="1" showInputMessage="1" showErrorMessage="1" sqref="G1:G2 G4:G283 G910:G1048576 G285:G897" xr:uid="{78EE3991-370C-4406-B0AA-DAE17D8A8524}">
      <formula1>$T$2:$T$7</formula1>
    </dataValidation>
    <dataValidation type="list" allowBlank="1" showInputMessage="1" showErrorMessage="1" sqref="I1 I3:I283 I909:I914 I921 I285:I904 I924:I1048576" xr:uid="{1946F1C7-3433-4604-B950-10ABE3D59E30}">
      <formula1>$V$8:$V$11</formula1>
    </dataValidation>
    <dataValidation type="list" allowBlank="1" showInputMessage="1" showErrorMessage="1" sqref="V8 I2" xr:uid="{F79AB250-A938-4F2D-9196-71BF1D53C655}">
      <formula1>$P$1:$P$4</formula1>
    </dataValidation>
    <dataValidation type="list" allowBlank="1" showInputMessage="1" showErrorMessage="1" sqref="J1 J23:J283 J909:J914 J285:J904 J917:J1048576" xr:uid="{0BF97CEA-EF3B-4ED7-BE74-95C09F071327}">
      <formula1>$R$2:$R$15</formula1>
    </dataValidation>
    <dataValidation type="list" allowBlank="1" showInputMessage="1" showErrorMessage="1" sqref="E1:E283 E910:E1048576 E285:E898" xr:uid="{37C93A12-E6C4-4BD4-B34E-64E14CAF0B9F}">
      <formula1>$U$2:$U$4</formula1>
    </dataValidation>
    <dataValidation type="list" allowBlank="1" showInputMessage="1" showErrorMessage="1" sqref="B1:B283 B910:B1048576 B285:B897" xr:uid="{4CBF9423-832D-4DB8-B5AD-C911980C274D}">
      <formula1>$S$2:$S$3</formula1>
    </dataValidation>
  </dataValidations>
  <printOptions horizontalCentered="1" verticalCentered="1"/>
  <pageMargins left="0.25" right="0.25" top="0.75" bottom="0.75" header="0.3" footer="0.3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pageSetUpPr fitToPage="1"/>
  </sheetPr>
  <dimension ref="A1:W1114"/>
  <sheetViews>
    <sheetView zoomScale="110" zoomScaleNormal="110" zoomScaleSheetLayoutView="100" workbookViewId="0">
      <pane ySplit="1" topLeftCell="A1098" activePane="bottomLeft" state="frozen"/>
      <selection pane="bottomLeft" activeCell="J1114" sqref="J1114"/>
    </sheetView>
  </sheetViews>
  <sheetFormatPr baseColWidth="10" defaultRowHeight="15" x14ac:dyDescent="0.25"/>
  <cols>
    <col min="1" max="1" width="10.85546875" style="28" bestFit="1" customWidth="1"/>
    <col min="2" max="2" width="7.28515625" style="28" bestFit="1" customWidth="1"/>
    <col min="3" max="3" width="14" style="34" customWidth="1"/>
    <col min="4" max="4" width="11.42578125" style="34"/>
    <col min="5" max="16" width="5" style="34" customWidth="1"/>
    <col min="17" max="17" width="5" style="35" customWidth="1"/>
    <col min="18" max="18" width="11.42578125" style="4"/>
  </cols>
  <sheetData>
    <row r="1" spans="1:23" ht="37.5" customHeight="1" x14ac:dyDescent="0.25">
      <c r="A1" s="28" t="s">
        <v>23</v>
      </c>
      <c r="B1" s="28" t="s">
        <v>19</v>
      </c>
      <c r="C1" s="34" t="s">
        <v>24</v>
      </c>
      <c r="D1" s="34" t="s">
        <v>25</v>
      </c>
      <c r="E1" s="34">
        <v>1</v>
      </c>
      <c r="F1" s="34">
        <v>2</v>
      </c>
      <c r="G1" s="34">
        <v>3</v>
      </c>
      <c r="H1" s="34">
        <v>4</v>
      </c>
      <c r="I1" s="34">
        <v>5</v>
      </c>
      <c r="J1" s="34">
        <v>6</v>
      </c>
      <c r="K1" s="34">
        <v>7</v>
      </c>
      <c r="L1" s="34">
        <v>8</v>
      </c>
      <c r="M1" s="34">
        <v>9</v>
      </c>
      <c r="N1" s="34">
        <v>10</v>
      </c>
      <c r="O1" s="34">
        <v>11</v>
      </c>
      <c r="P1" s="34">
        <v>12</v>
      </c>
      <c r="Q1" s="35" t="s">
        <v>26</v>
      </c>
      <c r="R1" s="67" t="s">
        <v>139</v>
      </c>
    </row>
    <row r="2" spans="1:23" x14ac:dyDescent="0.25">
      <c r="A2" s="40">
        <v>46106</v>
      </c>
      <c r="B2" s="28">
        <v>1</v>
      </c>
      <c r="C2" s="34" t="s">
        <v>100</v>
      </c>
      <c r="D2" s="34" t="s">
        <v>114</v>
      </c>
      <c r="G2" s="34">
        <v>11</v>
      </c>
      <c r="H2" s="34">
        <v>8</v>
      </c>
      <c r="I2" s="34">
        <v>11</v>
      </c>
      <c r="J2" s="34">
        <v>25</v>
      </c>
      <c r="K2" s="34">
        <v>20</v>
      </c>
      <c r="L2" s="34">
        <v>32</v>
      </c>
      <c r="Q2" s="35">
        <f>SUM(E2:P2)</f>
        <v>107</v>
      </c>
      <c r="R2" s="4" t="s">
        <v>22</v>
      </c>
      <c r="T2" t="s">
        <v>22</v>
      </c>
      <c r="V2" t="s">
        <v>140</v>
      </c>
      <c r="W2">
        <v>1</v>
      </c>
    </row>
    <row r="3" spans="1:23" x14ac:dyDescent="0.25">
      <c r="A3" s="40">
        <v>46106</v>
      </c>
      <c r="B3" s="28">
        <v>1</v>
      </c>
      <c r="C3" s="34" t="s">
        <v>101</v>
      </c>
      <c r="D3" s="34" t="s">
        <v>113</v>
      </c>
      <c r="G3" s="34">
        <v>16</v>
      </c>
      <c r="H3" s="34">
        <v>10</v>
      </c>
      <c r="I3" s="34">
        <v>11</v>
      </c>
      <c r="J3" s="34">
        <v>15</v>
      </c>
      <c r="K3" s="34">
        <v>18</v>
      </c>
      <c r="L3" s="34">
        <v>24</v>
      </c>
      <c r="Q3" s="35">
        <f t="shared" ref="Q3:Q66" si="0">SUM(E3:P3)</f>
        <v>94</v>
      </c>
      <c r="R3" s="4" t="s">
        <v>22</v>
      </c>
      <c r="W3">
        <v>2</v>
      </c>
    </row>
    <row r="4" spans="1:23" x14ac:dyDescent="0.25">
      <c r="A4" s="40">
        <v>46106</v>
      </c>
      <c r="B4" s="28">
        <v>1</v>
      </c>
      <c r="C4" s="34" t="s">
        <v>102</v>
      </c>
      <c r="D4" s="34" t="s">
        <v>116</v>
      </c>
      <c r="G4" s="34">
        <v>17</v>
      </c>
      <c r="H4" s="34">
        <v>13</v>
      </c>
      <c r="I4" s="34">
        <v>13</v>
      </c>
      <c r="J4" s="34">
        <v>15</v>
      </c>
      <c r="K4" s="34">
        <v>18</v>
      </c>
      <c r="L4" s="34">
        <v>24</v>
      </c>
      <c r="Q4" s="35">
        <f t="shared" si="0"/>
        <v>100</v>
      </c>
      <c r="R4" s="4" t="s">
        <v>22</v>
      </c>
    </row>
    <row r="5" spans="1:23" x14ac:dyDescent="0.25">
      <c r="A5" s="40">
        <v>46106</v>
      </c>
      <c r="B5" s="28">
        <v>1</v>
      </c>
      <c r="C5" s="34" t="s">
        <v>103</v>
      </c>
      <c r="D5" s="34" t="s">
        <v>115</v>
      </c>
      <c r="G5" s="34">
        <v>15</v>
      </c>
      <c r="H5" s="34">
        <v>9</v>
      </c>
      <c r="I5" s="34">
        <v>9</v>
      </c>
      <c r="J5" s="34">
        <v>17</v>
      </c>
      <c r="K5" s="34">
        <v>15</v>
      </c>
      <c r="L5" s="34">
        <v>23</v>
      </c>
      <c r="Q5" s="35">
        <f t="shared" si="0"/>
        <v>88</v>
      </c>
      <c r="R5" s="4" t="s">
        <v>22</v>
      </c>
    </row>
    <row r="6" spans="1:23" x14ac:dyDescent="0.25">
      <c r="A6" s="40">
        <v>46106</v>
      </c>
      <c r="B6" s="28">
        <v>1</v>
      </c>
      <c r="C6" s="34" t="s">
        <v>104</v>
      </c>
      <c r="D6" s="34" t="s">
        <v>117</v>
      </c>
      <c r="G6" s="34">
        <v>15</v>
      </c>
      <c r="H6" s="34">
        <v>6</v>
      </c>
      <c r="I6" s="34">
        <v>7</v>
      </c>
      <c r="J6" s="34">
        <v>14</v>
      </c>
      <c r="K6" s="34">
        <v>13</v>
      </c>
      <c r="L6" s="34">
        <v>19</v>
      </c>
      <c r="Q6" s="35">
        <f t="shared" si="0"/>
        <v>74</v>
      </c>
      <c r="R6" s="4" t="s">
        <v>22</v>
      </c>
    </row>
    <row r="7" spans="1:23" x14ac:dyDescent="0.25">
      <c r="A7" s="40">
        <v>46106</v>
      </c>
      <c r="B7" s="28">
        <v>1</v>
      </c>
      <c r="C7" s="34" t="s">
        <v>105</v>
      </c>
      <c r="D7" s="34" t="s">
        <v>118</v>
      </c>
      <c r="G7" s="34">
        <v>14</v>
      </c>
      <c r="H7" s="34">
        <v>7</v>
      </c>
      <c r="I7" s="34">
        <v>11</v>
      </c>
      <c r="J7" s="34">
        <v>25</v>
      </c>
      <c r="K7" s="34">
        <v>24</v>
      </c>
      <c r="L7" s="34">
        <v>32</v>
      </c>
      <c r="Q7" s="35">
        <f t="shared" si="0"/>
        <v>113</v>
      </c>
      <c r="R7" s="4" t="s">
        <v>22</v>
      </c>
    </row>
    <row r="8" spans="1:23" x14ac:dyDescent="0.25">
      <c r="A8" s="40">
        <v>46106</v>
      </c>
      <c r="B8" s="28">
        <v>1</v>
      </c>
      <c r="C8" s="34" t="s">
        <v>106</v>
      </c>
      <c r="D8" s="34" t="s">
        <v>119</v>
      </c>
      <c r="G8" s="34">
        <v>11</v>
      </c>
      <c r="H8" s="34">
        <v>10</v>
      </c>
      <c r="I8" s="34">
        <v>13</v>
      </c>
      <c r="J8" s="34">
        <v>19</v>
      </c>
      <c r="K8" s="34">
        <v>16</v>
      </c>
      <c r="L8" s="34">
        <v>24</v>
      </c>
      <c r="Q8" s="35">
        <f t="shared" si="0"/>
        <v>93</v>
      </c>
      <c r="R8" s="4" t="s">
        <v>22</v>
      </c>
    </row>
    <row r="9" spans="1:23" x14ac:dyDescent="0.25">
      <c r="A9" s="40">
        <v>46106</v>
      </c>
      <c r="B9" s="28">
        <v>1</v>
      </c>
      <c r="C9" s="34" t="s">
        <v>107</v>
      </c>
      <c r="D9" s="34" t="s">
        <v>120</v>
      </c>
      <c r="G9" s="34">
        <v>13</v>
      </c>
      <c r="H9" s="34">
        <v>11</v>
      </c>
      <c r="I9" s="34">
        <v>9</v>
      </c>
      <c r="J9" s="34">
        <v>18</v>
      </c>
      <c r="K9" s="34">
        <v>18</v>
      </c>
      <c r="L9" s="34">
        <v>24</v>
      </c>
      <c r="Q9" s="35">
        <f t="shared" si="0"/>
        <v>93</v>
      </c>
      <c r="R9" s="4" t="s">
        <v>22</v>
      </c>
    </row>
    <row r="10" spans="1:23" x14ac:dyDescent="0.25">
      <c r="A10" s="40">
        <v>46106</v>
      </c>
      <c r="B10" s="28">
        <v>1</v>
      </c>
      <c r="C10" s="34" t="s">
        <v>108</v>
      </c>
      <c r="D10" s="34" t="s">
        <v>121</v>
      </c>
      <c r="G10" s="34">
        <v>12</v>
      </c>
      <c r="H10" s="34">
        <v>11</v>
      </c>
      <c r="I10" s="34">
        <v>12</v>
      </c>
      <c r="J10" s="34">
        <v>17</v>
      </c>
      <c r="K10" s="34">
        <v>18</v>
      </c>
      <c r="L10" s="34">
        <v>24</v>
      </c>
      <c r="Q10" s="35">
        <f t="shared" si="0"/>
        <v>94</v>
      </c>
      <c r="R10" s="4" t="s">
        <v>22</v>
      </c>
    </row>
    <row r="11" spans="1:23" x14ac:dyDescent="0.25">
      <c r="A11" s="40">
        <v>46106</v>
      </c>
      <c r="B11" s="28">
        <v>1</v>
      </c>
      <c r="C11" s="34" t="s">
        <v>109</v>
      </c>
      <c r="D11" s="34" t="s">
        <v>122</v>
      </c>
      <c r="G11" s="34">
        <v>16</v>
      </c>
      <c r="H11" s="34">
        <v>10</v>
      </c>
      <c r="I11" s="34">
        <v>10</v>
      </c>
      <c r="J11" s="34">
        <v>20</v>
      </c>
      <c r="K11" s="34">
        <v>21</v>
      </c>
      <c r="L11" s="34">
        <v>25</v>
      </c>
      <c r="Q11" s="35">
        <f t="shared" si="0"/>
        <v>102</v>
      </c>
      <c r="R11" s="4" t="s">
        <v>22</v>
      </c>
    </row>
    <row r="12" spans="1:23" x14ac:dyDescent="0.25">
      <c r="A12" s="40">
        <v>46106</v>
      </c>
      <c r="B12" s="28">
        <v>1</v>
      </c>
      <c r="C12" s="34" t="s">
        <v>110</v>
      </c>
      <c r="D12" s="34" t="s">
        <v>123</v>
      </c>
      <c r="G12" s="34">
        <v>18</v>
      </c>
      <c r="H12" s="34">
        <v>13</v>
      </c>
      <c r="I12" s="34">
        <v>12</v>
      </c>
      <c r="J12" s="34">
        <v>18</v>
      </c>
      <c r="K12" s="34">
        <v>22</v>
      </c>
      <c r="L12" s="34">
        <v>28</v>
      </c>
      <c r="Q12" s="35">
        <f t="shared" si="0"/>
        <v>111</v>
      </c>
      <c r="R12" s="4" t="s">
        <v>22</v>
      </c>
    </row>
    <row r="13" spans="1:23" x14ac:dyDescent="0.25">
      <c r="A13" s="40">
        <v>46106</v>
      </c>
      <c r="B13" s="28">
        <v>1</v>
      </c>
      <c r="C13" s="34" t="s">
        <v>111</v>
      </c>
      <c r="D13" s="34" t="s">
        <v>124</v>
      </c>
      <c r="G13" s="34">
        <v>9</v>
      </c>
      <c r="H13" s="34">
        <v>5</v>
      </c>
      <c r="I13" s="34">
        <v>8</v>
      </c>
      <c r="J13" s="34">
        <v>14</v>
      </c>
      <c r="K13" s="34">
        <v>15</v>
      </c>
      <c r="L13" s="34">
        <v>21</v>
      </c>
      <c r="Q13" s="35">
        <f t="shared" si="0"/>
        <v>72</v>
      </c>
      <c r="R13" s="4" t="s">
        <v>22</v>
      </c>
    </row>
    <row r="14" spans="1:23" x14ac:dyDescent="0.25">
      <c r="A14" s="40">
        <v>46106</v>
      </c>
      <c r="B14" s="28">
        <v>1</v>
      </c>
      <c r="C14" s="34" t="s">
        <v>112</v>
      </c>
      <c r="D14" s="34" t="s">
        <v>119</v>
      </c>
      <c r="G14" s="34">
        <v>10</v>
      </c>
      <c r="H14" s="34">
        <v>9</v>
      </c>
      <c r="I14" s="34">
        <v>7</v>
      </c>
      <c r="J14" s="34">
        <v>15</v>
      </c>
      <c r="K14" s="34">
        <v>15</v>
      </c>
      <c r="L14" s="34">
        <v>19</v>
      </c>
      <c r="Q14" s="35">
        <f t="shared" si="0"/>
        <v>75</v>
      </c>
      <c r="R14" s="4" t="s">
        <v>22</v>
      </c>
    </row>
    <row r="15" spans="1:23" x14ac:dyDescent="0.25">
      <c r="Q15" s="35">
        <f t="shared" si="0"/>
        <v>0</v>
      </c>
    </row>
    <row r="16" spans="1:23" ht="18" customHeight="1" x14ac:dyDescent="0.25">
      <c r="A16" s="40">
        <v>46106</v>
      </c>
      <c r="B16" s="28">
        <v>1</v>
      </c>
      <c r="C16" s="34" t="s">
        <v>132</v>
      </c>
      <c r="D16" s="34" t="s">
        <v>125</v>
      </c>
      <c r="G16" s="34">
        <v>15</v>
      </c>
      <c r="H16" s="34">
        <v>8</v>
      </c>
      <c r="I16" s="34">
        <v>8</v>
      </c>
      <c r="J16" s="34">
        <v>16</v>
      </c>
      <c r="K16" s="34">
        <v>9</v>
      </c>
      <c r="L16" s="34">
        <v>12</v>
      </c>
      <c r="Q16" s="35">
        <f t="shared" si="0"/>
        <v>68</v>
      </c>
      <c r="R16" s="4" t="s">
        <v>140</v>
      </c>
    </row>
    <row r="17" spans="1:18" x14ac:dyDescent="0.25">
      <c r="A17" s="40">
        <v>46106</v>
      </c>
      <c r="B17" s="28">
        <v>1</v>
      </c>
      <c r="C17" s="34" t="s">
        <v>133</v>
      </c>
      <c r="D17" s="34" t="s">
        <v>126</v>
      </c>
      <c r="G17" s="34">
        <v>14</v>
      </c>
      <c r="H17" s="34">
        <v>11</v>
      </c>
      <c r="I17" s="34">
        <v>12</v>
      </c>
      <c r="J17" s="34">
        <v>19</v>
      </c>
      <c r="K17" s="34">
        <v>12</v>
      </c>
      <c r="L17" s="34">
        <v>17</v>
      </c>
      <c r="Q17" s="35">
        <f t="shared" si="0"/>
        <v>85</v>
      </c>
      <c r="R17" s="4" t="s">
        <v>140</v>
      </c>
    </row>
    <row r="18" spans="1:18" x14ac:dyDescent="0.25">
      <c r="A18" s="40">
        <v>46106</v>
      </c>
      <c r="B18" s="28">
        <v>1</v>
      </c>
      <c r="C18" s="34" t="s">
        <v>134</v>
      </c>
      <c r="D18" s="34" t="s">
        <v>127</v>
      </c>
      <c r="G18" s="34">
        <v>13</v>
      </c>
      <c r="H18" s="34">
        <v>8</v>
      </c>
      <c r="I18" s="34">
        <v>10</v>
      </c>
      <c r="J18" s="34">
        <v>13</v>
      </c>
      <c r="K18" s="34">
        <v>12</v>
      </c>
      <c r="L18" s="34">
        <v>19</v>
      </c>
      <c r="Q18" s="35">
        <f t="shared" si="0"/>
        <v>75</v>
      </c>
      <c r="R18" s="4" t="s">
        <v>140</v>
      </c>
    </row>
    <row r="19" spans="1:18" x14ac:dyDescent="0.25">
      <c r="A19" s="40">
        <v>46106</v>
      </c>
      <c r="B19" s="28">
        <v>1</v>
      </c>
      <c r="C19" s="34" t="s">
        <v>135</v>
      </c>
      <c r="D19" s="34" t="s">
        <v>128</v>
      </c>
      <c r="G19" s="34">
        <v>14</v>
      </c>
      <c r="H19" s="34">
        <v>10</v>
      </c>
      <c r="I19" s="34">
        <v>11</v>
      </c>
      <c r="J19" s="34">
        <v>18</v>
      </c>
      <c r="K19" s="34">
        <v>18</v>
      </c>
      <c r="L19" s="34">
        <v>24</v>
      </c>
      <c r="Q19" s="35">
        <f t="shared" si="0"/>
        <v>95</v>
      </c>
      <c r="R19" s="4" t="s">
        <v>140</v>
      </c>
    </row>
    <row r="20" spans="1:18" ht="16.5" customHeight="1" x14ac:dyDescent="0.25">
      <c r="A20" s="40">
        <v>46106</v>
      </c>
      <c r="B20" s="28">
        <v>1</v>
      </c>
      <c r="C20" s="34" t="s">
        <v>136</v>
      </c>
      <c r="D20" s="34" t="s">
        <v>129</v>
      </c>
      <c r="G20" s="34">
        <v>12</v>
      </c>
      <c r="H20" s="34">
        <v>8</v>
      </c>
      <c r="I20" s="34">
        <v>7</v>
      </c>
      <c r="J20" s="34">
        <v>13</v>
      </c>
      <c r="K20" s="34">
        <v>14</v>
      </c>
      <c r="L20" s="34">
        <v>16</v>
      </c>
      <c r="Q20" s="35">
        <f t="shared" si="0"/>
        <v>70</v>
      </c>
      <c r="R20" s="4" t="s">
        <v>140</v>
      </c>
    </row>
    <row r="21" spans="1:18" x14ac:dyDescent="0.25">
      <c r="A21" s="40">
        <v>46106</v>
      </c>
      <c r="B21" s="28">
        <v>1</v>
      </c>
      <c r="C21" s="34" t="s">
        <v>137</v>
      </c>
      <c r="D21" s="34" t="s">
        <v>130</v>
      </c>
      <c r="G21" s="34">
        <v>14</v>
      </c>
      <c r="H21" s="34">
        <v>8</v>
      </c>
      <c r="I21" s="34">
        <v>9</v>
      </c>
      <c r="J21" s="34">
        <v>13</v>
      </c>
      <c r="K21" s="34">
        <v>9</v>
      </c>
      <c r="L21" s="34">
        <v>14</v>
      </c>
      <c r="Q21" s="35">
        <f t="shared" si="0"/>
        <v>67</v>
      </c>
      <c r="R21" s="4" t="s">
        <v>140</v>
      </c>
    </row>
    <row r="22" spans="1:18" x14ac:dyDescent="0.25">
      <c r="A22" s="40">
        <v>46106</v>
      </c>
      <c r="B22" s="28">
        <v>1</v>
      </c>
      <c r="C22" s="34" t="s">
        <v>138</v>
      </c>
      <c r="D22" s="34" t="s">
        <v>184</v>
      </c>
      <c r="G22" s="34">
        <v>14</v>
      </c>
      <c r="H22" s="34">
        <v>11</v>
      </c>
      <c r="I22" s="34">
        <v>10</v>
      </c>
      <c r="J22" s="34">
        <v>19</v>
      </c>
      <c r="K22" s="34">
        <v>16</v>
      </c>
      <c r="L22" s="34">
        <v>26</v>
      </c>
      <c r="Q22" s="35">
        <f t="shared" si="0"/>
        <v>96</v>
      </c>
      <c r="R22" s="4" t="s">
        <v>140</v>
      </c>
    </row>
    <row r="23" spans="1:18" x14ac:dyDescent="0.25">
      <c r="A23" s="40">
        <v>46106</v>
      </c>
      <c r="B23" s="28">
        <v>1</v>
      </c>
      <c r="C23" s="34" t="s">
        <v>73</v>
      </c>
      <c r="D23" s="34" t="s">
        <v>131</v>
      </c>
      <c r="G23" s="34">
        <v>14</v>
      </c>
      <c r="H23" s="34">
        <v>9</v>
      </c>
      <c r="I23" s="34">
        <v>9</v>
      </c>
      <c r="J23" s="34">
        <v>16</v>
      </c>
      <c r="K23" s="34">
        <v>11</v>
      </c>
      <c r="L23" s="34">
        <v>18</v>
      </c>
      <c r="Q23" s="35">
        <f t="shared" si="0"/>
        <v>77</v>
      </c>
      <c r="R23" s="4" t="s">
        <v>140</v>
      </c>
    </row>
    <row r="24" spans="1:18" x14ac:dyDescent="0.25">
      <c r="A24" s="40">
        <v>46107</v>
      </c>
      <c r="B24" s="28">
        <v>1</v>
      </c>
      <c r="C24" s="34" t="s">
        <v>100</v>
      </c>
      <c r="D24" s="34" t="s">
        <v>114</v>
      </c>
      <c r="E24" s="34">
        <v>15</v>
      </c>
      <c r="F24" s="34">
        <v>31</v>
      </c>
      <c r="G24" s="34">
        <v>31</v>
      </c>
      <c r="H24" s="34">
        <v>29</v>
      </c>
      <c r="I24" s="34">
        <v>19</v>
      </c>
      <c r="J24" s="34">
        <v>28</v>
      </c>
      <c r="K24" s="34">
        <v>31</v>
      </c>
      <c r="L24" s="34">
        <v>23</v>
      </c>
      <c r="Q24" s="35">
        <f t="shared" ref="Q24:Q35" si="1">SUM(E24:P24)</f>
        <v>207</v>
      </c>
      <c r="R24" s="4" t="s">
        <v>22</v>
      </c>
    </row>
    <row r="25" spans="1:18" x14ac:dyDescent="0.25">
      <c r="A25" s="40">
        <v>46107</v>
      </c>
      <c r="B25" s="28">
        <v>1</v>
      </c>
      <c r="C25" s="34" t="s">
        <v>101</v>
      </c>
      <c r="D25" s="34" t="s">
        <v>113</v>
      </c>
      <c r="E25" s="34">
        <v>12</v>
      </c>
      <c r="F25" s="34">
        <v>33</v>
      </c>
      <c r="G25" s="34">
        <v>27</v>
      </c>
      <c r="H25" s="34">
        <v>22</v>
      </c>
      <c r="I25" s="34">
        <v>15</v>
      </c>
      <c r="J25" s="34">
        <v>23</v>
      </c>
      <c r="K25" s="34">
        <v>25</v>
      </c>
      <c r="L25" s="34">
        <v>13</v>
      </c>
      <c r="Q25" s="35">
        <f t="shared" si="1"/>
        <v>170</v>
      </c>
      <c r="R25" s="4" t="s">
        <v>22</v>
      </c>
    </row>
    <row r="26" spans="1:18" x14ac:dyDescent="0.25">
      <c r="A26" s="40">
        <v>46107</v>
      </c>
      <c r="B26" s="28">
        <v>1</v>
      </c>
      <c r="C26" s="34" t="s">
        <v>102</v>
      </c>
      <c r="D26" s="34" t="s">
        <v>116</v>
      </c>
      <c r="E26" s="34">
        <v>13</v>
      </c>
      <c r="F26" s="34">
        <v>24</v>
      </c>
      <c r="G26" s="34">
        <v>24</v>
      </c>
      <c r="H26" s="34">
        <v>24</v>
      </c>
      <c r="I26" s="34">
        <v>19</v>
      </c>
      <c r="J26" s="34">
        <v>22</v>
      </c>
      <c r="K26" s="34">
        <v>22</v>
      </c>
      <c r="L26" s="34">
        <v>20</v>
      </c>
      <c r="Q26" s="35">
        <f t="shared" si="1"/>
        <v>168</v>
      </c>
      <c r="R26" s="4" t="s">
        <v>22</v>
      </c>
    </row>
    <row r="27" spans="1:18" x14ac:dyDescent="0.25">
      <c r="A27" s="40">
        <v>46107</v>
      </c>
      <c r="B27" s="28">
        <v>1</v>
      </c>
      <c r="C27" s="34" t="s">
        <v>104</v>
      </c>
      <c r="D27" s="34" t="s">
        <v>117</v>
      </c>
      <c r="E27" s="34">
        <v>11</v>
      </c>
      <c r="F27" s="34">
        <v>25</v>
      </c>
      <c r="G27" s="34">
        <v>22</v>
      </c>
      <c r="H27" s="34">
        <v>23</v>
      </c>
      <c r="I27" s="34">
        <v>16</v>
      </c>
      <c r="J27" s="34">
        <v>17</v>
      </c>
      <c r="K27" s="34">
        <v>19</v>
      </c>
      <c r="L27" s="34">
        <v>21</v>
      </c>
      <c r="Q27" s="35">
        <f t="shared" si="1"/>
        <v>154</v>
      </c>
      <c r="R27" s="4" t="s">
        <v>22</v>
      </c>
    </row>
    <row r="28" spans="1:18" x14ac:dyDescent="0.25">
      <c r="A28" s="40">
        <v>46107</v>
      </c>
      <c r="B28" s="28">
        <v>1</v>
      </c>
      <c r="C28" s="34" t="s">
        <v>105</v>
      </c>
      <c r="D28" s="34" t="s">
        <v>118</v>
      </c>
      <c r="E28" s="34">
        <v>16</v>
      </c>
      <c r="F28" s="34">
        <v>32</v>
      </c>
      <c r="G28" s="34">
        <v>18</v>
      </c>
      <c r="H28" s="34">
        <v>4</v>
      </c>
      <c r="I28" s="34">
        <v>20</v>
      </c>
      <c r="J28" s="34">
        <v>26</v>
      </c>
      <c r="K28" s="34">
        <v>34</v>
      </c>
      <c r="L28" s="34">
        <v>23</v>
      </c>
      <c r="Q28" s="35">
        <f t="shared" si="1"/>
        <v>173</v>
      </c>
      <c r="R28" s="4" t="s">
        <v>22</v>
      </c>
    </row>
    <row r="29" spans="1:18" x14ac:dyDescent="0.25">
      <c r="A29" s="40">
        <v>46107</v>
      </c>
      <c r="B29" s="28">
        <v>1</v>
      </c>
      <c r="C29" s="34" t="s">
        <v>106</v>
      </c>
      <c r="D29" s="34" t="s">
        <v>119</v>
      </c>
      <c r="E29" s="34">
        <v>9</v>
      </c>
      <c r="F29" s="34">
        <v>19</v>
      </c>
      <c r="G29" s="34">
        <v>23</v>
      </c>
      <c r="H29" s="34">
        <v>22</v>
      </c>
      <c r="I29" s="34">
        <v>17</v>
      </c>
      <c r="J29" s="34">
        <v>23</v>
      </c>
      <c r="K29" s="34">
        <v>17</v>
      </c>
      <c r="L29" s="34">
        <v>20</v>
      </c>
      <c r="Q29" s="35">
        <f t="shared" si="1"/>
        <v>150</v>
      </c>
      <c r="R29" s="4" t="s">
        <v>22</v>
      </c>
    </row>
    <row r="30" spans="1:18" x14ac:dyDescent="0.25">
      <c r="A30" s="40">
        <v>46107</v>
      </c>
      <c r="B30" s="28">
        <v>1</v>
      </c>
      <c r="C30" s="34" t="s">
        <v>107</v>
      </c>
      <c r="D30" s="34" t="s">
        <v>120</v>
      </c>
      <c r="E30" s="34">
        <v>9</v>
      </c>
      <c r="F30" s="34">
        <v>23</v>
      </c>
      <c r="G30" s="34">
        <v>27</v>
      </c>
      <c r="H30" s="34">
        <v>25</v>
      </c>
      <c r="I30" s="34">
        <v>19</v>
      </c>
      <c r="J30" s="34">
        <v>28</v>
      </c>
      <c r="K30" s="34">
        <v>31</v>
      </c>
      <c r="L30" s="34">
        <v>22</v>
      </c>
      <c r="Q30" s="35">
        <f t="shared" si="1"/>
        <v>184</v>
      </c>
      <c r="R30" s="4" t="s">
        <v>22</v>
      </c>
    </row>
    <row r="31" spans="1:18" x14ac:dyDescent="0.25">
      <c r="A31" s="40">
        <v>46107</v>
      </c>
      <c r="B31" s="28">
        <v>1</v>
      </c>
      <c r="C31" s="34" t="s">
        <v>108</v>
      </c>
      <c r="D31" s="34" t="s">
        <v>121</v>
      </c>
      <c r="E31" s="34">
        <v>10</v>
      </c>
      <c r="F31" s="34">
        <v>29</v>
      </c>
      <c r="G31" s="34">
        <v>20</v>
      </c>
      <c r="H31" s="34">
        <v>21</v>
      </c>
      <c r="I31" s="34">
        <v>14</v>
      </c>
      <c r="J31" s="34">
        <v>19</v>
      </c>
      <c r="K31" s="34">
        <v>21</v>
      </c>
      <c r="L31" s="34">
        <v>16</v>
      </c>
      <c r="Q31" s="35">
        <f t="shared" si="1"/>
        <v>150</v>
      </c>
      <c r="R31" s="4" t="s">
        <v>22</v>
      </c>
    </row>
    <row r="32" spans="1:18" x14ac:dyDescent="0.25">
      <c r="A32" s="40">
        <v>46107</v>
      </c>
      <c r="B32" s="28">
        <v>1</v>
      </c>
      <c r="C32" s="34" t="s">
        <v>109</v>
      </c>
      <c r="D32" s="34" t="s">
        <v>122</v>
      </c>
      <c r="E32" s="34">
        <v>13</v>
      </c>
      <c r="F32" s="34">
        <v>32</v>
      </c>
      <c r="G32" s="34">
        <v>29</v>
      </c>
      <c r="H32" s="34">
        <v>25</v>
      </c>
      <c r="I32" s="34">
        <v>15</v>
      </c>
      <c r="J32" s="34">
        <v>23</v>
      </c>
      <c r="K32" s="34">
        <v>23</v>
      </c>
      <c r="L32" s="34">
        <v>16</v>
      </c>
      <c r="Q32" s="35">
        <f t="shared" si="1"/>
        <v>176</v>
      </c>
      <c r="R32" s="4" t="s">
        <v>22</v>
      </c>
    </row>
    <row r="33" spans="1:18" x14ac:dyDescent="0.25">
      <c r="A33" s="40">
        <v>46107</v>
      </c>
      <c r="B33" s="28">
        <v>1</v>
      </c>
      <c r="C33" s="34" t="s">
        <v>110</v>
      </c>
      <c r="D33" s="34" t="s">
        <v>123</v>
      </c>
      <c r="E33" s="34">
        <v>15</v>
      </c>
      <c r="F33" s="34">
        <v>35</v>
      </c>
      <c r="G33" s="34">
        <v>31</v>
      </c>
      <c r="H33" s="34">
        <v>25</v>
      </c>
      <c r="I33" s="34">
        <v>18</v>
      </c>
      <c r="J33" s="34">
        <v>26</v>
      </c>
      <c r="K33" s="34">
        <v>32</v>
      </c>
      <c r="L33" s="34">
        <v>24</v>
      </c>
      <c r="Q33" s="35">
        <f t="shared" si="1"/>
        <v>206</v>
      </c>
      <c r="R33" s="4" t="s">
        <v>22</v>
      </c>
    </row>
    <row r="34" spans="1:18" x14ac:dyDescent="0.25">
      <c r="A34" s="40">
        <v>46107</v>
      </c>
      <c r="B34" s="28">
        <v>1</v>
      </c>
      <c r="C34" s="34" t="s">
        <v>112</v>
      </c>
      <c r="D34" s="34" t="s">
        <v>119</v>
      </c>
      <c r="E34" s="34">
        <v>8</v>
      </c>
      <c r="F34" s="34">
        <v>20</v>
      </c>
      <c r="G34" s="34">
        <v>17</v>
      </c>
      <c r="H34" s="34">
        <v>15</v>
      </c>
      <c r="I34" s="34">
        <v>11</v>
      </c>
      <c r="J34" s="34">
        <v>13</v>
      </c>
      <c r="K34" s="34">
        <v>17</v>
      </c>
      <c r="L34" s="34">
        <v>14</v>
      </c>
      <c r="Q34" s="35">
        <f t="shared" si="1"/>
        <v>115</v>
      </c>
      <c r="R34" s="4" t="s">
        <v>22</v>
      </c>
    </row>
    <row r="35" spans="1:18" x14ac:dyDescent="0.25">
      <c r="A35" s="40">
        <v>46107</v>
      </c>
      <c r="B35" s="28">
        <v>1</v>
      </c>
      <c r="C35" s="34" t="s">
        <v>103</v>
      </c>
      <c r="D35" s="34" t="s">
        <v>115</v>
      </c>
      <c r="E35" s="34">
        <v>12</v>
      </c>
      <c r="F35" s="34">
        <v>26</v>
      </c>
      <c r="G35" s="34">
        <v>25</v>
      </c>
      <c r="H35" s="34">
        <v>25</v>
      </c>
      <c r="I35" s="34">
        <v>12</v>
      </c>
      <c r="J35" s="34">
        <v>25</v>
      </c>
      <c r="K35" s="34">
        <v>25</v>
      </c>
      <c r="L35" s="34">
        <v>26</v>
      </c>
      <c r="Q35" s="35">
        <f t="shared" si="1"/>
        <v>176</v>
      </c>
      <c r="R35" s="4" t="s">
        <v>22</v>
      </c>
    </row>
    <row r="36" spans="1:18" x14ac:dyDescent="0.25">
      <c r="A36" s="40">
        <v>46107</v>
      </c>
      <c r="B36" s="28">
        <v>1</v>
      </c>
      <c r="C36" s="34" t="s">
        <v>132</v>
      </c>
      <c r="D36" s="34" t="s">
        <v>125</v>
      </c>
      <c r="E36" s="34">
        <v>5</v>
      </c>
      <c r="F36" s="34">
        <v>16</v>
      </c>
      <c r="G36" s="34">
        <v>19</v>
      </c>
      <c r="H36" s="34">
        <v>17</v>
      </c>
      <c r="I36" s="34">
        <v>15</v>
      </c>
      <c r="J36" s="34">
        <v>20</v>
      </c>
      <c r="K36" s="34">
        <v>20</v>
      </c>
      <c r="L36" s="34">
        <v>14</v>
      </c>
      <c r="Q36" s="35">
        <f t="shared" si="0"/>
        <v>126</v>
      </c>
      <c r="R36" s="4" t="s">
        <v>140</v>
      </c>
    </row>
    <row r="37" spans="1:18" x14ac:dyDescent="0.25">
      <c r="A37" s="40">
        <v>46107</v>
      </c>
      <c r="B37" s="28">
        <v>1</v>
      </c>
      <c r="C37" s="34" t="s">
        <v>141</v>
      </c>
      <c r="D37" s="34" t="s">
        <v>142</v>
      </c>
      <c r="E37" s="34">
        <v>4</v>
      </c>
      <c r="F37" s="34">
        <v>12</v>
      </c>
      <c r="G37" s="34">
        <v>14</v>
      </c>
      <c r="H37" s="34">
        <v>16</v>
      </c>
      <c r="I37" s="34">
        <v>13</v>
      </c>
      <c r="J37" s="34">
        <v>15</v>
      </c>
      <c r="K37" s="34">
        <v>19</v>
      </c>
      <c r="L37" s="34">
        <v>14</v>
      </c>
      <c r="Q37" s="35">
        <f t="shared" si="0"/>
        <v>107</v>
      </c>
      <c r="R37" s="4" t="s">
        <v>140</v>
      </c>
    </row>
    <row r="38" spans="1:18" x14ac:dyDescent="0.25">
      <c r="A38" s="40">
        <v>46107</v>
      </c>
      <c r="B38" s="28">
        <v>1</v>
      </c>
      <c r="C38" s="34" t="s">
        <v>143</v>
      </c>
      <c r="D38" s="34" t="s">
        <v>144</v>
      </c>
      <c r="Q38" s="35">
        <f t="shared" si="0"/>
        <v>0</v>
      </c>
      <c r="R38" s="4" t="s">
        <v>140</v>
      </c>
    </row>
    <row r="39" spans="1:18" x14ac:dyDescent="0.25">
      <c r="A39" s="40">
        <v>46107</v>
      </c>
      <c r="B39" s="28">
        <v>1</v>
      </c>
      <c r="C39" s="34" t="s">
        <v>134</v>
      </c>
      <c r="D39" s="34" t="s">
        <v>127</v>
      </c>
      <c r="E39" s="34">
        <v>10</v>
      </c>
      <c r="F39" s="34">
        <v>23</v>
      </c>
      <c r="G39" s="34">
        <v>20</v>
      </c>
      <c r="H39" s="34">
        <v>20</v>
      </c>
      <c r="I39" s="34">
        <v>17</v>
      </c>
      <c r="J39" s="34">
        <v>19</v>
      </c>
      <c r="K39" s="34">
        <v>22</v>
      </c>
      <c r="L39" s="34">
        <v>19</v>
      </c>
      <c r="Q39" s="35">
        <f t="shared" si="0"/>
        <v>150</v>
      </c>
      <c r="R39" s="4" t="s">
        <v>140</v>
      </c>
    </row>
    <row r="40" spans="1:18" x14ac:dyDescent="0.25">
      <c r="A40" s="40">
        <v>46107</v>
      </c>
      <c r="B40" s="28">
        <v>1</v>
      </c>
      <c r="C40" s="34" t="s">
        <v>135</v>
      </c>
      <c r="D40" s="34" t="s">
        <v>128</v>
      </c>
      <c r="E40" s="34">
        <v>7</v>
      </c>
      <c r="F40" s="34">
        <v>23</v>
      </c>
      <c r="G40" s="34">
        <v>23</v>
      </c>
      <c r="H40" s="34">
        <v>19</v>
      </c>
      <c r="I40" s="34">
        <v>18</v>
      </c>
      <c r="J40" s="34">
        <v>19</v>
      </c>
      <c r="K40" s="34">
        <v>25</v>
      </c>
      <c r="L40" s="34">
        <v>19</v>
      </c>
      <c r="Q40" s="35">
        <f t="shared" si="0"/>
        <v>153</v>
      </c>
      <c r="R40" s="4" t="s">
        <v>140</v>
      </c>
    </row>
    <row r="41" spans="1:18" x14ac:dyDescent="0.25">
      <c r="A41" s="40">
        <v>46107</v>
      </c>
      <c r="B41" s="28">
        <v>1</v>
      </c>
      <c r="C41" s="34" t="s">
        <v>136</v>
      </c>
      <c r="D41" s="34" t="s">
        <v>129</v>
      </c>
      <c r="E41" s="34">
        <v>10</v>
      </c>
      <c r="F41" s="34">
        <v>21</v>
      </c>
      <c r="G41" s="34">
        <v>21</v>
      </c>
      <c r="H41" s="34">
        <v>20</v>
      </c>
      <c r="I41" s="34">
        <v>17</v>
      </c>
      <c r="J41" s="34">
        <v>18</v>
      </c>
      <c r="K41" s="34">
        <v>23</v>
      </c>
      <c r="L41" s="34">
        <v>20</v>
      </c>
      <c r="Q41" s="35">
        <f t="shared" si="0"/>
        <v>150</v>
      </c>
      <c r="R41" s="4" t="s">
        <v>140</v>
      </c>
    </row>
    <row r="42" spans="1:18" x14ac:dyDescent="0.25">
      <c r="A42" s="40">
        <v>46107</v>
      </c>
      <c r="B42" s="28">
        <v>1</v>
      </c>
      <c r="C42" s="34" t="s">
        <v>137</v>
      </c>
      <c r="D42" s="34" t="s">
        <v>130</v>
      </c>
      <c r="E42" s="34">
        <v>5</v>
      </c>
      <c r="F42" s="34">
        <v>15</v>
      </c>
      <c r="G42" s="34">
        <v>18</v>
      </c>
      <c r="H42" s="34">
        <v>19</v>
      </c>
      <c r="I42" s="34">
        <v>16</v>
      </c>
      <c r="J42" s="34">
        <v>21</v>
      </c>
      <c r="K42" s="34">
        <v>21</v>
      </c>
      <c r="L42" s="34">
        <v>17</v>
      </c>
      <c r="Q42" s="35">
        <f t="shared" si="0"/>
        <v>132</v>
      </c>
      <c r="R42" s="4" t="s">
        <v>140</v>
      </c>
    </row>
    <row r="43" spans="1:18" x14ac:dyDescent="0.25">
      <c r="A43" s="40">
        <v>46107</v>
      </c>
      <c r="B43" s="28">
        <v>1</v>
      </c>
      <c r="C43" s="34" t="s">
        <v>138</v>
      </c>
      <c r="D43" s="34" t="s">
        <v>184</v>
      </c>
      <c r="E43" s="34">
        <v>12</v>
      </c>
      <c r="F43" s="34">
        <v>24</v>
      </c>
      <c r="G43" s="34">
        <v>23</v>
      </c>
      <c r="H43" s="34">
        <v>21</v>
      </c>
      <c r="I43" s="34">
        <v>12</v>
      </c>
      <c r="J43" s="34">
        <v>17</v>
      </c>
      <c r="K43" s="34">
        <v>23</v>
      </c>
      <c r="L43" s="34">
        <v>18</v>
      </c>
      <c r="Q43" s="35">
        <f t="shared" si="0"/>
        <v>150</v>
      </c>
      <c r="R43" s="4" t="s">
        <v>140</v>
      </c>
    </row>
    <row r="44" spans="1:18" x14ac:dyDescent="0.25">
      <c r="A44" s="40">
        <v>46107</v>
      </c>
      <c r="B44" s="28">
        <v>1</v>
      </c>
      <c r="C44" s="34" t="s">
        <v>73</v>
      </c>
      <c r="D44" s="34" t="s">
        <v>131</v>
      </c>
      <c r="E44" s="34">
        <v>10</v>
      </c>
      <c r="F44" s="34">
        <v>23</v>
      </c>
      <c r="G44" s="34">
        <v>20</v>
      </c>
      <c r="H44" s="34">
        <v>19</v>
      </c>
      <c r="I44" s="34">
        <v>15</v>
      </c>
      <c r="J44" s="34">
        <v>19</v>
      </c>
      <c r="K44" s="34">
        <v>20</v>
      </c>
      <c r="L44" s="34">
        <v>15</v>
      </c>
      <c r="Q44" s="35">
        <f t="shared" si="0"/>
        <v>141</v>
      </c>
      <c r="R44" s="4" t="s">
        <v>140</v>
      </c>
    </row>
    <row r="45" spans="1:18" x14ac:dyDescent="0.25">
      <c r="A45" s="40">
        <v>46107</v>
      </c>
      <c r="B45" s="28">
        <v>1</v>
      </c>
      <c r="C45" s="34" t="s">
        <v>133</v>
      </c>
      <c r="D45" s="34" t="s">
        <v>126</v>
      </c>
      <c r="E45" s="34">
        <v>12</v>
      </c>
      <c r="F45" s="34">
        <v>24</v>
      </c>
      <c r="G45" s="34">
        <v>23</v>
      </c>
      <c r="H45" s="34">
        <v>22</v>
      </c>
      <c r="I45" s="34">
        <v>17</v>
      </c>
      <c r="J45" s="34">
        <v>18</v>
      </c>
      <c r="K45" s="34">
        <v>19</v>
      </c>
      <c r="L45" s="34">
        <v>17</v>
      </c>
      <c r="Q45" s="35">
        <f t="shared" si="0"/>
        <v>152</v>
      </c>
      <c r="R45" s="4" t="s">
        <v>140</v>
      </c>
    </row>
    <row r="46" spans="1:18" x14ac:dyDescent="0.25">
      <c r="A46" s="40">
        <v>46108</v>
      </c>
      <c r="B46" s="28">
        <v>1</v>
      </c>
      <c r="C46" s="34" t="s">
        <v>102</v>
      </c>
      <c r="D46" s="34" t="s">
        <v>116</v>
      </c>
      <c r="E46" s="34">
        <v>15</v>
      </c>
      <c r="F46" s="34">
        <v>20</v>
      </c>
      <c r="G46" s="34">
        <v>21</v>
      </c>
      <c r="H46" s="34">
        <v>12</v>
      </c>
      <c r="I46" s="34">
        <v>10</v>
      </c>
      <c r="J46" s="34">
        <v>22</v>
      </c>
      <c r="K46" s="34">
        <v>26</v>
      </c>
      <c r="L46" s="34">
        <v>11</v>
      </c>
      <c r="M46" s="34">
        <v>19</v>
      </c>
      <c r="N46" s="34">
        <v>24</v>
      </c>
      <c r="O46" s="34">
        <v>20</v>
      </c>
      <c r="P46" s="34">
        <v>4</v>
      </c>
      <c r="Q46" s="35">
        <f t="shared" si="0"/>
        <v>204</v>
      </c>
      <c r="R46" s="4" t="s">
        <v>22</v>
      </c>
    </row>
    <row r="47" spans="1:18" x14ac:dyDescent="0.25">
      <c r="A47" s="40">
        <v>46108</v>
      </c>
      <c r="B47" s="28">
        <v>1</v>
      </c>
      <c r="C47" s="34" t="s">
        <v>107</v>
      </c>
      <c r="D47" s="34" t="s">
        <v>120</v>
      </c>
      <c r="E47" s="34">
        <v>14</v>
      </c>
      <c r="F47" s="34">
        <v>25</v>
      </c>
      <c r="G47" s="34">
        <v>13</v>
      </c>
      <c r="H47" s="34">
        <v>5</v>
      </c>
      <c r="I47" s="34">
        <v>6</v>
      </c>
      <c r="J47" s="34">
        <v>30</v>
      </c>
      <c r="K47" s="34">
        <v>10</v>
      </c>
      <c r="L47" s="34">
        <v>8</v>
      </c>
      <c r="M47" s="34">
        <v>22</v>
      </c>
      <c r="N47" s="34">
        <v>22</v>
      </c>
      <c r="O47" s="34">
        <v>26</v>
      </c>
      <c r="P47" s="34">
        <v>21</v>
      </c>
      <c r="Q47" s="35">
        <f t="shared" si="0"/>
        <v>202</v>
      </c>
      <c r="R47" s="4" t="s">
        <v>22</v>
      </c>
    </row>
    <row r="48" spans="1:18" x14ac:dyDescent="0.25">
      <c r="A48" s="40">
        <v>46108</v>
      </c>
      <c r="B48" s="28">
        <v>1</v>
      </c>
      <c r="C48" s="34" t="s">
        <v>112</v>
      </c>
      <c r="D48" s="34" t="s">
        <v>119</v>
      </c>
      <c r="E48" s="34">
        <v>9</v>
      </c>
      <c r="F48" s="34">
        <v>17</v>
      </c>
      <c r="G48" s="34">
        <v>11</v>
      </c>
      <c r="H48" s="34">
        <v>5</v>
      </c>
      <c r="I48" s="34">
        <v>3</v>
      </c>
      <c r="J48" s="34">
        <v>16</v>
      </c>
      <c r="K48" s="34">
        <v>18</v>
      </c>
      <c r="L48" s="34">
        <v>7</v>
      </c>
      <c r="M48" s="34">
        <v>16</v>
      </c>
      <c r="N48" s="34">
        <v>16</v>
      </c>
      <c r="O48" s="34">
        <v>16</v>
      </c>
      <c r="P48" s="34">
        <v>10</v>
      </c>
      <c r="Q48" s="35">
        <f t="shared" si="0"/>
        <v>144</v>
      </c>
      <c r="R48" s="4" t="s">
        <v>22</v>
      </c>
    </row>
    <row r="49" spans="1:18" x14ac:dyDescent="0.25">
      <c r="A49" s="40">
        <v>46108</v>
      </c>
      <c r="B49" s="28">
        <v>1</v>
      </c>
      <c r="C49" s="34" t="s">
        <v>111</v>
      </c>
      <c r="D49" s="34" t="s">
        <v>124</v>
      </c>
      <c r="E49" s="34">
        <v>18</v>
      </c>
      <c r="F49" s="34">
        <v>22</v>
      </c>
      <c r="G49" s="34">
        <v>20</v>
      </c>
      <c r="H49" s="34">
        <v>12</v>
      </c>
      <c r="I49" s="34">
        <v>8</v>
      </c>
      <c r="J49" s="34">
        <v>20</v>
      </c>
      <c r="K49" s="34">
        <v>21</v>
      </c>
      <c r="L49" s="34">
        <v>9</v>
      </c>
      <c r="M49" s="34">
        <v>21</v>
      </c>
      <c r="N49" s="34">
        <v>21</v>
      </c>
      <c r="O49" s="34">
        <v>22</v>
      </c>
      <c r="P49" s="34">
        <v>14</v>
      </c>
      <c r="Q49" s="35">
        <f t="shared" si="0"/>
        <v>208</v>
      </c>
      <c r="R49" s="4" t="s">
        <v>22</v>
      </c>
    </row>
    <row r="50" spans="1:18" x14ac:dyDescent="0.25">
      <c r="A50" s="40">
        <v>46108</v>
      </c>
      <c r="B50" s="28">
        <v>1</v>
      </c>
      <c r="C50" s="34" t="s">
        <v>105</v>
      </c>
      <c r="D50" s="34" t="s">
        <v>118</v>
      </c>
      <c r="E50" s="34">
        <v>19</v>
      </c>
      <c r="F50" s="34">
        <v>27</v>
      </c>
      <c r="G50" s="34">
        <v>20</v>
      </c>
      <c r="H50" s="34">
        <v>9</v>
      </c>
      <c r="I50" s="34">
        <v>8</v>
      </c>
      <c r="J50" s="34">
        <v>19</v>
      </c>
      <c r="K50" s="34">
        <v>28</v>
      </c>
      <c r="L50" s="34">
        <v>9</v>
      </c>
      <c r="M50" s="34">
        <v>25</v>
      </c>
      <c r="N50" s="34">
        <v>32</v>
      </c>
      <c r="O50" s="34">
        <v>28</v>
      </c>
      <c r="P50" s="34">
        <v>15</v>
      </c>
      <c r="Q50" s="35">
        <f t="shared" si="0"/>
        <v>239</v>
      </c>
      <c r="R50" s="4" t="s">
        <v>22</v>
      </c>
    </row>
    <row r="51" spans="1:18" x14ac:dyDescent="0.25">
      <c r="A51" s="40">
        <v>46108</v>
      </c>
      <c r="B51" s="28">
        <v>1</v>
      </c>
      <c r="C51" s="34" t="s">
        <v>110</v>
      </c>
      <c r="D51" s="34" t="s">
        <v>123</v>
      </c>
      <c r="E51" s="34">
        <v>15</v>
      </c>
      <c r="F51" s="34">
        <v>18</v>
      </c>
      <c r="G51" s="34">
        <v>15</v>
      </c>
      <c r="H51" s="34">
        <v>6</v>
      </c>
      <c r="I51" s="34">
        <v>4</v>
      </c>
      <c r="J51" s="34">
        <v>31</v>
      </c>
      <c r="K51" s="34">
        <v>32</v>
      </c>
      <c r="L51" s="34">
        <v>13</v>
      </c>
      <c r="M51" s="34">
        <v>26</v>
      </c>
      <c r="N51" s="34">
        <v>28</v>
      </c>
      <c r="O51" s="34">
        <v>24</v>
      </c>
      <c r="P51" s="34">
        <v>16</v>
      </c>
      <c r="Q51" s="35">
        <f t="shared" si="0"/>
        <v>228</v>
      </c>
      <c r="R51" s="4" t="s">
        <v>22</v>
      </c>
    </row>
    <row r="52" spans="1:18" x14ac:dyDescent="0.25">
      <c r="A52" s="40">
        <v>46108</v>
      </c>
      <c r="B52" s="28">
        <v>1</v>
      </c>
      <c r="C52" s="34" t="s">
        <v>100</v>
      </c>
      <c r="D52" s="34" t="s">
        <v>114</v>
      </c>
      <c r="E52" s="34">
        <v>20</v>
      </c>
      <c r="F52" s="34">
        <v>28</v>
      </c>
      <c r="G52" s="34">
        <v>16</v>
      </c>
      <c r="H52" s="34">
        <v>11</v>
      </c>
      <c r="I52" s="34">
        <v>9</v>
      </c>
      <c r="J52" s="34">
        <v>24</v>
      </c>
      <c r="K52" s="34">
        <v>30</v>
      </c>
      <c r="L52" s="34">
        <v>10</v>
      </c>
      <c r="M52" s="34">
        <v>29</v>
      </c>
      <c r="N52" s="34">
        <v>28</v>
      </c>
      <c r="O52" s="34">
        <v>28</v>
      </c>
      <c r="P52" s="34">
        <v>17</v>
      </c>
      <c r="Q52" s="35">
        <f t="shared" si="0"/>
        <v>250</v>
      </c>
      <c r="R52" s="4" t="s">
        <v>22</v>
      </c>
    </row>
    <row r="53" spans="1:18" x14ac:dyDescent="0.25">
      <c r="A53" s="40">
        <v>46108</v>
      </c>
      <c r="B53" s="28">
        <v>1</v>
      </c>
      <c r="C53" s="34" t="s">
        <v>108</v>
      </c>
      <c r="D53" s="34" t="s">
        <v>121</v>
      </c>
      <c r="E53" s="34">
        <v>13</v>
      </c>
      <c r="F53" s="34">
        <v>20</v>
      </c>
      <c r="G53" s="34">
        <v>16</v>
      </c>
      <c r="H53" s="34">
        <v>6</v>
      </c>
      <c r="I53" s="34">
        <v>4</v>
      </c>
      <c r="J53" s="34">
        <v>22</v>
      </c>
      <c r="K53" s="34">
        <v>22</v>
      </c>
      <c r="L53" s="34">
        <v>9</v>
      </c>
      <c r="M53" s="34">
        <v>19</v>
      </c>
      <c r="N53" s="34">
        <v>19</v>
      </c>
      <c r="O53" s="34">
        <v>18</v>
      </c>
      <c r="P53" s="34">
        <v>10</v>
      </c>
      <c r="Q53" s="35">
        <f t="shared" si="0"/>
        <v>178</v>
      </c>
      <c r="R53" s="4" t="s">
        <v>22</v>
      </c>
    </row>
    <row r="54" spans="1:18" x14ac:dyDescent="0.25">
      <c r="A54" s="40">
        <v>46108</v>
      </c>
      <c r="B54" s="28">
        <v>1</v>
      </c>
      <c r="C54" s="34" t="s">
        <v>104</v>
      </c>
      <c r="D54" s="34" t="s">
        <v>117</v>
      </c>
      <c r="E54" s="34">
        <v>6</v>
      </c>
      <c r="F54" s="34">
        <v>12</v>
      </c>
      <c r="G54" s="34">
        <v>22</v>
      </c>
      <c r="H54" s="34">
        <v>10</v>
      </c>
      <c r="I54" s="34">
        <v>8</v>
      </c>
      <c r="J54" s="34">
        <v>19</v>
      </c>
      <c r="K54" s="34">
        <v>23</v>
      </c>
      <c r="L54" s="34">
        <v>9</v>
      </c>
      <c r="M54" s="34">
        <v>18</v>
      </c>
      <c r="N54" s="34">
        <v>20</v>
      </c>
      <c r="O54" s="34">
        <v>16</v>
      </c>
      <c r="P54" s="34">
        <v>16</v>
      </c>
      <c r="Q54" s="35">
        <f t="shared" si="0"/>
        <v>179</v>
      </c>
      <c r="R54" s="4" t="s">
        <v>22</v>
      </c>
    </row>
    <row r="55" spans="1:18" x14ac:dyDescent="0.25">
      <c r="A55" s="40">
        <v>46108</v>
      </c>
      <c r="B55" s="28">
        <v>1</v>
      </c>
      <c r="C55" s="34" t="s">
        <v>109</v>
      </c>
      <c r="D55" s="34" t="s">
        <v>122</v>
      </c>
      <c r="E55" s="34">
        <v>12</v>
      </c>
      <c r="F55" s="34">
        <v>16</v>
      </c>
      <c r="G55" s="34">
        <v>16</v>
      </c>
      <c r="H55" s="34">
        <v>6</v>
      </c>
      <c r="I55" s="34">
        <v>5</v>
      </c>
      <c r="J55" s="34">
        <v>26</v>
      </c>
      <c r="K55" s="34">
        <v>30</v>
      </c>
      <c r="L55" s="34">
        <v>11</v>
      </c>
      <c r="M55" s="34">
        <v>23</v>
      </c>
      <c r="N55" s="34">
        <v>23</v>
      </c>
      <c r="O55" s="34">
        <v>19</v>
      </c>
      <c r="P55" s="34">
        <v>13</v>
      </c>
      <c r="Q55" s="35">
        <f t="shared" si="0"/>
        <v>200</v>
      </c>
      <c r="R55" s="4" t="s">
        <v>22</v>
      </c>
    </row>
    <row r="56" spans="1:18" x14ac:dyDescent="0.25">
      <c r="A56" s="40">
        <v>46108</v>
      </c>
      <c r="B56" s="28">
        <v>1</v>
      </c>
      <c r="C56" s="34" t="s">
        <v>101</v>
      </c>
      <c r="D56" s="34" t="s">
        <v>113</v>
      </c>
      <c r="E56" s="34">
        <v>11</v>
      </c>
      <c r="F56" s="34">
        <v>20</v>
      </c>
      <c r="G56" s="34">
        <v>14</v>
      </c>
      <c r="H56" s="34">
        <v>8</v>
      </c>
      <c r="I56" s="34">
        <v>10</v>
      </c>
      <c r="J56" s="34">
        <v>27</v>
      </c>
      <c r="K56" s="34">
        <v>26</v>
      </c>
      <c r="L56" s="34">
        <v>9</v>
      </c>
      <c r="M56" s="34">
        <v>22</v>
      </c>
      <c r="N56" s="34">
        <v>20</v>
      </c>
      <c r="O56" s="34">
        <v>19</v>
      </c>
      <c r="P56" s="34">
        <v>16</v>
      </c>
      <c r="Q56" s="35">
        <f t="shared" si="0"/>
        <v>202</v>
      </c>
      <c r="R56" s="4" t="s">
        <v>22</v>
      </c>
    </row>
    <row r="57" spans="1:18" x14ac:dyDescent="0.25">
      <c r="A57" s="40">
        <v>46108</v>
      </c>
      <c r="B57" s="28">
        <v>1</v>
      </c>
      <c r="C57" s="34" t="s">
        <v>106</v>
      </c>
      <c r="D57" s="34" t="s">
        <v>119</v>
      </c>
      <c r="E57" s="34">
        <v>13</v>
      </c>
      <c r="F57" s="34">
        <v>22</v>
      </c>
      <c r="G57" s="34">
        <v>12</v>
      </c>
      <c r="H57" s="34">
        <v>5</v>
      </c>
      <c r="I57" s="34">
        <v>5</v>
      </c>
      <c r="J57" s="34">
        <v>24</v>
      </c>
      <c r="K57" s="34">
        <v>19</v>
      </c>
      <c r="L57" s="34">
        <v>10</v>
      </c>
      <c r="M57" s="34">
        <v>25</v>
      </c>
      <c r="N57" s="34">
        <v>25</v>
      </c>
      <c r="O57" s="34">
        <v>25</v>
      </c>
      <c r="P57" s="34">
        <v>14</v>
      </c>
      <c r="Q57" s="35">
        <f t="shared" si="0"/>
        <v>199</v>
      </c>
      <c r="R57" s="4" t="s">
        <v>22</v>
      </c>
    </row>
    <row r="58" spans="1:18" x14ac:dyDescent="0.25">
      <c r="A58" s="40">
        <v>46108</v>
      </c>
      <c r="B58" s="28">
        <v>1</v>
      </c>
      <c r="C58" s="34" t="s">
        <v>103</v>
      </c>
      <c r="D58" s="34" t="s">
        <v>115</v>
      </c>
      <c r="E58" s="34">
        <v>11</v>
      </c>
      <c r="F58" s="34">
        <v>23</v>
      </c>
      <c r="G58" s="34">
        <v>22</v>
      </c>
      <c r="H58" s="34">
        <v>5</v>
      </c>
      <c r="I58" s="34">
        <v>5</v>
      </c>
      <c r="J58" s="34">
        <v>19</v>
      </c>
      <c r="K58" s="34">
        <v>25</v>
      </c>
      <c r="L58" s="34">
        <v>12</v>
      </c>
      <c r="M58" s="34">
        <v>23</v>
      </c>
      <c r="N58" s="34">
        <v>26</v>
      </c>
      <c r="O58" s="34">
        <v>25</v>
      </c>
      <c r="P58" s="34">
        <v>16</v>
      </c>
      <c r="Q58" s="35">
        <f t="shared" si="0"/>
        <v>212</v>
      </c>
      <c r="R58" s="4" t="s">
        <v>22</v>
      </c>
    </row>
    <row r="59" spans="1:18" x14ac:dyDescent="0.25">
      <c r="A59" s="40">
        <v>46108</v>
      </c>
      <c r="B59" s="28">
        <v>1</v>
      </c>
      <c r="C59" s="34" t="s">
        <v>157</v>
      </c>
      <c r="D59" s="34" t="s">
        <v>114</v>
      </c>
      <c r="E59" s="34">
        <v>18</v>
      </c>
      <c r="F59" s="34">
        <v>26</v>
      </c>
      <c r="G59" s="34">
        <v>16</v>
      </c>
      <c r="H59" s="34">
        <v>9</v>
      </c>
      <c r="I59" s="34">
        <v>9</v>
      </c>
      <c r="J59" s="34">
        <v>19</v>
      </c>
      <c r="K59" s="34">
        <v>25</v>
      </c>
      <c r="L59" s="34">
        <v>9</v>
      </c>
      <c r="M59" s="34">
        <v>21</v>
      </c>
      <c r="N59" s="34">
        <v>29</v>
      </c>
      <c r="O59" s="34">
        <v>28</v>
      </c>
      <c r="P59" s="34">
        <v>15</v>
      </c>
      <c r="Q59" s="35">
        <f t="shared" si="0"/>
        <v>224</v>
      </c>
      <c r="R59" s="4" t="s">
        <v>22</v>
      </c>
    </row>
    <row r="60" spans="1:18" x14ac:dyDescent="0.25">
      <c r="A60" s="40">
        <v>46108</v>
      </c>
      <c r="B60" s="28">
        <v>1</v>
      </c>
      <c r="C60" s="34" t="s">
        <v>132</v>
      </c>
      <c r="D60" s="34" t="s">
        <v>125</v>
      </c>
      <c r="E60" s="34">
        <v>11</v>
      </c>
      <c r="F60" s="34">
        <v>21</v>
      </c>
      <c r="G60" s="34">
        <v>12</v>
      </c>
      <c r="H60" s="34">
        <v>7</v>
      </c>
      <c r="I60" s="34">
        <v>6</v>
      </c>
      <c r="J60" s="34">
        <v>19</v>
      </c>
      <c r="K60" s="34">
        <v>19</v>
      </c>
      <c r="L60" s="34">
        <v>4</v>
      </c>
      <c r="M60" s="34">
        <v>13</v>
      </c>
      <c r="N60" s="34">
        <v>20</v>
      </c>
      <c r="O60" s="34">
        <v>20</v>
      </c>
      <c r="P60" s="34">
        <v>13</v>
      </c>
      <c r="Q60" s="35">
        <f t="shared" si="0"/>
        <v>165</v>
      </c>
      <c r="R60" s="4" t="s">
        <v>140</v>
      </c>
    </row>
    <row r="61" spans="1:18" x14ac:dyDescent="0.25">
      <c r="A61" s="40">
        <v>46108</v>
      </c>
      <c r="B61" s="28">
        <v>1</v>
      </c>
      <c r="C61" s="34" t="s">
        <v>135</v>
      </c>
      <c r="D61" s="34" t="s">
        <v>128</v>
      </c>
      <c r="E61" s="34">
        <v>13</v>
      </c>
      <c r="F61" s="34">
        <v>20</v>
      </c>
      <c r="G61" s="34">
        <v>12</v>
      </c>
      <c r="H61" s="34">
        <v>5</v>
      </c>
      <c r="I61" s="34">
        <v>8</v>
      </c>
      <c r="J61" s="34">
        <v>21</v>
      </c>
      <c r="K61" s="34">
        <v>15</v>
      </c>
      <c r="L61" s="34">
        <v>11</v>
      </c>
      <c r="M61" s="34">
        <v>0</v>
      </c>
      <c r="N61" s="34">
        <v>0</v>
      </c>
      <c r="O61" s="34">
        <v>0</v>
      </c>
      <c r="P61" s="34">
        <v>0</v>
      </c>
      <c r="Q61" s="35">
        <f t="shared" si="0"/>
        <v>105</v>
      </c>
      <c r="R61" s="4" t="s">
        <v>140</v>
      </c>
    </row>
    <row r="62" spans="1:18" x14ac:dyDescent="0.25">
      <c r="A62" s="40">
        <v>46108</v>
      </c>
      <c r="B62" s="28">
        <v>1</v>
      </c>
      <c r="C62" s="34" t="s">
        <v>136</v>
      </c>
      <c r="D62" s="34" t="s">
        <v>129</v>
      </c>
      <c r="E62" s="34">
        <v>16</v>
      </c>
      <c r="F62" s="34">
        <v>20</v>
      </c>
      <c r="G62" s="34">
        <v>19</v>
      </c>
      <c r="H62" s="34">
        <v>7</v>
      </c>
      <c r="I62" s="34">
        <v>7</v>
      </c>
      <c r="J62" s="34">
        <v>17</v>
      </c>
      <c r="K62" s="34">
        <v>23</v>
      </c>
      <c r="L62" s="34">
        <v>9</v>
      </c>
      <c r="M62" s="34">
        <v>21</v>
      </c>
      <c r="N62" s="34">
        <v>20</v>
      </c>
      <c r="O62" s="34">
        <v>20</v>
      </c>
      <c r="P62" s="34">
        <v>13</v>
      </c>
      <c r="Q62" s="35">
        <f t="shared" si="0"/>
        <v>192</v>
      </c>
      <c r="R62" s="4" t="s">
        <v>140</v>
      </c>
    </row>
    <row r="63" spans="1:18" x14ac:dyDescent="0.25">
      <c r="A63" s="40">
        <v>46108</v>
      </c>
      <c r="B63" s="28">
        <v>1</v>
      </c>
      <c r="C63" s="34" t="s">
        <v>137</v>
      </c>
      <c r="D63" s="34" t="s">
        <v>130</v>
      </c>
      <c r="E63" s="34">
        <v>11</v>
      </c>
      <c r="F63" s="34">
        <v>18</v>
      </c>
      <c r="G63" s="34">
        <v>15</v>
      </c>
      <c r="H63" s="34">
        <v>9</v>
      </c>
      <c r="I63" s="34">
        <v>7</v>
      </c>
      <c r="J63" s="34">
        <v>13</v>
      </c>
      <c r="K63" s="34">
        <v>21</v>
      </c>
      <c r="L63" s="34">
        <v>6</v>
      </c>
      <c r="M63" s="34">
        <v>16</v>
      </c>
      <c r="N63" s="34">
        <v>14</v>
      </c>
      <c r="O63" s="34">
        <v>19</v>
      </c>
      <c r="P63" s="34">
        <v>12</v>
      </c>
      <c r="Q63" s="35">
        <f t="shared" si="0"/>
        <v>161</v>
      </c>
      <c r="R63" s="4" t="s">
        <v>140</v>
      </c>
    </row>
    <row r="64" spans="1:18" x14ac:dyDescent="0.25">
      <c r="A64" s="40">
        <v>46108</v>
      </c>
      <c r="B64" s="28">
        <v>1</v>
      </c>
      <c r="C64" s="34" t="s">
        <v>138</v>
      </c>
      <c r="D64" s="34" t="s">
        <v>184</v>
      </c>
      <c r="E64" s="34">
        <v>10</v>
      </c>
      <c r="F64" s="34">
        <v>18</v>
      </c>
      <c r="G64" s="34">
        <v>16</v>
      </c>
      <c r="H64" s="34">
        <v>9</v>
      </c>
      <c r="I64" s="34">
        <v>11</v>
      </c>
      <c r="J64" s="34">
        <v>25</v>
      </c>
      <c r="K64" s="34">
        <v>26</v>
      </c>
      <c r="L64" s="34">
        <v>9</v>
      </c>
      <c r="M64" s="34">
        <v>20</v>
      </c>
      <c r="N64" s="34">
        <v>20</v>
      </c>
      <c r="O64" s="34">
        <v>17</v>
      </c>
      <c r="P64" s="34">
        <v>17</v>
      </c>
      <c r="Q64" s="35">
        <f t="shared" si="0"/>
        <v>198</v>
      </c>
      <c r="R64" s="4" t="s">
        <v>140</v>
      </c>
    </row>
    <row r="65" spans="1:18" x14ac:dyDescent="0.25">
      <c r="A65" s="40">
        <v>46108</v>
      </c>
      <c r="B65" s="28">
        <v>1</v>
      </c>
      <c r="C65" s="34" t="s">
        <v>73</v>
      </c>
      <c r="D65" s="34" t="s">
        <v>131</v>
      </c>
      <c r="E65" s="34">
        <v>13</v>
      </c>
      <c r="F65" s="34">
        <v>22</v>
      </c>
      <c r="G65" s="34">
        <v>16</v>
      </c>
      <c r="H65" s="34">
        <v>12</v>
      </c>
      <c r="I65" s="34">
        <v>9</v>
      </c>
      <c r="J65" s="34">
        <v>15</v>
      </c>
      <c r="K65" s="34">
        <v>18</v>
      </c>
      <c r="L65" s="34">
        <v>5</v>
      </c>
      <c r="M65" s="34">
        <v>18</v>
      </c>
      <c r="N65" s="34">
        <v>20</v>
      </c>
      <c r="O65" s="34">
        <v>19</v>
      </c>
      <c r="P65" s="34">
        <v>11</v>
      </c>
      <c r="Q65" s="35">
        <f t="shared" si="0"/>
        <v>178</v>
      </c>
      <c r="R65" s="4" t="s">
        <v>140</v>
      </c>
    </row>
    <row r="66" spans="1:18" x14ac:dyDescent="0.25">
      <c r="A66" s="40">
        <v>46108</v>
      </c>
      <c r="B66" s="28">
        <v>1</v>
      </c>
      <c r="C66" s="34" t="s">
        <v>133</v>
      </c>
      <c r="D66" s="34" t="s">
        <v>126</v>
      </c>
      <c r="E66" s="34">
        <v>11</v>
      </c>
      <c r="F66" s="34">
        <v>19</v>
      </c>
      <c r="G66" s="34">
        <v>12</v>
      </c>
      <c r="H66" s="34">
        <v>8</v>
      </c>
      <c r="I66" s="34">
        <v>7</v>
      </c>
      <c r="J66" s="34">
        <v>16</v>
      </c>
      <c r="K66" s="34">
        <v>18</v>
      </c>
      <c r="L66" s="34">
        <v>6</v>
      </c>
      <c r="M66" s="34">
        <v>16</v>
      </c>
      <c r="N66" s="34">
        <v>15</v>
      </c>
      <c r="O66" s="34">
        <v>17</v>
      </c>
      <c r="P66" s="34">
        <v>12</v>
      </c>
      <c r="Q66" s="35">
        <f t="shared" si="0"/>
        <v>157</v>
      </c>
      <c r="R66" s="4" t="s">
        <v>140</v>
      </c>
    </row>
    <row r="67" spans="1:18" x14ac:dyDescent="0.25">
      <c r="A67" s="40">
        <v>46109</v>
      </c>
      <c r="B67" s="28">
        <v>1</v>
      </c>
      <c r="C67" s="34" t="s">
        <v>100</v>
      </c>
      <c r="D67" s="34" t="s">
        <v>114</v>
      </c>
      <c r="E67" s="34">
        <v>14</v>
      </c>
      <c r="F67" s="34">
        <v>16</v>
      </c>
      <c r="G67" s="34">
        <v>18</v>
      </c>
      <c r="H67" s="34">
        <v>14</v>
      </c>
      <c r="I67" s="34">
        <v>24</v>
      </c>
      <c r="J67" s="34">
        <v>24</v>
      </c>
      <c r="K67" s="34">
        <v>34</v>
      </c>
      <c r="L67" s="34">
        <v>18</v>
      </c>
      <c r="Q67" s="35">
        <f t="shared" ref="Q67:Q126" si="2">SUM(E67:P67)</f>
        <v>162</v>
      </c>
      <c r="R67" s="4" t="s">
        <v>22</v>
      </c>
    </row>
    <row r="68" spans="1:18" x14ac:dyDescent="0.25">
      <c r="A68" s="40">
        <v>46109</v>
      </c>
      <c r="B68" s="28">
        <v>1</v>
      </c>
      <c r="C68" s="34" t="s">
        <v>197</v>
      </c>
      <c r="D68" s="34" t="s">
        <v>114</v>
      </c>
      <c r="E68" s="34">
        <v>10</v>
      </c>
      <c r="F68" s="34">
        <v>17</v>
      </c>
      <c r="G68" s="34">
        <v>11</v>
      </c>
      <c r="H68" s="34">
        <v>12</v>
      </c>
      <c r="I68" s="34">
        <v>22</v>
      </c>
      <c r="J68" s="34">
        <v>28</v>
      </c>
      <c r="K68" s="34">
        <v>31</v>
      </c>
      <c r="L68" s="34">
        <v>21</v>
      </c>
      <c r="Q68" s="35">
        <f t="shared" si="2"/>
        <v>152</v>
      </c>
      <c r="R68" s="4" t="s">
        <v>22</v>
      </c>
    </row>
    <row r="69" spans="1:18" x14ac:dyDescent="0.25">
      <c r="A69" s="40">
        <v>46109</v>
      </c>
      <c r="B69" s="28">
        <v>1</v>
      </c>
      <c r="C69" s="34" t="s">
        <v>111</v>
      </c>
      <c r="D69" s="34" t="s">
        <v>124</v>
      </c>
      <c r="E69" s="34">
        <v>9</v>
      </c>
      <c r="F69" s="34">
        <v>12</v>
      </c>
      <c r="G69" s="34">
        <v>10</v>
      </c>
      <c r="H69" s="34">
        <v>11</v>
      </c>
      <c r="I69" s="34">
        <v>21</v>
      </c>
      <c r="J69" s="34">
        <v>21</v>
      </c>
      <c r="K69" s="34">
        <v>23</v>
      </c>
      <c r="L69" s="34">
        <v>15</v>
      </c>
      <c r="Q69" s="35">
        <f t="shared" si="2"/>
        <v>122</v>
      </c>
      <c r="R69" s="4" t="s">
        <v>22</v>
      </c>
    </row>
    <row r="70" spans="1:18" x14ac:dyDescent="0.25">
      <c r="A70" s="40">
        <v>46109</v>
      </c>
      <c r="B70" s="28">
        <v>1</v>
      </c>
      <c r="C70" s="34" t="s">
        <v>103</v>
      </c>
      <c r="D70" s="34" t="s">
        <v>115</v>
      </c>
      <c r="E70" s="34">
        <v>12</v>
      </c>
      <c r="F70" s="34">
        <v>19</v>
      </c>
      <c r="G70" s="34">
        <v>19</v>
      </c>
      <c r="H70" s="34">
        <v>12</v>
      </c>
      <c r="I70" s="34">
        <v>20</v>
      </c>
      <c r="J70" s="34">
        <v>24</v>
      </c>
      <c r="K70" s="34">
        <v>21</v>
      </c>
      <c r="L70" s="34">
        <v>24</v>
      </c>
      <c r="Q70" s="35">
        <f t="shared" si="2"/>
        <v>151</v>
      </c>
      <c r="R70" s="4" t="s">
        <v>22</v>
      </c>
    </row>
    <row r="71" spans="1:18" x14ac:dyDescent="0.25">
      <c r="A71" s="40">
        <v>46109</v>
      </c>
      <c r="B71" s="28">
        <v>1</v>
      </c>
      <c r="C71" s="34" t="s">
        <v>104</v>
      </c>
      <c r="D71" s="34" t="s">
        <v>117</v>
      </c>
      <c r="E71" s="34">
        <v>12</v>
      </c>
      <c r="F71" s="34">
        <v>20</v>
      </c>
      <c r="G71" s="34">
        <v>18</v>
      </c>
      <c r="H71" s="34">
        <v>10</v>
      </c>
      <c r="I71" s="34">
        <v>19</v>
      </c>
      <c r="J71" s="34">
        <v>21</v>
      </c>
      <c r="K71" s="34">
        <v>16</v>
      </c>
      <c r="L71" s="34">
        <v>17</v>
      </c>
      <c r="Q71" s="35">
        <f t="shared" si="2"/>
        <v>133</v>
      </c>
      <c r="R71" s="4" t="s">
        <v>22</v>
      </c>
    </row>
    <row r="72" spans="1:18" x14ac:dyDescent="0.25">
      <c r="A72" s="40">
        <v>46109</v>
      </c>
      <c r="B72" s="28">
        <v>1</v>
      </c>
      <c r="C72" s="34" t="s">
        <v>105</v>
      </c>
      <c r="D72" s="34" t="s">
        <v>118</v>
      </c>
      <c r="E72" s="34">
        <v>16</v>
      </c>
      <c r="F72" s="34">
        <v>15</v>
      </c>
      <c r="G72" s="34">
        <v>10</v>
      </c>
      <c r="H72" s="34">
        <v>16</v>
      </c>
      <c r="I72" s="34">
        <v>27</v>
      </c>
      <c r="J72" s="34">
        <v>30</v>
      </c>
      <c r="K72" s="34">
        <v>28</v>
      </c>
      <c r="L72" s="34">
        <v>22</v>
      </c>
      <c r="Q72" s="35">
        <f t="shared" si="2"/>
        <v>164</v>
      </c>
      <c r="R72" s="4" t="s">
        <v>22</v>
      </c>
    </row>
    <row r="73" spans="1:18" x14ac:dyDescent="0.25">
      <c r="A73" s="40">
        <v>46109</v>
      </c>
      <c r="B73" s="28">
        <v>1</v>
      </c>
      <c r="C73" s="34" t="s">
        <v>112</v>
      </c>
      <c r="D73" s="34" t="s">
        <v>119</v>
      </c>
      <c r="E73" s="34">
        <v>10</v>
      </c>
      <c r="F73" s="34">
        <v>13</v>
      </c>
      <c r="G73" s="34">
        <v>12</v>
      </c>
      <c r="H73" s="34">
        <v>5</v>
      </c>
      <c r="I73" s="34">
        <v>12</v>
      </c>
      <c r="J73" s="34">
        <v>15</v>
      </c>
      <c r="K73" s="34">
        <v>19</v>
      </c>
      <c r="L73" s="34">
        <v>11</v>
      </c>
      <c r="Q73" s="35">
        <f t="shared" si="2"/>
        <v>97</v>
      </c>
      <c r="R73" s="4" t="s">
        <v>22</v>
      </c>
    </row>
    <row r="74" spans="1:18" x14ac:dyDescent="0.25">
      <c r="A74" s="40">
        <v>46109</v>
      </c>
      <c r="B74" s="28">
        <v>1</v>
      </c>
      <c r="C74" s="34" t="s">
        <v>106</v>
      </c>
      <c r="D74" s="34" t="s">
        <v>119</v>
      </c>
      <c r="E74" s="34">
        <v>13</v>
      </c>
      <c r="F74" s="34">
        <v>12</v>
      </c>
      <c r="G74" s="34">
        <v>9</v>
      </c>
      <c r="H74" s="34">
        <v>6</v>
      </c>
      <c r="I74" s="34">
        <v>14</v>
      </c>
      <c r="J74" s="34">
        <v>20</v>
      </c>
      <c r="K74" s="34">
        <v>25</v>
      </c>
      <c r="L74" s="34">
        <v>15</v>
      </c>
      <c r="Q74" s="35">
        <f t="shared" si="2"/>
        <v>114</v>
      </c>
      <c r="R74" s="4" t="s">
        <v>22</v>
      </c>
    </row>
    <row r="75" spans="1:18" x14ac:dyDescent="0.25">
      <c r="A75" s="40">
        <v>46109</v>
      </c>
      <c r="B75" s="28">
        <v>1</v>
      </c>
      <c r="C75" s="34" t="s">
        <v>107</v>
      </c>
      <c r="D75" s="34" t="s">
        <v>120</v>
      </c>
      <c r="E75" s="34">
        <v>17</v>
      </c>
      <c r="F75" s="34">
        <v>17</v>
      </c>
      <c r="G75" s="34">
        <v>15</v>
      </c>
      <c r="H75" s="34">
        <v>9</v>
      </c>
      <c r="I75" s="34">
        <v>12</v>
      </c>
      <c r="J75" s="34">
        <v>24</v>
      </c>
      <c r="K75" s="34">
        <v>22</v>
      </c>
      <c r="L75" s="34">
        <v>21</v>
      </c>
      <c r="Q75" s="35">
        <f t="shared" si="2"/>
        <v>137</v>
      </c>
      <c r="R75" s="4" t="s">
        <v>22</v>
      </c>
    </row>
    <row r="76" spans="1:18" x14ac:dyDescent="0.25">
      <c r="A76" s="40">
        <v>46109</v>
      </c>
      <c r="B76" s="28">
        <v>1</v>
      </c>
      <c r="C76" s="34" t="s">
        <v>101</v>
      </c>
      <c r="D76" s="34" t="s">
        <v>113</v>
      </c>
      <c r="E76" s="34">
        <v>13</v>
      </c>
      <c r="F76" s="34">
        <v>23</v>
      </c>
      <c r="G76" s="34">
        <v>21</v>
      </c>
      <c r="H76" s="34">
        <v>7</v>
      </c>
      <c r="I76" s="34">
        <v>17</v>
      </c>
      <c r="J76" s="34">
        <v>19</v>
      </c>
      <c r="K76" s="34">
        <v>26</v>
      </c>
      <c r="L76" s="34">
        <v>19</v>
      </c>
      <c r="Q76" s="35">
        <f t="shared" si="2"/>
        <v>145</v>
      </c>
      <c r="R76" s="4" t="s">
        <v>22</v>
      </c>
    </row>
    <row r="77" spans="1:18" x14ac:dyDescent="0.25">
      <c r="A77" s="40">
        <v>46109</v>
      </c>
      <c r="B77" s="28">
        <v>1</v>
      </c>
      <c r="C77" s="34" t="s">
        <v>108</v>
      </c>
      <c r="D77" s="34" t="s">
        <v>121</v>
      </c>
      <c r="E77" s="34">
        <v>11</v>
      </c>
      <c r="F77" s="34">
        <v>13</v>
      </c>
      <c r="G77" s="34">
        <v>14</v>
      </c>
      <c r="H77" s="34">
        <v>10</v>
      </c>
      <c r="I77" s="34">
        <v>18</v>
      </c>
      <c r="J77" s="34">
        <v>16</v>
      </c>
      <c r="K77" s="34">
        <v>23</v>
      </c>
      <c r="L77" s="34">
        <v>13</v>
      </c>
      <c r="Q77" s="35">
        <f t="shared" si="2"/>
        <v>118</v>
      </c>
      <c r="R77" s="4" t="s">
        <v>22</v>
      </c>
    </row>
    <row r="78" spans="1:18" x14ac:dyDescent="0.25">
      <c r="A78" s="40">
        <v>46109</v>
      </c>
      <c r="B78" s="28">
        <v>1</v>
      </c>
      <c r="C78" s="34" t="s">
        <v>110</v>
      </c>
      <c r="D78" s="34" t="s">
        <v>123</v>
      </c>
      <c r="E78" s="34">
        <v>11</v>
      </c>
      <c r="F78" s="34">
        <v>21</v>
      </c>
      <c r="G78" s="34">
        <v>24</v>
      </c>
      <c r="H78" s="34">
        <v>6</v>
      </c>
      <c r="I78" s="34">
        <v>13</v>
      </c>
      <c r="J78" s="34">
        <v>25</v>
      </c>
      <c r="K78" s="34">
        <v>33</v>
      </c>
      <c r="L78" s="34">
        <v>17</v>
      </c>
      <c r="Q78" s="35">
        <f t="shared" si="2"/>
        <v>150</v>
      </c>
      <c r="R78" s="4" t="s">
        <v>22</v>
      </c>
    </row>
    <row r="79" spans="1:18" x14ac:dyDescent="0.25">
      <c r="A79" s="40">
        <v>46109</v>
      </c>
      <c r="B79" s="28">
        <v>1</v>
      </c>
      <c r="C79" s="34" t="s">
        <v>109</v>
      </c>
      <c r="D79" s="34" t="s">
        <v>122</v>
      </c>
      <c r="E79" s="34">
        <v>9</v>
      </c>
      <c r="F79" s="34">
        <v>16</v>
      </c>
      <c r="G79" s="34">
        <v>14</v>
      </c>
      <c r="H79" s="34">
        <v>8</v>
      </c>
      <c r="I79" s="34">
        <v>17</v>
      </c>
      <c r="J79" s="34">
        <v>25</v>
      </c>
      <c r="K79" s="34">
        <v>28</v>
      </c>
      <c r="L79" s="34">
        <v>17</v>
      </c>
      <c r="Q79" s="35">
        <f t="shared" si="2"/>
        <v>134</v>
      </c>
      <c r="R79" s="4" t="s">
        <v>22</v>
      </c>
    </row>
    <row r="80" spans="1:18" x14ac:dyDescent="0.25">
      <c r="A80" s="40">
        <v>46109</v>
      </c>
      <c r="B80" s="28">
        <v>1</v>
      </c>
      <c r="C80" s="34" t="s">
        <v>136</v>
      </c>
      <c r="D80" s="34" t="s">
        <v>129</v>
      </c>
      <c r="E80" s="34">
        <v>10</v>
      </c>
      <c r="F80" s="34">
        <v>20</v>
      </c>
      <c r="G80" s="34">
        <v>18</v>
      </c>
      <c r="H80" s="34">
        <v>7</v>
      </c>
      <c r="I80" s="34">
        <v>21</v>
      </c>
      <c r="J80" s="34">
        <v>20</v>
      </c>
      <c r="K80" s="34">
        <v>18</v>
      </c>
      <c r="L80" s="34">
        <v>13</v>
      </c>
      <c r="Q80" s="35">
        <f t="shared" si="2"/>
        <v>127</v>
      </c>
      <c r="R80" s="4" t="s">
        <v>140</v>
      </c>
    </row>
    <row r="81" spans="1:18" x14ac:dyDescent="0.25">
      <c r="A81" s="40">
        <v>46109</v>
      </c>
      <c r="B81" s="28">
        <v>1</v>
      </c>
      <c r="C81" s="34" t="s">
        <v>133</v>
      </c>
      <c r="D81" s="34" t="s">
        <v>126</v>
      </c>
      <c r="E81" s="34">
        <v>11</v>
      </c>
      <c r="F81" s="34">
        <v>17</v>
      </c>
      <c r="G81" s="34">
        <v>16</v>
      </c>
      <c r="H81" s="34">
        <v>9</v>
      </c>
      <c r="I81" s="34">
        <v>20</v>
      </c>
      <c r="J81" s="34">
        <v>21</v>
      </c>
      <c r="K81" s="34">
        <v>20</v>
      </c>
      <c r="L81" s="34">
        <v>18</v>
      </c>
      <c r="Q81" s="35">
        <f t="shared" si="2"/>
        <v>132</v>
      </c>
      <c r="R81" s="4" t="s">
        <v>140</v>
      </c>
    </row>
    <row r="82" spans="1:18" x14ac:dyDescent="0.25">
      <c r="A82" s="40">
        <v>46109</v>
      </c>
      <c r="B82" s="28">
        <v>1</v>
      </c>
      <c r="C82" s="34" t="s">
        <v>138</v>
      </c>
      <c r="D82" s="34" t="s">
        <v>184</v>
      </c>
      <c r="E82" s="34">
        <v>10</v>
      </c>
      <c r="F82" s="34">
        <v>18</v>
      </c>
      <c r="G82" s="34">
        <v>15</v>
      </c>
      <c r="H82" s="34">
        <v>6</v>
      </c>
      <c r="I82" s="34">
        <v>16</v>
      </c>
      <c r="J82" s="34">
        <v>21</v>
      </c>
      <c r="K82" s="34">
        <v>22</v>
      </c>
      <c r="L82" s="34">
        <v>16</v>
      </c>
      <c r="Q82" s="35">
        <f t="shared" si="2"/>
        <v>124</v>
      </c>
      <c r="R82" s="4" t="s">
        <v>140</v>
      </c>
    </row>
    <row r="83" spans="1:18" x14ac:dyDescent="0.25">
      <c r="A83" s="40">
        <v>46109</v>
      </c>
      <c r="B83" s="28">
        <v>1</v>
      </c>
      <c r="C83" s="34" t="s">
        <v>137</v>
      </c>
      <c r="D83" s="34" t="s">
        <v>130</v>
      </c>
      <c r="E83" s="34">
        <v>12</v>
      </c>
      <c r="F83" s="34">
        <v>19</v>
      </c>
      <c r="G83" s="34">
        <v>18</v>
      </c>
      <c r="H83" s="34">
        <v>7</v>
      </c>
      <c r="I83" s="34">
        <v>18</v>
      </c>
      <c r="J83" s="34">
        <v>26</v>
      </c>
      <c r="K83" s="34">
        <v>18</v>
      </c>
      <c r="L83" s="34">
        <v>19</v>
      </c>
      <c r="Q83" s="35">
        <f t="shared" si="2"/>
        <v>137</v>
      </c>
      <c r="R83" s="4" t="s">
        <v>140</v>
      </c>
    </row>
    <row r="84" spans="1:18" x14ac:dyDescent="0.25">
      <c r="A84" s="40">
        <v>46109</v>
      </c>
      <c r="B84" s="28">
        <v>1</v>
      </c>
      <c r="C84" s="34" t="s">
        <v>135</v>
      </c>
      <c r="D84" s="34" t="s">
        <v>128</v>
      </c>
      <c r="E84" s="34">
        <v>12</v>
      </c>
      <c r="F84" s="34">
        <v>14</v>
      </c>
      <c r="G84" s="34">
        <v>9</v>
      </c>
      <c r="H84" s="34">
        <v>5</v>
      </c>
      <c r="I84" s="34">
        <v>14</v>
      </c>
      <c r="J84" s="34">
        <v>22</v>
      </c>
      <c r="K84" s="34">
        <v>25</v>
      </c>
      <c r="L84" s="34">
        <v>16</v>
      </c>
      <c r="Q84" s="35">
        <f t="shared" si="2"/>
        <v>117</v>
      </c>
      <c r="R84" s="4" t="s">
        <v>140</v>
      </c>
    </row>
    <row r="85" spans="1:18" x14ac:dyDescent="0.25">
      <c r="A85" s="40">
        <v>46109</v>
      </c>
      <c r="B85" s="28">
        <v>1</v>
      </c>
      <c r="C85" s="34" t="s">
        <v>134</v>
      </c>
      <c r="D85" s="34" t="s">
        <v>127</v>
      </c>
      <c r="E85" s="34">
        <v>9</v>
      </c>
      <c r="F85" s="34">
        <v>10</v>
      </c>
      <c r="G85" s="34">
        <v>10</v>
      </c>
      <c r="H85" s="34">
        <v>12</v>
      </c>
      <c r="I85" s="34">
        <v>23</v>
      </c>
      <c r="J85" s="34">
        <v>24</v>
      </c>
      <c r="K85" s="34">
        <v>22</v>
      </c>
      <c r="L85" s="34">
        <v>18</v>
      </c>
      <c r="Q85" s="35">
        <f t="shared" si="2"/>
        <v>128</v>
      </c>
      <c r="R85" s="4" t="s">
        <v>140</v>
      </c>
    </row>
    <row r="86" spans="1:18" x14ac:dyDescent="0.25">
      <c r="A86" s="40">
        <v>46109</v>
      </c>
      <c r="B86" s="28">
        <v>1</v>
      </c>
      <c r="C86" s="34" t="s">
        <v>73</v>
      </c>
      <c r="D86" s="34" t="s">
        <v>131</v>
      </c>
      <c r="E86" s="34">
        <v>11</v>
      </c>
      <c r="F86" s="34">
        <v>18</v>
      </c>
      <c r="G86" s="34">
        <v>18</v>
      </c>
      <c r="H86" s="34">
        <v>11</v>
      </c>
      <c r="I86" s="34">
        <v>25</v>
      </c>
      <c r="J86" s="34">
        <v>23</v>
      </c>
      <c r="K86" s="34">
        <v>23</v>
      </c>
      <c r="L86" s="34">
        <v>19</v>
      </c>
      <c r="Q86" s="35">
        <f t="shared" si="2"/>
        <v>148</v>
      </c>
      <c r="R86" s="4" t="s">
        <v>140</v>
      </c>
    </row>
    <row r="87" spans="1:18" x14ac:dyDescent="0.25">
      <c r="A87" s="40">
        <v>46111</v>
      </c>
      <c r="B87" s="28">
        <v>1</v>
      </c>
      <c r="C87" s="34" t="s">
        <v>100</v>
      </c>
      <c r="D87" s="34" t="s">
        <v>114</v>
      </c>
      <c r="E87" s="34">
        <v>13</v>
      </c>
      <c r="F87" s="34">
        <v>21</v>
      </c>
      <c r="G87" s="34">
        <v>30</v>
      </c>
      <c r="H87" s="34">
        <v>22</v>
      </c>
      <c r="I87" s="34">
        <v>28</v>
      </c>
      <c r="J87" s="34">
        <v>33</v>
      </c>
      <c r="K87" s="34">
        <v>24</v>
      </c>
      <c r="L87" s="34">
        <v>5</v>
      </c>
      <c r="M87" s="34">
        <v>25</v>
      </c>
      <c r="N87" s="34">
        <v>23</v>
      </c>
      <c r="O87" s="34">
        <v>26</v>
      </c>
      <c r="Q87" s="35">
        <f t="shared" si="2"/>
        <v>250</v>
      </c>
      <c r="R87" s="4" t="s">
        <v>22</v>
      </c>
    </row>
    <row r="88" spans="1:18" x14ac:dyDescent="0.25">
      <c r="A88" s="40">
        <v>46111</v>
      </c>
      <c r="B88" s="28">
        <v>1</v>
      </c>
      <c r="C88" s="34" t="s">
        <v>197</v>
      </c>
      <c r="D88" s="34" t="s">
        <v>114</v>
      </c>
      <c r="E88" s="34">
        <v>10</v>
      </c>
      <c r="F88" s="34">
        <v>17</v>
      </c>
      <c r="G88" s="34">
        <v>23</v>
      </c>
      <c r="H88" s="34">
        <v>18</v>
      </c>
      <c r="I88" s="34">
        <v>27</v>
      </c>
      <c r="J88" s="34">
        <v>28</v>
      </c>
      <c r="K88" s="34">
        <v>27</v>
      </c>
      <c r="L88" s="34">
        <v>5</v>
      </c>
      <c r="M88" s="34">
        <v>25</v>
      </c>
      <c r="N88" s="34">
        <v>17</v>
      </c>
      <c r="O88" s="34">
        <v>21</v>
      </c>
      <c r="Q88" s="35">
        <f t="shared" si="2"/>
        <v>218</v>
      </c>
      <c r="R88" s="4" t="s">
        <v>22</v>
      </c>
    </row>
    <row r="89" spans="1:18" x14ac:dyDescent="0.25">
      <c r="A89" s="40">
        <v>46111</v>
      </c>
      <c r="B89" s="28">
        <v>1</v>
      </c>
      <c r="C89" s="34" t="s">
        <v>111</v>
      </c>
      <c r="D89" s="34" t="s">
        <v>124</v>
      </c>
      <c r="E89" s="34">
        <v>9</v>
      </c>
      <c r="F89" s="34">
        <v>13</v>
      </c>
      <c r="G89" s="34">
        <v>22</v>
      </c>
      <c r="H89" s="34">
        <v>14</v>
      </c>
      <c r="I89" s="34">
        <v>12</v>
      </c>
      <c r="Q89" s="35">
        <f t="shared" si="2"/>
        <v>70</v>
      </c>
      <c r="R89" s="4" t="s">
        <v>22</v>
      </c>
    </row>
    <row r="90" spans="1:18" x14ac:dyDescent="0.25">
      <c r="A90" s="40">
        <v>46111</v>
      </c>
      <c r="B90" s="28">
        <v>1</v>
      </c>
      <c r="C90" s="34" t="s">
        <v>103</v>
      </c>
      <c r="D90" s="34" t="s">
        <v>115</v>
      </c>
      <c r="E90" s="34">
        <v>17</v>
      </c>
      <c r="F90" s="34">
        <v>21</v>
      </c>
      <c r="G90" s="34">
        <v>26</v>
      </c>
      <c r="H90" s="34">
        <v>15</v>
      </c>
      <c r="I90" s="34">
        <v>20</v>
      </c>
      <c r="J90" s="34">
        <v>24</v>
      </c>
      <c r="K90" s="34">
        <v>23</v>
      </c>
      <c r="L90" s="34">
        <v>9</v>
      </c>
      <c r="M90" s="34">
        <v>15</v>
      </c>
      <c r="N90" s="34">
        <v>17</v>
      </c>
      <c r="O90" s="34">
        <v>22</v>
      </c>
      <c r="Q90" s="35">
        <f t="shared" si="2"/>
        <v>209</v>
      </c>
      <c r="R90" s="4" t="s">
        <v>22</v>
      </c>
    </row>
    <row r="91" spans="1:18" x14ac:dyDescent="0.25">
      <c r="A91" s="40">
        <v>46111</v>
      </c>
      <c r="B91" s="28">
        <v>1</v>
      </c>
      <c r="C91" s="34" t="s">
        <v>102</v>
      </c>
      <c r="D91" s="34" t="s">
        <v>116</v>
      </c>
      <c r="E91" s="34">
        <v>15</v>
      </c>
      <c r="F91" s="34">
        <v>20</v>
      </c>
      <c r="G91" s="34">
        <v>23</v>
      </c>
      <c r="H91" s="34">
        <v>16</v>
      </c>
      <c r="I91" s="34">
        <v>17</v>
      </c>
      <c r="J91" s="34">
        <v>20</v>
      </c>
      <c r="K91" s="34">
        <v>11</v>
      </c>
      <c r="L91" s="34">
        <v>4</v>
      </c>
      <c r="M91" s="34">
        <v>12</v>
      </c>
      <c r="N91" s="34">
        <v>17</v>
      </c>
      <c r="O91" s="34">
        <v>17</v>
      </c>
      <c r="Q91" s="35">
        <f t="shared" si="2"/>
        <v>172</v>
      </c>
      <c r="R91" s="4" t="s">
        <v>22</v>
      </c>
    </row>
    <row r="92" spans="1:18" x14ac:dyDescent="0.25">
      <c r="A92" s="40">
        <v>46111</v>
      </c>
      <c r="B92" s="28">
        <v>1</v>
      </c>
      <c r="C92" s="34" t="s">
        <v>104</v>
      </c>
      <c r="D92" s="34" t="s">
        <v>117</v>
      </c>
      <c r="E92" s="34">
        <v>13</v>
      </c>
      <c r="F92" s="34">
        <v>19</v>
      </c>
      <c r="G92" s="34">
        <v>23</v>
      </c>
      <c r="H92" s="34">
        <v>13</v>
      </c>
      <c r="I92" s="34">
        <v>18</v>
      </c>
      <c r="J92" s="34">
        <v>22</v>
      </c>
      <c r="K92" s="34">
        <v>17</v>
      </c>
      <c r="L92" s="34">
        <v>4</v>
      </c>
      <c r="M92" s="34">
        <v>19</v>
      </c>
      <c r="N92" s="34">
        <v>12</v>
      </c>
      <c r="O92" s="34">
        <v>20</v>
      </c>
      <c r="Q92" s="35">
        <f t="shared" si="2"/>
        <v>180</v>
      </c>
      <c r="R92" s="4" t="s">
        <v>22</v>
      </c>
    </row>
    <row r="93" spans="1:18" x14ac:dyDescent="0.25">
      <c r="A93" s="40">
        <v>46111</v>
      </c>
      <c r="B93" s="28">
        <v>1</v>
      </c>
      <c r="C93" s="34" t="s">
        <v>105</v>
      </c>
      <c r="D93" s="34" t="s">
        <v>118</v>
      </c>
      <c r="E93" s="34">
        <v>11</v>
      </c>
      <c r="F93" s="34">
        <v>19</v>
      </c>
      <c r="G93" s="34">
        <v>25</v>
      </c>
      <c r="H93" s="34">
        <v>21</v>
      </c>
      <c r="I93" s="34">
        <v>24</v>
      </c>
      <c r="J93" s="34">
        <v>27</v>
      </c>
      <c r="K93" s="34">
        <v>24</v>
      </c>
      <c r="L93" s="34">
        <v>8</v>
      </c>
      <c r="M93" s="34">
        <v>26</v>
      </c>
      <c r="N93" s="34">
        <v>21</v>
      </c>
      <c r="O93" s="34">
        <v>28</v>
      </c>
      <c r="Q93" s="35">
        <f t="shared" si="2"/>
        <v>234</v>
      </c>
      <c r="R93" s="4" t="s">
        <v>22</v>
      </c>
    </row>
    <row r="94" spans="1:18" x14ac:dyDescent="0.25">
      <c r="A94" s="40">
        <v>46111</v>
      </c>
      <c r="B94" s="28">
        <v>1</v>
      </c>
      <c r="C94" s="34" t="s">
        <v>112</v>
      </c>
      <c r="D94" s="34" t="s">
        <v>119</v>
      </c>
      <c r="E94" s="34">
        <v>8</v>
      </c>
      <c r="F94" s="34">
        <v>10</v>
      </c>
      <c r="G94" s="34">
        <v>13</v>
      </c>
      <c r="H94" s="34">
        <v>9</v>
      </c>
      <c r="I94" s="34">
        <v>12</v>
      </c>
      <c r="J94" s="34">
        <v>12</v>
      </c>
      <c r="K94" s="34">
        <v>14</v>
      </c>
      <c r="L94" s="34">
        <v>5</v>
      </c>
      <c r="M94" s="34">
        <v>14</v>
      </c>
      <c r="N94" s="34">
        <v>9</v>
      </c>
      <c r="O94" s="34">
        <v>15</v>
      </c>
      <c r="Q94" s="35">
        <f t="shared" si="2"/>
        <v>121</v>
      </c>
      <c r="R94" s="4" t="s">
        <v>22</v>
      </c>
    </row>
    <row r="95" spans="1:18" x14ac:dyDescent="0.25">
      <c r="A95" s="40">
        <v>46111</v>
      </c>
      <c r="B95" s="28">
        <v>1</v>
      </c>
      <c r="C95" s="34" t="s">
        <v>106</v>
      </c>
      <c r="D95" s="34" t="s">
        <v>119</v>
      </c>
      <c r="E95" s="34">
        <v>6</v>
      </c>
      <c r="F95" s="34">
        <v>18</v>
      </c>
      <c r="G95" s="34">
        <v>16</v>
      </c>
      <c r="H95" s="34">
        <v>15</v>
      </c>
      <c r="I95" s="34">
        <v>20</v>
      </c>
      <c r="J95" s="34">
        <v>23</v>
      </c>
      <c r="K95" s="34">
        <v>18</v>
      </c>
      <c r="L95" s="34">
        <v>6</v>
      </c>
      <c r="M95" s="34">
        <v>25</v>
      </c>
      <c r="N95" s="34">
        <v>15</v>
      </c>
      <c r="O95" s="34">
        <v>16</v>
      </c>
      <c r="Q95" s="35">
        <f t="shared" si="2"/>
        <v>178</v>
      </c>
      <c r="R95" s="4" t="s">
        <v>22</v>
      </c>
    </row>
    <row r="96" spans="1:18" x14ac:dyDescent="0.25">
      <c r="A96" s="40">
        <v>46111</v>
      </c>
      <c r="B96" s="28">
        <v>1</v>
      </c>
      <c r="C96" s="34" t="s">
        <v>107</v>
      </c>
      <c r="D96" s="34" t="s">
        <v>120</v>
      </c>
      <c r="E96" s="34">
        <v>17</v>
      </c>
      <c r="F96" s="34">
        <v>22</v>
      </c>
      <c r="G96" s="34">
        <v>25</v>
      </c>
      <c r="H96" s="34">
        <v>21</v>
      </c>
      <c r="I96" s="34">
        <v>26</v>
      </c>
      <c r="J96" s="34">
        <v>26</v>
      </c>
      <c r="K96" s="34">
        <v>25</v>
      </c>
      <c r="L96" s="34">
        <v>5</v>
      </c>
      <c r="M96" s="34">
        <v>26</v>
      </c>
      <c r="N96" s="34">
        <v>21</v>
      </c>
      <c r="O96" s="34">
        <v>22</v>
      </c>
      <c r="Q96" s="35">
        <f t="shared" si="2"/>
        <v>236</v>
      </c>
      <c r="R96" s="4" t="s">
        <v>22</v>
      </c>
    </row>
    <row r="97" spans="1:18" x14ac:dyDescent="0.25">
      <c r="A97" s="40">
        <v>46111</v>
      </c>
      <c r="B97" s="28">
        <v>1</v>
      </c>
      <c r="C97" s="34" t="s">
        <v>101</v>
      </c>
      <c r="D97" s="34" t="s">
        <v>113</v>
      </c>
      <c r="E97" s="34">
        <v>15</v>
      </c>
      <c r="F97" s="34">
        <v>22</v>
      </c>
      <c r="G97" s="34">
        <v>25</v>
      </c>
      <c r="H97" s="34">
        <v>14</v>
      </c>
      <c r="I97" s="34">
        <v>24</v>
      </c>
      <c r="J97" s="34">
        <v>16</v>
      </c>
      <c r="K97" s="34">
        <v>27</v>
      </c>
      <c r="L97" s="34">
        <v>6</v>
      </c>
      <c r="M97" s="34">
        <v>18</v>
      </c>
      <c r="N97" s="34">
        <v>16</v>
      </c>
      <c r="O97" s="34">
        <v>21</v>
      </c>
      <c r="Q97" s="35">
        <f t="shared" si="2"/>
        <v>204</v>
      </c>
      <c r="R97" s="4" t="s">
        <v>22</v>
      </c>
    </row>
    <row r="98" spans="1:18" x14ac:dyDescent="0.25">
      <c r="A98" s="40">
        <v>46111</v>
      </c>
      <c r="B98" s="28">
        <v>1</v>
      </c>
      <c r="C98" s="34" t="s">
        <v>108</v>
      </c>
      <c r="D98" s="34" t="s">
        <v>121</v>
      </c>
      <c r="E98" s="34">
        <v>10</v>
      </c>
      <c r="F98" s="34">
        <v>15</v>
      </c>
      <c r="G98" s="34">
        <v>16</v>
      </c>
      <c r="H98" s="34">
        <v>12</v>
      </c>
      <c r="I98" s="34">
        <v>15</v>
      </c>
      <c r="J98" s="34">
        <v>23</v>
      </c>
      <c r="K98" s="34">
        <v>20</v>
      </c>
      <c r="L98" s="34">
        <v>4</v>
      </c>
      <c r="M98" s="34">
        <v>16</v>
      </c>
      <c r="N98" s="34">
        <v>17</v>
      </c>
      <c r="O98" s="34">
        <v>16</v>
      </c>
      <c r="Q98" s="35">
        <f t="shared" si="2"/>
        <v>164</v>
      </c>
      <c r="R98" s="4" t="s">
        <v>22</v>
      </c>
    </row>
    <row r="99" spans="1:18" x14ac:dyDescent="0.25">
      <c r="A99" s="40">
        <v>46111</v>
      </c>
      <c r="B99" s="28">
        <v>1</v>
      </c>
      <c r="C99" s="34" t="s">
        <v>110</v>
      </c>
      <c r="D99" s="34" t="s">
        <v>123</v>
      </c>
      <c r="E99" s="34">
        <v>18</v>
      </c>
      <c r="F99" s="34">
        <v>25</v>
      </c>
      <c r="G99" s="34">
        <v>31</v>
      </c>
      <c r="H99" s="34">
        <v>14</v>
      </c>
      <c r="I99" s="34">
        <v>24</v>
      </c>
      <c r="J99" s="34">
        <v>28</v>
      </c>
      <c r="K99" s="34">
        <v>20</v>
      </c>
      <c r="L99" s="34">
        <v>3</v>
      </c>
      <c r="M99" s="34">
        <v>18</v>
      </c>
      <c r="N99" s="34">
        <v>18</v>
      </c>
      <c r="O99" s="34">
        <v>24</v>
      </c>
      <c r="Q99" s="35">
        <f t="shared" si="2"/>
        <v>223</v>
      </c>
      <c r="R99" s="4" t="s">
        <v>22</v>
      </c>
    </row>
    <row r="100" spans="1:18" x14ac:dyDescent="0.25">
      <c r="A100" s="40">
        <v>46111</v>
      </c>
      <c r="B100" s="28">
        <v>1</v>
      </c>
      <c r="C100" s="34" t="s">
        <v>109</v>
      </c>
      <c r="D100" s="34" t="s">
        <v>122</v>
      </c>
      <c r="E100" s="34">
        <v>14</v>
      </c>
      <c r="F100" s="34">
        <v>21</v>
      </c>
      <c r="G100" s="34">
        <v>24</v>
      </c>
      <c r="H100" s="34">
        <v>11</v>
      </c>
      <c r="I100" s="34">
        <v>18</v>
      </c>
      <c r="J100" s="34">
        <v>19</v>
      </c>
      <c r="K100" s="34">
        <v>18</v>
      </c>
      <c r="L100" s="34">
        <v>2</v>
      </c>
      <c r="M100" s="34">
        <v>17</v>
      </c>
      <c r="N100" s="34">
        <v>25</v>
      </c>
      <c r="O100" s="34">
        <v>31</v>
      </c>
      <c r="Q100" s="35">
        <f t="shared" si="2"/>
        <v>200</v>
      </c>
      <c r="R100" s="4" t="s">
        <v>22</v>
      </c>
    </row>
    <row r="101" spans="1:18" x14ac:dyDescent="0.25">
      <c r="A101" s="40">
        <v>46111</v>
      </c>
      <c r="B101" s="28">
        <v>1</v>
      </c>
      <c r="C101" s="34" t="s">
        <v>141</v>
      </c>
      <c r="D101" s="34" t="s">
        <v>142</v>
      </c>
      <c r="Q101" s="35">
        <f t="shared" si="2"/>
        <v>0</v>
      </c>
      <c r="R101" s="4" t="s">
        <v>140</v>
      </c>
    </row>
    <row r="102" spans="1:18" x14ac:dyDescent="0.25">
      <c r="A102" s="40">
        <v>46111</v>
      </c>
      <c r="B102" s="28">
        <v>1</v>
      </c>
      <c r="C102" s="34" t="s">
        <v>136</v>
      </c>
      <c r="D102" s="34" t="s">
        <v>129</v>
      </c>
      <c r="E102" s="34">
        <v>17</v>
      </c>
      <c r="F102" s="34">
        <v>20</v>
      </c>
      <c r="G102" s="34">
        <v>24</v>
      </c>
      <c r="H102" s="34">
        <v>15</v>
      </c>
      <c r="I102" s="34">
        <v>22</v>
      </c>
      <c r="J102" s="34">
        <v>24</v>
      </c>
      <c r="K102" s="34">
        <v>15</v>
      </c>
      <c r="L102" s="34">
        <v>4</v>
      </c>
      <c r="M102" s="34">
        <v>16</v>
      </c>
      <c r="N102" s="34">
        <v>13</v>
      </c>
      <c r="O102" s="34">
        <v>19</v>
      </c>
      <c r="Q102" s="35">
        <f t="shared" si="2"/>
        <v>189</v>
      </c>
      <c r="R102" s="4" t="s">
        <v>140</v>
      </c>
    </row>
    <row r="103" spans="1:18" x14ac:dyDescent="0.25">
      <c r="A103" s="40">
        <v>46111</v>
      </c>
      <c r="B103" s="28">
        <v>1</v>
      </c>
      <c r="C103" s="34" t="s">
        <v>133</v>
      </c>
      <c r="D103" s="34" t="s">
        <v>126</v>
      </c>
      <c r="E103" s="34">
        <v>10</v>
      </c>
      <c r="F103" s="34">
        <v>17</v>
      </c>
      <c r="G103" s="34">
        <v>20</v>
      </c>
      <c r="H103" s="34">
        <v>11</v>
      </c>
      <c r="I103" s="34">
        <v>20</v>
      </c>
      <c r="J103" s="34">
        <v>22</v>
      </c>
      <c r="K103" s="34">
        <v>17</v>
      </c>
      <c r="L103" s="34">
        <v>4</v>
      </c>
      <c r="M103" s="34">
        <v>18</v>
      </c>
      <c r="N103" s="34">
        <v>19</v>
      </c>
      <c r="O103" s="34">
        <v>24</v>
      </c>
      <c r="Q103" s="35">
        <f t="shared" si="2"/>
        <v>182</v>
      </c>
      <c r="R103" s="4" t="s">
        <v>140</v>
      </c>
    </row>
    <row r="104" spans="1:18" x14ac:dyDescent="0.25">
      <c r="A104" s="40">
        <v>46111</v>
      </c>
      <c r="B104" s="28">
        <v>1</v>
      </c>
      <c r="C104" s="34" t="s">
        <v>143</v>
      </c>
      <c r="D104" s="34" t="s">
        <v>144</v>
      </c>
      <c r="Q104" s="35">
        <f t="shared" si="2"/>
        <v>0</v>
      </c>
      <c r="R104" s="4" t="s">
        <v>140</v>
      </c>
    </row>
    <row r="105" spans="1:18" x14ac:dyDescent="0.25">
      <c r="A105" s="40">
        <v>46111</v>
      </c>
      <c r="B105" s="28">
        <v>1</v>
      </c>
      <c r="C105" s="34" t="s">
        <v>138</v>
      </c>
      <c r="D105" s="34" t="s">
        <v>212</v>
      </c>
      <c r="E105" s="34">
        <v>13</v>
      </c>
      <c r="F105" s="34">
        <v>18</v>
      </c>
      <c r="G105" s="34">
        <v>23</v>
      </c>
      <c r="H105" s="34">
        <v>12</v>
      </c>
      <c r="I105" s="34">
        <v>15</v>
      </c>
      <c r="J105" s="34">
        <v>18</v>
      </c>
      <c r="K105" s="34">
        <v>17</v>
      </c>
      <c r="L105" s="34">
        <v>3</v>
      </c>
      <c r="M105" s="34">
        <v>15</v>
      </c>
      <c r="N105" s="34">
        <v>22</v>
      </c>
      <c r="O105" s="34">
        <v>22</v>
      </c>
      <c r="Q105" s="35">
        <f t="shared" si="2"/>
        <v>178</v>
      </c>
      <c r="R105" s="4" t="s">
        <v>140</v>
      </c>
    </row>
    <row r="106" spans="1:18" x14ac:dyDescent="0.25">
      <c r="A106" s="40">
        <v>46111</v>
      </c>
      <c r="B106" s="28">
        <v>1</v>
      </c>
      <c r="C106" s="34" t="s">
        <v>132</v>
      </c>
      <c r="D106" s="34" t="s">
        <v>125</v>
      </c>
      <c r="E106" s="34">
        <v>9</v>
      </c>
      <c r="F106" s="34">
        <v>17</v>
      </c>
      <c r="G106" s="34">
        <v>18</v>
      </c>
      <c r="H106" s="34">
        <v>9</v>
      </c>
      <c r="I106" s="34">
        <v>15</v>
      </c>
      <c r="J106" s="34">
        <v>17</v>
      </c>
      <c r="K106" s="34">
        <v>19</v>
      </c>
      <c r="L106" s="34">
        <v>5</v>
      </c>
      <c r="M106" s="34">
        <v>19</v>
      </c>
      <c r="N106" s="34">
        <v>16</v>
      </c>
      <c r="O106" s="34">
        <v>24</v>
      </c>
      <c r="Q106" s="35">
        <f t="shared" si="2"/>
        <v>168</v>
      </c>
      <c r="R106" s="4" t="s">
        <v>140</v>
      </c>
    </row>
    <row r="107" spans="1:18" x14ac:dyDescent="0.25">
      <c r="A107" s="40">
        <v>46111</v>
      </c>
      <c r="B107" s="28">
        <v>1</v>
      </c>
      <c r="C107" s="34" t="s">
        <v>137</v>
      </c>
      <c r="D107" s="34" t="s">
        <v>130</v>
      </c>
      <c r="E107" s="34">
        <v>12</v>
      </c>
      <c r="F107" s="34">
        <v>19</v>
      </c>
      <c r="G107" s="34">
        <v>23</v>
      </c>
      <c r="H107" s="34">
        <v>15</v>
      </c>
      <c r="I107" s="34">
        <v>21</v>
      </c>
      <c r="J107" s="34">
        <v>21</v>
      </c>
      <c r="K107" s="34">
        <v>18</v>
      </c>
      <c r="L107" s="34">
        <v>9</v>
      </c>
      <c r="M107" s="34">
        <v>19</v>
      </c>
      <c r="N107" s="34">
        <v>18</v>
      </c>
      <c r="O107" s="34">
        <v>25</v>
      </c>
      <c r="Q107" s="35">
        <f t="shared" si="2"/>
        <v>200</v>
      </c>
      <c r="R107" s="4" t="s">
        <v>140</v>
      </c>
    </row>
    <row r="108" spans="1:18" x14ac:dyDescent="0.25">
      <c r="A108" s="40">
        <v>46111</v>
      </c>
      <c r="B108" s="28">
        <v>1</v>
      </c>
      <c r="C108" s="34" t="s">
        <v>135</v>
      </c>
      <c r="D108" s="34" t="s">
        <v>128</v>
      </c>
      <c r="E108" s="34">
        <v>5</v>
      </c>
      <c r="F108" s="34">
        <v>17</v>
      </c>
      <c r="G108" s="34">
        <v>11</v>
      </c>
      <c r="H108" s="34">
        <v>15</v>
      </c>
      <c r="I108" s="34">
        <v>13</v>
      </c>
      <c r="J108" s="34">
        <v>23</v>
      </c>
      <c r="K108" s="34">
        <v>18</v>
      </c>
      <c r="L108" s="34">
        <v>4</v>
      </c>
      <c r="M108" s="34">
        <v>18</v>
      </c>
      <c r="N108" s="34">
        <v>13</v>
      </c>
      <c r="O108" s="34">
        <v>17</v>
      </c>
      <c r="Q108" s="35">
        <f t="shared" si="2"/>
        <v>154</v>
      </c>
      <c r="R108" s="4" t="s">
        <v>140</v>
      </c>
    </row>
    <row r="109" spans="1:18" x14ac:dyDescent="0.25">
      <c r="A109" s="40">
        <v>46111</v>
      </c>
      <c r="B109" s="28">
        <v>1</v>
      </c>
      <c r="C109" s="34" t="s">
        <v>134</v>
      </c>
      <c r="D109" s="34" t="s">
        <v>127</v>
      </c>
      <c r="E109" s="34">
        <v>10</v>
      </c>
      <c r="F109" s="34">
        <v>16</v>
      </c>
      <c r="G109" s="34">
        <v>21</v>
      </c>
      <c r="H109" s="34">
        <v>15</v>
      </c>
      <c r="I109" s="34">
        <v>22</v>
      </c>
      <c r="J109" s="34">
        <v>26</v>
      </c>
      <c r="K109" s="34">
        <v>21</v>
      </c>
      <c r="L109" s="34">
        <v>6</v>
      </c>
      <c r="M109" s="34">
        <v>16</v>
      </c>
      <c r="N109" s="34">
        <v>17</v>
      </c>
      <c r="O109" s="34">
        <v>20</v>
      </c>
      <c r="Q109" s="35">
        <f t="shared" si="2"/>
        <v>190</v>
      </c>
      <c r="R109" s="4" t="s">
        <v>140</v>
      </c>
    </row>
    <row r="110" spans="1:18" x14ac:dyDescent="0.25">
      <c r="A110" s="40">
        <v>46111</v>
      </c>
      <c r="B110" s="28">
        <v>1</v>
      </c>
      <c r="C110" s="34" t="s">
        <v>216</v>
      </c>
      <c r="D110" s="34" t="s">
        <v>215</v>
      </c>
      <c r="J110" s="34">
        <v>9</v>
      </c>
      <c r="K110" s="34">
        <v>14</v>
      </c>
      <c r="L110" s="34">
        <v>5</v>
      </c>
      <c r="M110" s="34">
        <v>16</v>
      </c>
      <c r="N110" s="34">
        <v>13</v>
      </c>
      <c r="O110" s="34">
        <v>21</v>
      </c>
      <c r="Q110" s="35">
        <f t="shared" si="2"/>
        <v>78</v>
      </c>
      <c r="R110" s="4" t="s">
        <v>140</v>
      </c>
    </row>
    <row r="111" spans="1:18" x14ac:dyDescent="0.25">
      <c r="A111" s="40">
        <v>46112</v>
      </c>
      <c r="B111" s="28">
        <v>1</v>
      </c>
      <c r="C111" s="34" t="s">
        <v>100</v>
      </c>
      <c r="D111" s="34" t="s">
        <v>114</v>
      </c>
      <c r="E111" s="34">
        <v>7</v>
      </c>
      <c r="F111" s="34">
        <v>19</v>
      </c>
      <c r="G111" s="34">
        <v>16</v>
      </c>
      <c r="H111" s="34">
        <v>21</v>
      </c>
      <c r="J111" s="34">
        <v>2</v>
      </c>
      <c r="K111" s="34">
        <v>21</v>
      </c>
      <c r="L111" s="34">
        <v>6</v>
      </c>
      <c r="M111" s="34">
        <v>24</v>
      </c>
      <c r="N111" s="34">
        <v>24</v>
      </c>
      <c r="Q111" s="35">
        <f t="shared" si="2"/>
        <v>140</v>
      </c>
      <c r="R111" s="4" t="s">
        <v>22</v>
      </c>
    </row>
    <row r="112" spans="1:18" x14ac:dyDescent="0.25">
      <c r="A112" s="40">
        <v>46112</v>
      </c>
      <c r="B112" s="28">
        <v>1</v>
      </c>
      <c r="C112" s="34" t="s">
        <v>197</v>
      </c>
      <c r="D112" s="34" t="s">
        <v>114</v>
      </c>
      <c r="E112" s="34">
        <v>5</v>
      </c>
      <c r="F112" s="34">
        <v>18</v>
      </c>
      <c r="G112" s="34">
        <v>14</v>
      </c>
      <c r="H112" s="34">
        <v>24</v>
      </c>
      <c r="I112" s="34">
        <v>2</v>
      </c>
      <c r="J112" s="34">
        <v>4</v>
      </c>
      <c r="K112" s="34">
        <v>20</v>
      </c>
      <c r="L112" s="34">
        <v>9</v>
      </c>
      <c r="M112" s="34">
        <v>23</v>
      </c>
      <c r="N112" s="34">
        <v>21</v>
      </c>
      <c r="Q112" s="35">
        <f t="shared" si="2"/>
        <v>140</v>
      </c>
      <c r="R112" s="4" t="s">
        <v>22</v>
      </c>
    </row>
    <row r="113" spans="1:18" x14ac:dyDescent="0.25">
      <c r="A113" s="40">
        <v>46112</v>
      </c>
      <c r="B113" s="28">
        <v>1</v>
      </c>
      <c r="C113" s="34" t="s">
        <v>111</v>
      </c>
      <c r="D113" s="34" t="s">
        <v>124</v>
      </c>
      <c r="Q113" s="35">
        <f t="shared" si="2"/>
        <v>0</v>
      </c>
      <c r="R113" s="4" t="s">
        <v>22</v>
      </c>
    </row>
    <row r="114" spans="1:18" x14ac:dyDescent="0.25">
      <c r="A114" s="40">
        <v>46112</v>
      </c>
      <c r="B114" s="28">
        <v>1</v>
      </c>
      <c r="C114" s="34" t="s">
        <v>103</v>
      </c>
      <c r="D114" s="34" t="s">
        <v>115</v>
      </c>
      <c r="E114" s="34">
        <v>9</v>
      </c>
      <c r="F114" s="34">
        <v>19</v>
      </c>
      <c r="G114" s="34">
        <v>11</v>
      </c>
      <c r="H114" s="34">
        <v>24</v>
      </c>
      <c r="I114" s="34">
        <v>1</v>
      </c>
      <c r="J114" s="34">
        <v>4</v>
      </c>
      <c r="K114" s="34">
        <v>17</v>
      </c>
      <c r="L114" s="34">
        <v>7</v>
      </c>
      <c r="M114" s="34">
        <v>23</v>
      </c>
      <c r="N114" s="34">
        <v>16</v>
      </c>
      <c r="Q114" s="35">
        <f t="shared" si="2"/>
        <v>131</v>
      </c>
      <c r="R114" s="4" t="s">
        <v>22</v>
      </c>
    </row>
    <row r="115" spans="1:18" x14ac:dyDescent="0.25">
      <c r="A115" s="40">
        <v>46112</v>
      </c>
      <c r="B115" s="28">
        <v>1</v>
      </c>
      <c r="C115" s="34" t="s">
        <v>102</v>
      </c>
      <c r="D115" s="34" t="s">
        <v>116</v>
      </c>
      <c r="E115" s="34">
        <v>10</v>
      </c>
      <c r="F115" s="34">
        <v>14</v>
      </c>
      <c r="G115" s="34">
        <v>12</v>
      </c>
      <c r="H115" s="34">
        <v>21</v>
      </c>
      <c r="I115" s="34">
        <v>2</v>
      </c>
      <c r="J115" s="34">
        <v>4</v>
      </c>
      <c r="K115" s="34">
        <v>17</v>
      </c>
      <c r="L115" s="34">
        <v>8</v>
      </c>
      <c r="M115" s="34">
        <v>19</v>
      </c>
      <c r="N115" s="34">
        <v>17</v>
      </c>
      <c r="Q115" s="35">
        <f t="shared" si="2"/>
        <v>124</v>
      </c>
      <c r="R115" s="4" t="s">
        <v>22</v>
      </c>
    </row>
    <row r="116" spans="1:18" x14ac:dyDescent="0.25">
      <c r="A116" s="40">
        <v>46112</v>
      </c>
      <c r="B116" s="28">
        <v>1</v>
      </c>
      <c r="C116" s="34" t="s">
        <v>104</v>
      </c>
      <c r="D116" s="34" t="s">
        <v>117</v>
      </c>
      <c r="E116" s="34">
        <v>6</v>
      </c>
      <c r="F116" s="34">
        <v>17</v>
      </c>
      <c r="G116" s="34">
        <v>13</v>
      </c>
      <c r="H116" s="34">
        <v>19</v>
      </c>
      <c r="I116" s="34">
        <v>2</v>
      </c>
      <c r="J116" s="34">
        <v>7</v>
      </c>
      <c r="K116" s="34">
        <v>17</v>
      </c>
      <c r="L116" s="34">
        <v>7</v>
      </c>
      <c r="M116" s="34">
        <v>22</v>
      </c>
      <c r="N116" s="34">
        <v>17</v>
      </c>
      <c r="Q116" s="35">
        <f t="shared" si="2"/>
        <v>127</v>
      </c>
      <c r="R116" s="4" t="s">
        <v>22</v>
      </c>
    </row>
    <row r="117" spans="1:18" x14ac:dyDescent="0.25">
      <c r="A117" s="40">
        <v>46112</v>
      </c>
      <c r="B117" s="28">
        <v>1</v>
      </c>
      <c r="C117" s="34" t="s">
        <v>105</v>
      </c>
      <c r="D117" s="34" t="s">
        <v>118</v>
      </c>
      <c r="E117" s="34">
        <v>7</v>
      </c>
      <c r="F117" s="34">
        <v>20</v>
      </c>
      <c r="G117" s="34">
        <v>13</v>
      </c>
      <c r="H117" s="34">
        <v>29</v>
      </c>
      <c r="I117" s="34">
        <v>1</v>
      </c>
      <c r="J117" s="34">
        <v>4</v>
      </c>
      <c r="K117" s="34">
        <v>26</v>
      </c>
      <c r="L117" s="34">
        <v>4</v>
      </c>
      <c r="M117" s="34">
        <v>23</v>
      </c>
      <c r="N117" s="34">
        <v>23</v>
      </c>
      <c r="Q117" s="35">
        <f t="shared" si="2"/>
        <v>150</v>
      </c>
      <c r="R117" s="4" t="s">
        <v>22</v>
      </c>
    </row>
    <row r="118" spans="1:18" x14ac:dyDescent="0.25">
      <c r="A118" s="40">
        <v>46112</v>
      </c>
      <c r="B118" s="28">
        <v>1</v>
      </c>
      <c r="C118" s="34" t="s">
        <v>112</v>
      </c>
      <c r="D118" s="34" t="s">
        <v>119</v>
      </c>
      <c r="E118" s="34">
        <v>6</v>
      </c>
      <c r="F118" s="34">
        <v>16</v>
      </c>
      <c r="G118" s="34">
        <v>7</v>
      </c>
      <c r="H118" s="34">
        <v>13</v>
      </c>
      <c r="J118" s="34">
        <v>1</v>
      </c>
      <c r="K118" s="34">
        <v>12</v>
      </c>
      <c r="L118" s="34">
        <v>1</v>
      </c>
      <c r="M118" s="34">
        <v>9</v>
      </c>
      <c r="N118" s="34">
        <v>10</v>
      </c>
      <c r="Q118" s="35">
        <f t="shared" si="2"/>
        <v>75</v>
      </c>
      <c r="R118" s="4" t="s">
        <v>22</v>
      </c>
    </row>
    <row r="119" spans="1:18" x14ac:dyDescent="0.25">
      <c r="A119" s="40">
        <v>46112</v>
      </c>
      <c r="B119" s="28">
        <v>1</v>
      </c>
      <c r="C119" s="34" t="s">
        <v>106</v>
      </c>
      <c r="D119" s="34" t="s">
        <v>119</v>
      </c>
      <c r="E119" s="34">
        <v>7</v>
      </c>
      <c r="F119" s="34">
        <v>19</v>
      </c>
      <c r="G119" s="34">
        <v>10</v>
      </c>
      <c r="H119" s="34">
        <v>23</v>
      </c>
      <c r="I119" s="34">
        <v>2</v>
      </c>
      <c r="J119" s="34">
        <v>1</v>
      </c>
      <c r="K119" s="34">
        <v>19</v>
      </c>
      <c r="L119" s="34">
        <v>5</v>
      </c>
      <c r="M119" s="34">
        <v>18</v>
      </c>
      <c r="N119" s="34">
        <v>9</v>
      </c>
      <c r="Q119" s="35">
        <f t="shared" si="2"/>
        <v>113</v>
      </c>
      <c r="R119" s="4" t="s">
        <v>22</v>
      </c>
    </row>
    <row r="120" spans="1:18" x14ac:dyDescent="0.25">
      <c r="A120" s="40">
        <v>46112</v>
      </c>
      <c r="B120" s="28">
        <v>1</v>
      </c>
      <c r="C120" s="34" t="s">
        <v>107</v>
      </c>
      <c r="D120" s="34" t="s">
        <v>120</v>
      </c>
      <c r="E120" s="34">
        <v>8</v>
      </c>
      <c r="F120" s="34">
        <v>19</v>
      </c>
      <c r="G120" s="34">
        <v>12</v>
      </c>
      <c r="H120" s="34">
        <v>22</v>
      </c>
      <c r="I120" s="34">
        <v>2</v>
      </c>
      <c r="J120" s="34">
        <v>2</v>
      </c>
      <c r="K120" s="34">
        <v>21</v>
      </c>
      <c r="L120" s="34">
        <v>6</v>
      </c>
      <c r="M120" s="34">
        <v>12</v>
      </c>
      <c r="N120" s="34">
        <v>15</v>
      </c>
      <c r="Q120" s="35">
        <f t="shared" si="2"/>
        <v>119</v>
      </c>
      <c r="R120" s="4" t="s">
        <v>22</v>
      </c>
    </row>
    <row r="121" spans="1:18" x14ac:dyDescent="0.25">
      <c r="A121" s="40">
        <v>46112</v>
      </c>
      <c r="B121" s="28">
        <v>1</v>
      </c>
      <c r="C121" s="34" t="s">
        <v>101</v>
      </c>
      <c r="D121" s="34" t="s">
        <v>113</v>
      </c>
      <c r="E121" s="34">
        <v>13</v>
      </c>
      <c r="F121" s="34">
        <v>23</v>
      </c>
      <c r="G121" s="34">
        <v>14</v>
      </c>
      <c r="H121" s="34">
        <v>24</v>
      </c>
      <c r="I121" s="34">
        <v>2</v>
      </c>
      <c r="J121" s="34">
        <v>6</v>
      </c>
      <c r="K121" s="34">
        <v>21</v>
      </c>
      <c r="L121" s="34">
        <v>8</v>
      </c>
      <c r="M121" s="34">
        <v>19</v>
      </c>
      <c r="N121" s="34">
        <v>12</v>
      </c>
      <c r="Q121" s="35">
        <f t="shared" si="2"/>
        <v>142</v>
      </c>
      <c r="R121" s="4" t="s">
        <v>22</v>
      </c>
    </row>
    <row r="122" spans="1:18" x14ac:dyDescent="0.25">
      <c r="A122" s="40">
        <v>46112</v>
      </c>
      <c r="B122" s="28">
        <v>1</v>
      </c>
      <c r="C122" s="34" t="s">
        <v>108</v>
      </c>
      <c r="D122" s="34" t="s">
        <v>121</v>
      </c>
      <c r="E122" s="34">
        <v>7</v>
      </c>
      <c r="F122" s="34">
        <v>19</v>
      </c>
      <c r="G122" s="34">
        <v>11</v>
      </c>
      <c r="H122" s="34">
        <v>17</v>
      </c>
      <c r="J122" s="34">
        <v>3</v>
      </c>
      <c r="K122" s="34">
        <v>18</v>
      </c>
      <c r="L122" s="34">
        <v>5</v>
      </c>
      <c r="M122" s="34">
        <v>20</v>
      </c>
      <c r="N122" s="34">
        <v>9</v>
      </c>
      <c r="Q122" s="35">
        <f t="shared" si="2"/>
        <v>109</v>
      </c>
      <c r="R122" s="4" t="s">
        <v>22</v>
      </c>
    </row>
    <row r="123" spans="1:18" x14ac:dyDescent="0.25">
      <c r="A123" s="40">
        <v>46112</v>
      </c>
      <c r="B123" s="28">
        <v>1</v>
      </c>
      <c r="C123" s="34" t="s">
        <v>110</v>
      </c>
      <c r="D123" s="34" t="s">
        <v>123</v>
      </c>
      <c r="E123" s="34">
        <v>10</v>
      </c>
      <c r="F123" s="34">
        <v>23</v>
      </c>
      <c r="G123" s="34">
        <v>16</v>
      </c>
      <c r="H123" s="34">
        <v>26</v>
      </c>
      <c r="I123" s="34">
        <v>1</v>
      </c>
      <c r="J123" s="34">
        <v>2</v>
      </c>
      <c r="K123" s="34">
        <v>22</v>
      </c>
      <c r="L123" s="34">
        <v>7</v>
      </c>
      <c r="M123" s="34">
        <v>24</v>
      </c>
      <c r="N123" s="34">
        <v>10</v>
      </c>
      <c r="Q123" s="35">
        <f t="shared" si="2"/>
        <v>141</v>
      </c>
      <c r="R123" s="4" t="s">
        <v>22</v>
      </c>
    </row>
    <row r="124" spans="1:18" x14ac:dyDescent="0.25">
      <c r="A124" s="40">
        <v>46112</v>
      </c>
      <c r="B124" s="28">
        <v>1</v>
      </c>
      <c r="C124" s="34" t="s">
        <v>109</v>
      </c>
      <c r="D124" s="34" t="s">
        <v>122</v>
      </c>
      <c r="F124" s="34">
        <v>22</v>
      </c>
      <c r="G124" s="34">
        <v>14</v>
      </c>
      <c r="H124" s="34">
        <v>25</v>
      </c>
      <c r="I124" s="34">
        <v>1</v>
      </c>
      <c r="J124" s="34">
        <v>4</v>
      </c>
      <c r="K124" s="34">
        <v>19</v>
      </c>
      <c r="L124" s="34">
        <v>8</v>
      </c>
      <c r="M124" s="34">
        <v>18</v>
      </c>
      <c r="N124" s="34">
        <v>12</v>
      </c>
      <c r="Q124" s="35">
        <f t="shared" si="2"/>
        <v>123</v>
      </c>
      <c r="R124" s="4" t="s">
        <v>22</v>
      </c>
    </row>
    <row r="125" spans="1:18" x14ac:dyDescent="0.25">
      <c r="A125" s="40">
        <v>46112</v>
      </c>
      <c r="B125" s="28">
        <v>1</v>
      </c>
      <c r="C125" s="34" t="s">
        <v>141</v>
      </c>
      <c r="D125" s="34" t="s">
        <v>142</v>
      </c>
      <c r="Q125" s="35">
        <f t="shared" si="2"/>
        <v>0</v>
      </c>
      <c r="R125" s="4" t="s">
        <v>140</v>
      </c>
    </row>
    <row r="126" spans="1:18" x14ac:dyDescent="0.25">
      <c r="A126" s="40">
        <v>46112</v>
      </c>
      <c r="B126" s="28">
        <v>1</v>
      </c>
      <c r="C126" s="34" t="s">
        <v>136</v>
      </c>
      <c r="D126" s="34" t="s">
        <v>129</v>
      </c>
      <c r="E126" s="34">
        <v>6</v>
      </c>
      <c r="F126" s="34">
        <v>18</v>
      </c>
      <c r="G126" s="34">
        <v>12</v>
      </c>
      <c r="H126" s="34">
        <v>20</v>
      </c>
      <c r="I126" s="34">
        <v>2</v>
      </c>
      <c r="J126" s="34">
        <v>3</v>
      </c>
      <c r="K126" s="34">
        <v>15</v>
      </c>
      <c r="L126" s="34">
        <v>8</v>
      </c>
      <c r="M126" s="34">
        <v>22</v>
      </c>
      <c r="N126" s="34">
        <v>15</v>
      </c>
      <c r="Q126" s="35">
        <f t="shared" si="2"/>
        <v>121</v>
      </c>
      <c r="R126" s="4" t="s">
        <v>140</v>
      </c>
    </row>
    <row r="127" spans="1:18" x14ac:dyDescent="0.25">
      <c r="A127" s="40">
        <v>46112</v>
      </c>
      <c r="B127" s="28">
        <v>1</v>
      </c>
      <c r="C127" s="34" t="s">
        <v>133</v>
      </c>
      <c r="D127" s="34" t="s">
        <v>126</v>
      </c>
      <c r="E127" s="34">
        <v>7</v>
      </c>
      <c r="F127" s="34">
        <v>7</v>
      </c>
      <c r="G127" s="34">
        <v>5</v>
      </c>
      <c r="H127" s="34">
        <v>18</v>
      </c>
      <c r="I127" s="34">
        <v>5</v>
      </c>
      <c r="J127" s="34">
        <v>5</v>
      </c>
      <c r="K127" s="34">
        <v>17</v>
      </c>
      <c r="L127" s="34">
        <v>6</v>
      </c>
      <c r="M127" s="34">
        <v>22</v>
      </c>
      <c r="N127" s="34">
        <v>16</v>
      </c>
      <c r="Q127" s="35">
        <f t="shared" ref="Q127:Q191" si="3">SUM(E127:P127)</f>
        <v>108</v>
      </c>
      <c r="R127" s="4" t="s">
        <v>140</v>
      </c>
    </row>
    <row r="128" spans="1:18" x14ac:dyDescent="0.25">
      <c r="A128" s="40">
        <v>46112</v>
      </c>
      <c r="B128" s="28">
        <v>1</v>
      </c>
      <c r="C128" s="34" t="s">
        <v>143</v>
      </c>
      <c r="D128" s="34" t="s">
        <v>144</v>
      </c>
      <c r="Q128" s="35">
        <f t="shared" si="3"/>
        <v>0</v>
      </c>
      <c r="R128" s="4" t="s">
        <v>140</v>
      </c>
    </row>
    <row r="129" spans="1:18" x14ac:dyDescent="0.25">
      <c r="A129" s="40">
        <v>46112</v>
      </c>
      <c r="B129" s="28">
        <v>1</v>
      </c>
      <c r="C129" s="34" t="s">
        <v>138</v>
      </c>
      <c r="D129" s="34" t="s">
        <v>212</v>
      </c>
      <c r="E129" s="34">
        <v>9</v>
      </c>
      <c r="F129" s="34">
        <v>19</v>
      </c>
      <c r="G129" s="34">
        <v>11</v>
      </c>
      <c r="H129" s="34">
        <v>22</v>
      </c>
      <c r="J129" s="34">
        <v>6</v>
      </c>
      <c r="K129" s="34">
        <v>15</v>
      </c>
      <c r="L129" s="34">
        <v>11</v>
      </c>
      <c r="M129" s="34">
        <v>20</v>
      </c>
      <c r="N129" s="34">
        <v>15</v>
      </c>
      <c r="Q129" s="35">
        <f t="shared" si="3"/>
        <v>128</v>
      </c>
      <c r="R129" s="4" t="s">
        <v>140</v>
      </c>
    </row>
    <row r="130" spans="1:18" x14ac:dyDescent="0.25">
      <c r="A130" s="40">
        <v>46112</v>
      </c>
      <c r="B130" s="28">
        <v>1</v>
      </c>
      <c r="C130" s="34" t="s">
        <v>132</v>
      </c>
      <c r="D130" s="34" t="s">
        <v>125</v>
      </c>
      <c r="Q130" s="35">
        <f t="shared" si="3"/>
        <v>0</v>
      </c>
      <c r="R130" s="4" t="s">
        <v>140</v>
      </c>
    </row>
    <row r="131" spans="1:18" x14ac:dyDescent="0.25">
      <c r="A131" s="40">
        <v>46112</v>
      </c>
      <c r="B131" s="28">
        <v>1</v>
      </c>
      <c r="C131" s="34" t="s">
        <v>137</v>
      </c>
      <c r="D131" s="34" t="s">
        <v>130</v>
      </c>
      <c r="E131" s="34">
        <v>6</v>
      </c>
      <c r="F131" s="34">
        <v>9</v>
      </c>
      <c r="G131" s="34">
        <v>11</v>
      </c>
      <c r="H131" s="34">
        <v>19</v>
      </c>
      <c r="I131" s="34">
        <v>5</v>
      </c>
      <c r="J131" s="34">
        <v>5</v>
      </c>
      <c r="K131" s="34">
        <v>17</v>
      </c>
      <c r="L131" s="34">
        <v>3</v>
      </c>
      <c r="M131" s="34">
        <v>22</v>
      </c>
      <c r="N131" s="34">
        <v>12</v>
      </c>
      <c r="Q131" s="35">
        <f t="shared" si="3"/>
        <v>109</v>
      </c>
      <c r="R131" s="4" t="s">
        <v>140</v>
      </c>
    </row>
    <row r="132" spans="1:18" x14ac:dyDescent="0.25">
      <c r="A132" s="40">
        <v>46112</v>
      </c>
      <c r="B132" s="28">
        <v>1</v>
      </c>
      <c r="C132" s="34" t="s">
        <v>135</v>
      </c>
      <c r="D132" s="34" t="s">
        <v>128</v>
      </c>
      <c r="E132" s="34">
        <v>9</v>
      </c>
      <c r="F132" s="34">
        <v>17</v>
      </c>
      <c r="G132" s="34">
        <v>11</v>
      </c>
      <c r="H132" s="34">
        <v>20</v>
      </c>
      <c r="I132" s="34">
        <v>1</v>
      </c>
      <c r="J132" s="34">
        <v>1</v>
      </c>
      <c r="K132" s="34">
        <v>16</v>
      </c>
      <c r="L132" s="34">
        <v>3</v>
      </c>
      <c r="M132" s="34">
        <v>13</v>
      </c>
      <c r="N132" s="34">
        <v>12</v>
      </c>
      <c r="Q132" s="35">
        <f t="shared" si="3"/>
        <v>103</v>
      </c>
      <c r="R132" s="4" t="s">
        <v>140</v>
      </c>
    </row>
    <row r="133" spans="1:18" x14ac:dyDescent="0.25">
      <c r="A133" s="40">
        <v>46112</v>
      </c>
      <c r="B133" s="28">
        <v>1</v>
      </c>
      <c r="C133" s="34" t="s">
        <v>134</v>
      </c>
      <c r="D133" s="34" t="s">
        <v>127</v>
      </c>
      <c r="E133" s="34">
        <v>6</v>
      </c>
      <c r="F133" s="34">
        <v>18</v>
      </c>
      <c r="G133" s="34">
        <v>12</v>
      </c>
      <c r="H133" s="34">
        <v>24</v>
      </c>
      <c r="I133" s="34">
        <v>4</v>
      </c>
      <c r="J133" s="34">
        <v>2</v>
      </c>
      <c r="K133" s="34">
        <v>19</v>
      </c>
      <c r="L133" s="34">
        <v>8</v>
      </c>
      <c r="M133" s="34">
        <v>18</v>
      </c>
      <c r="N133" s="34">
        <v>16</v>
      </c>
      <c r="Q133" s="35">
        <f t="shared" si="3"/>
        <v>127</v>
      </c>
      <c r="R133" s="4" t="s">
        <v>140</v>
      </c>
    </row>
    <row r="134" spans="1:18" x14ac:dyDescent="0.25">
      <c r="A134" s="40">
        <v>46112</v>
      </c>
      <c r="B134" s="28">
        <v>1</v>
      </c>
      <c r="C134" s="34" t="s">
        <v>216</v>
      </c>
      <c r="D134" s="34" t="s">
        <v>215</v>
      </c>
      <c r="E134" s="34">
        <v>3</v>
      </c>
      <c r="F134" s="34">
        <v>8</v>
      </c>
      <c r="G134" s="34">
        <v>6</v>
      </c>
      <c r="H134" s="34">
        <v>21</v>
      </c>
      <c r="I134" s="34">
        <v>5</v>
      </c>
      <c r="J134" s="34">
        <v>5</v>
      </c>
      <c r="K134" s="34">
        <v>15</v>
      </c>
      <c r="L134" s="34">
        <v>4</v>
      </c>
      <c r="M134" s="34">
        <v>16</v>
      </c>
      <c r="N134" s="34">
        <v>15</v>
      </c>
      <c r="Q134" s="35">
        <f t="shared" si="3"/>
        <v>98</v>
      </c>
      <c r="R134" s="4" t="s">
        <v>140</v>
      </c>
    </row>
    <row r="135" spans="1:18" x14ac:dyDescent="0.25">
      <c r="A135" s="40"/>
      <c r="Q135" s="35">
        <f t="shared" si="3"/>
        <v>0</v>
      </c>
    </row>
    <row r="136" spans="1:18" x14ac:dyDescent="0.25">
      <c r="A136" s="40">
        <v>46113</v>
      </c>
      <c r="B136" s="28">
        <v>1</v>
      </c>
      <c r="C136" s="34" t="s">
        <v>100</v>
      </c>
      <c r="D136" s="34" t="s">
        <v>114</v>
      </c>
      <c r="E136" s="34">
        <v>4</v>
      </c>
      <c r="F136" s="34">
        <v>10</v>
      </c>
      <c r="G136" s="34">
        <v>23</v>
      </c>
      <c r="H136" s="34">
        <v>27</v>
      </c>
      <c r="I136" s="34">
        <v>16</v>
      </c>
      <c r="J136" s="34">
        <v>20</v>
      </c>
      <c r="K136" s="34">
        <v>23</v>
      </c>
      <c r="L136" s="34">
        <v>11</v>
      </c>
      <c r="M136" s="34">
        <v>24</v>
      </c>
      <c r="N136" s="34">
        <v>23</v>
      </c>
      <c r="O136" s="34">
        <v>4</v>
      </c>
      <c r="Q136" s="35">
        <f t="shared" si="3"/>
        <v>185</v>
      </c>
      <c r="R136" s="4" t="s">
        <v>22</v>
      </c>
    </row>
    <row r="137" spans="1:18" x14ac:dyDescent="0.25">
      <c r="A137" s="40">
        <v>46113</v>
      </c>
      <c r="B137" s="28">
        <v>1</v>
      </c>
      <c r="C137" s="34" t="s">
        <v>197</v>
      </c>
      <c r="D137" s="34" t="s">
        <v>114</v>
      </c>
      <c r="E137" s="34">
        <v>3</v>
      </c>
      <c r="F137" s="34">
        <v>9</v>
      </c>
      <c r="G137" s="34">
        <v>19</v>
      </c>
      <c r="H137" s="34">
        <v>22</v>
      </c>
      <c r="I137" s="34">
        <v>12</v>
      </c>
      <c r="J137" s="34">
        <v>16</v>
      </c>
      <c r="K137" s="34">
        <v>22</v>
      </c>
      <c r="L137" s="34">
        <v>9</v>
      </c>
      <c r="M137" s="34">
        <v>21</v>
      </c>
      <c r="N137" s="34">
        <v>19</v>
      </c>
      <c r="O137" s="34">
        <v>15</v>
      </c>
      <c r="P137" s="34">
        <v>2</v>
      </c>
      <c r="Q137" s="35">
        <f t="shared" si="3"/>
        <v>169</v>
      </c>
      <c r="R137" s="4" t="s">
        <v>22</v>
      </c>
    </row>
    <row r="138" spans="1:18" x14ac:dyDescent="0.25">
      <c r="A138" s="40">
        <v>46113</v>
      </c>
      <c r="B138" s="28">
        <v>1</v>
      </c>
      <c r="C138" s="34" t="s">
        <v>111</v>
      </c>
      <c r="D138" s="34" t="s">
        <v>124</v>
      </c>
      <c r="F138" s="34">
        <v>5</v>
      </c>
      <c r="G138" s="34">
        <v>20</v>
      </c>
      <c r="H138" s="34">
        <v>19</v>
      </c>
      <c r="I138" s="34">
        <v>8</v>
      </c>
      <c r="J138" s="34">
        <v>12</v>
      </c>
      <c r="K138" s="34">
        <v>22</v>
      </c>
      <c r="L138" s="34">
        <v>8</v>
      </c>
      <c r="M138" s="34">
        <v>22</v>
      </c>
      <c r="N138" s="34">
        <v>14</v>
      </c>
      <c r="O138" s="34">
        <v>14</v>
      </c>
      <c r="Q138" s="35">
        <f t="shared" si="3"/>
        <v>144</v>
      </c>
      <c r="R138" s="4" t="s">
        <v>22</v>
      </c>
    </row>
    <row r="139" spans="1:18" x14ac:dyDescent="0.25">
      <c r="A139" s="40">
        <v>46113</v>
      </c>
      <c r="B139" s="28">
        <v>1</v>
      </c>
      <c r="C139" s="34" t="s">
        <v>103</v>
      </c>
      <c r="D139" s="34" t="s">
        <v>115</v>
      </c>
      <c r="E139" s="34">
        <v>4</v>
      </c>
      <c r="F139" s="34">
        <v>10</v>
      </c>
      <c r="G139" s="34">
        <v>23</v>
      </c>
      <c r="H139" s="34">
        <v>23</v>
      </c>
      <c r="I139" s="34">
        <v>15</v>
      </c>
      <c r="J139" s="34">
        <v>20</v>
      </c>
      <c r="K139" s="34">
        <v>24</v>
      </c>
      <c r="L139" s="34">
        <v>5</v>
      </c>
      <c r="M139" s="34">
        <v>26</v>
      </c>
      <c r="N139" s="34">
        <v>20</v>
      </c>
      <c r="O139" s="34">
        <v>20</v>
      </c>
      <c r="Q139" s="35">
        <f t="shared" si="3"/>
        <v>190</v>
      </c>
      <c r="R139" s="4" t="s">
        <v>22</v>
      </c>
    </row>
    <row r="140" spans="1:18" x14ac:dyDescent="0.25">
      <c r="A140" s="40">
        <v>46113</v>
      </c>
      <c r="B140" s="28">
        <v>1</v>
      </c>
      <c r="C140" s="34" t="s">
        <v>102</v>
      </c>
      <c r="D140" s="34" t="s">
        <v>116</v>
      </c>
      <c r="E140" s="34">
        <v>4</v>
      </c>
      <c r="F140" s="34">
        <v>14</v>
      </c>
      <c r="G140" s="34">
        <v>18</v>
      </c>
      <c r="H140" s="34">
        <v>20</v>
      </c>
      <c r="I140" s="34">
        <v>10</v>
      </c>
      <c r="J140" s="34">
        <v>18</v>
      </c>
      <c r="K140" s="34">
        <v>18</v>
      </c>
      <c r="L140" s="34">
        <v>6</v>
      </c>
      <c r="M140" s="34">
        <v>23</v>
      </c>
      <c r="N140" s="34">
        <v>19</v>
      </c>
      <c r="O140" s="34">
        <v>17</v>
      </c>
      <c r="Q140" s="35">
        <f t="shared" si="3"/>
        <v>167</v>
      </c>
      <c r="R140" s="4" t="s">
        <v>22</v>
      </c>
    </row>
    <row r="141" spans="1:18" x14ac:dyDescent="0.25">
      <c r="A141" s="40">
        <v>46113</v>
      </c>
      <c r="B141" s="28">
        <v>1</v>
      </c>
      <c r="C141" s="34" t="s">
        <v>104</v>
      </c>
      <c r="D141" s="34" t="s">
        <v>117</v>
      </c>
      <c r="E141" s="34">
        <v>3</v>
      </c>
      <c r="F141" s="34">
        <v>15</v>
      </c>
      <c r="G141" s="34">
        <v>19</v>
      </c>
      <c r="H141" s="34">
        <v>24</v>
      </c>
      <c r="I141" s="34">
        <v>15</v>
      </c>
      <c r="J141" s="34">
        <v>24</v>
      </c>
      <c r="K141" s="34">
        <v>17</v>
      </c>
      <c r="L141" s="34">
        <v>5</v>
      </c>
      <c r="M141" s="34">
        <v>22</v>
      </c>
      <c r="N141" s="34">
        <v>18</v>
      </c>
      <c r="O141" s="34">
        <v>15</v>
      </c>
      <c r="Q141" s="35">
        <f t="shared" si="3"/>
        <v>177</v>
      </c>
      <c r="R141" s="4" t="s">
        <v>22</v>
      </c>
    </row>
    <row r="142" spans="1:18" x14ac:dyDescent="0.25">
      <c r="A142" s="40">
        <v>46113</v>
      </c>
      <c r="B142" s="28">
        <v>1</v>
      </c>
      <c r="C142" s="34" t="s">
        <v>105</v>
      </c>
      <c r="D142" s="34" t="s">
        <v>118</v>
      </c>
      <c r="E142" s="34">
        <v>1</v>
      </c>
      <c r="F142" s="34">
        <v>4</v>
      </c>
      <c r="G142" s="34">
        <v>15</v>
      </c>
      <c r="H142" s="34">
        <v>22</v>
      </c>
      <c r="I142" s="34">
        <v>14</v>
      </c>
      <c r="J142" s="34">
        <v>18</v>
      </c>
      <c r="K142" s="34">
        <v>19</v>
      </c>
      <c r="L142" s="34">
        <v>10</v>
      </c>
      <c r="M142" s="34">
        <v>27</v>
      </c>
      <c r="N142" s="34">
        <v>23</v>
      </c>
      <c r="O142" s="34">
        <v>16</v>
      </c>
      <c r="Q142" s="35">
        <f t="shared" si="3"/>
        <v>169</v>
      </c>
      <c r="R142" s="4" t="s">
        <v>22</v>
      </c>
    </row>
    <row r="143" spans="1:18" x14ac:dyDescent="0.25">
      <c r="A143" s="40">
        <v>46113</v>
      </c>
      <c r="B143" s="28">
        <v>1</v>
      </c>
      <c r="C143" s="34" t="s">
        <v>112</v>
      </c>
      <c r="D143" s="34" t="s">
        <v>119</v>
      </c>
      <c r="Q143" s="35">
        <f t="shared" si="3"/>
        <v>0</v>
      </c>
      <c r="R143" s="4" t="s">
        <v>22</v>
      </c>
    </row>
    <row r="144" spans="1:18" x14ac:dyDescent="0.25">
      <c r="A144" s="40">
        <v>46113</v>
      </c>
      <c r="B144" s="28">
        <v>1</v>
      </c>
      <c r="C144" s="34" t="s">
        <v>106</v>
      </c>
      <c r="D144" s="34" t="s">
        <v>119</v>
      </c>
      <c r="E144" s="34">
        <v>10</v>
      </c>
      <c r="F144" s="34">
        <v>23</v>
      </c>
      <c r="G144" s="34">
        <v>26</v>
      </c>
      <c r="H144" s="34">
        <v>16</v>
      </c>
      <c r="I144" s="34">
        <v>13</v>
      </c>
      <c r="J144" s="34">
        <v>24</v>
      </c>
      <c r="K144" s="34">
        <v>19</v>
      </c>
      <c r="L144" s="34">
        <v>7</v>
      </c>
      <c r="M144" s="34">
        <v>24</v>
      </c>
      <c r="N144" s="34">
        <v>23</v>
      </c>
      <c r="O144" s="34">
        <v>10</v>
      </c>
      <c r="P144" s="34">
        <v>1</v>
      </c>
      <c r="Q144" s="35">
        <f t="shared" si="3"/>
        <v>196</v>
      </c>
      <c r="R144" s="4" t="s">
        <v>22</v>
      </c>
    </row>
    <row r="145" spans="1:18" x14ac:dyDescent="0.25">
      <c r="A145" s="40">
        <v>46113</v>
      </c>
      <c r="B145" s="28">
        <v>1</v>
      </c>
      <c r="C145" s="34" t="s">
        <v>107</v>
      </c>
      <c r="D145" s="34" t="s">
        <v>120</v>
      </c>
      <c r="E145" s="34">
        <v>11</v>
      </c>
      <c r="F145" s="34">
        <v>28</v>
      </c>
      <c r="G145" s="34">
        <v>30</v>
      </c>
      <c r="H145" s="34">
        <v>15</v>
      </c>
      <c r="I145" s="34">
        <v>13</v>
      </c>
      <c r="J145" s="34">
        <v>21</v>
      </c>
      <c r="K145" s="34">
        <v>20</v>
      </c>
      <c r="L145" s="34">
        <v>8</v>
      </c>
      <c r="M145" s="34">
        <v>22</v>
      </c>
      <c r="N145" s="34">
        <v>25</v>
      </c>
      <c r="O145" s="34">
        <v>15</v>
      </c>
      <c r="Q145" s="35">
        <f t="shared" si="3"/>
        <v>208</v>
      </c>
      <c r="R145" s="4" t="s">
        <v>22</v>
      </c>
    </row>
    <row r="146" spans="1:18" x14ac:dyDescent="0.25">
      <c r="A146" s="40">
        <v>46113</v>
      </c>
      <c r="B146" s="28">
        <v>1</v>
      </c>
      <c r="C146" s="34" t="s">
        <v>101</v>
      </c>
      <c r="D146" s="34" t="s">
        <v>113</v>
      </c>
      <c r="E146" s="34">
        <v>3</v>
      </c>
      <c r="F146" s="34">
        <v>10</v>
      </c>
      <c r="G146" s="34">
        <v>20</v>
      </c>
      <c r="H146" s="34">
        <v>22</v>
      </c>
      <c r="I146" s="34">
        <v>14</v>
      </c>
      <c r="J146" s="34">
        <v>18</v>
      </c>
      <c r="K146" s="34">
        <v>25</v>
      </c>
      <c r="L146" s="34">
        <v>8</v>
      </c>
      <c r="M146" s="34">
        <v>24</v>
      </c>
      <c r="N146" s="34">
        <v>10</v>
      </c>
      <c r="O146" s="34">
        <v>13</v>
      </c>
      <c r="Q146" s="35">
        <f t="shared" si="3"/>
        <v>167</v>
      </c>
      <c r="R146" s="4" t="s">
        <v>22</v>
      </c>
    </row>
    <row r="147" spans="1:18" x14ac:dyDescent="0.25">
      <c r="A147" s="40">
        <v>46113</v>
      </c>
      <c r="B147" s="28">
        <v>1</v>
      </c>
      <c r="C147" s="34" t="s">
        <v>108</v>
      </c>
      <c r="D147" s="34" t="s">
        <v>121</v>
      </c>
      <c r="E147" s="34">
        <v>8</v>
      </c>
      <c r="F147" s="34">
        <v>19</v>
      </c>
      <c r="G147" s="34">
        <v>19</v>
      </c>
      <c r="H147" s="34">
        <v>17</v>
      </c>
      <c r="I147" s="34">
        <v>11</v>
      </c>
      <c r="J147" s="34">
        <v>17</v>
      </c>
      <c r="K147" s="34">
        <v>16</v>
      </c>
      <c r="L147" s="34">
        <v>6</v>
      </c>
      <c r="M147" s="34">
        <v>18</v>
      </c>
      <c r="N147" s="34">
        <v>21</v>
      </c>
      <c r="O147" s="34">
        <v>15</v>
      </c>
      <c r="P147" s="34">
        <v>1</v>
      </c>
      <c r="Q147" s="35">
        <f t="shared" si="3"/>
        <v>168</v>
      </c>
      <c r="R147" s="4" t="s">
        <v>22</v>
      </c>
    </row>
    <row r="148" spans="1:18" x14ac:dyDescent="0.25">
      <c r="A148" s="40">
        <v>46113</v>
      </c>
      <c r="B148" s="28">
        <v>1</v>
      </c>
      <c r="C148" s="34" t="s">
        <v>110</v>
      </c>
      <c r="D148" s="34" t="s">
        <v>123</v>
      </c>
      <c r="E148" s="34">
        <v>2</v>
      </c>
      <c r="F148" s="34">
        <v>12</v>
      </c>
      <c r="G148" s="34">
        <v>19</v>
      </c>
      <c r="H148" s="34">
        <v>23</v>
      </c>
      <c r="I148" s="34">
        <v>18</v>
      </c>
      <c r="J148" s="34">
        <v>20</v>
      </c>
      <c r="K148" s="34">
        <v>23</v>
      </c>
      <c r="L148" s="34">
        <v>11</v>
      </c>
      <c r="M148" s="34">
        <v>27</v>
      </c>
      <c r="N148" s="34">
        <v>18</v>
      </c>
      <c r="O148" s="34">
        <v>13</v>
      </c>
      <c r="P148" s="34">
        <v>1</v>
      </c>
      <c r="Q148" s="35">
        <f t="shared" si="3"/>
        <v>187</v>
      </c>
      <c r="R148" s="4" t="s">
        <v>22</v>
      </c>
    </row>
    <row r="149" spans="1:18" x14ac:dyDescent="0.25">
      <c r="A149" s="40">
        <v>46113</v>
      </c>
      <c r="B149" s="28">
        <v>1</v>
      </c>
      <c r="C149" s="34" t="s">
        <v>109</v>
      </c>
      <c r="D149" s="34" t="s">
        <v>122</v>
      </c>
      <c r="E149" s="34">
        <v>3</v>
      </c>
      <c r="F149" s="34">
        <v>12</v>
      </c>
      <c r="G149" s="34">
        <v>20</v>
      </c>
      <c r="H149" s="34">
        <v>22</v>
      </c>
      <c r="I149" s="34">
        <v>14</v>
      </c>
      <c r="J149" s="34">
        <v>19</v>
      </c>
      <c r="K149" s="34">
        <v>21</v>
      </c>
      <c r="L149" s="34">
        <v>7</v>
      </c>
      <c r="M149" s="34">
        <v>24</v>
      </c>
      <c r="N149" s="34">
        <v>21</v>
      </c>
      <c r="O149" s="34">
        <v>16</v>
      </c>
      <c r="Q149" s="35">
        <f t="shared" si="3"/>
        <v>179</v>
      </c>
      <c r="R149" s="4" t="s">
        <v>22</v>
      </c>
    </row>
    <row r="150" spans="1:18" x14ac:dyDescent="0.25">
      <c r="A150" s="40"/>
    </row>
    <row r="151" spans="1:18" x14ac:dyDescent="0.25">
      <c r="A151" s="40">
        <v>46113</v>
      </c>
      <c r="B151" s="28">
        <v>1</v>
      </c>
      <c r="C151" s="34" t="s">
        <v>141</v>
      </c>
      <c r="D151" s="34" t="s">
        <v>142</v>
      </c>
      <c r="Q151" s="35">
        <f t="shared" si="3"/>
        <v>0</v>
      </c>
      <c r="R151" s="4" t="s">
        <v>140</v>
      </c>
    </row>
    <row r="152" spans="1:18" x14ac:dyDescent="0.25">
      <c r="A152" s="40">
        <v>46113</v>
      </c>
      <c r="B152" s="28">
        <v>1</v>
      </c>
      <c r="C152" s="34" t="s">
        <v>136</v>
      </c>
      <c r="D152" s="34" t="s">
        <v>129</v>
      </c>
      <c r="E152" s="34">
        <v>3</v>
      </c>
      <c r="F152" s="34">
        <v>12</v>
      </c>
      <c r="G152" s="34">
        <v>19</v>
      </c>
      <c r="H152" s="34">
        <v>16</v>
      </c>
      <c r="I152" s="34">
        <v>15</v>
      </c>
      <c r="J152" s="34">
        <v>16</v>
      </c>
      <c r="K152" s="34">
        <v>21</v>
      </c>
      <c r="L152" s="34">
        <v>7</v>
      </c>
      <c r="M152" s="34">
        <v>23</v>
      </c>
      <c r="N152" s="34">
        <v>19</v>
      </c>
      <c r="O152" s="34">
        <v>18</v>
      </c>
      <c r="Q152" s="35">
        <f t="shared" si="3"/>
        <v>169</v>
      </c>
      <c r="R152" s="4" t="s">
        <v>140</v>
      </c>
    </row>
    <row r="153" spans="1:18" x14ac:dyDescent="0.25">
      <c r="A153" s="40">
        <v>46113</v>
      </c>
      <c r="B153" s="28">
        <v>1</v>
      </c>
      <c r="C153" s="34" t="s">
        <v>133</v>
      </c>
      <c r="D153" s="34" t="s">
        <v>126</v>
      </c>
      <c r="E153" s="34">
        <v>4</v>
      </c>
      <c r="F153" s="34">
        <v>9</v>
      </c>
      <c r="G153" s="34">
        <v>17</v>
      </c>
      <c r="H153" s="34">
        <v>19</v>
      </c>
      <c r="I153" s="34">
        <v>12</v>
      </c>
      <c r="J153" s="34">
        <v>14</v>
      </c>
      <c r="K153" s="34">
        <v>21</v>
      </c>
      <c r="L153" s="34">
        <v>9</v>
      </c>
      <c r="M153" s="34">
        <v>22</v>
      </c>
      <c r="N153" s="34">
        <v>19</v>
      </c>
      <c r="O153" s="34">
        <v>13</v>
      </c>
      <c r="Q153" s="35">
        <f t="shared" si="3"/>
        <v>159</v>
      </c>
      <c r="R153" s="4" t="s">
        <v>140</v>
      </c>
    </row>
    <row r="154" spans="1:18" x14ac:dyDescent="0.25">
      <c r="A154" s="40">
        <v>46113</v>
      </c>
      <c r="B154" s="28">
        <v>1</v>
      </c>
      <c r="C154" s="34" t="s">
        <v>143</v>
      </c>
      <c r="D154" s="34" t="s">
        <v>144</v>
      </c>
      <c r="Q154" s="35">
        <f t="shared" si="3"/>
        <v>0</v>
      </c>
      <c r="R154" s="4" t="s">
        <v>140</v>
      </c>
    </row>
    <row r="155" spans="1:18" x14ac:dyDescent="0.25">
      <c r="A155" s="40">
        <v>46113</v>
      </c>
      <c r="B155" s="28">
        <v>1</v>
      </c>
      <c r="C155" s="34" t="s">
        <v>138</v>
      </c>
      <c r="D155" s="34" t="s">
        <v>212</v>
      </c>
      <c r="E155" s="34">
        <v>2</v>
      </c>
      <c r="F155" s="34">
        <v>13</v>
      </c>
      <c r="G155" s="34">
        <v>18</v>
      </c>
      <c r="H155" s="34">
        <v>19</v>
      </c>
      <c r="I155" s="34">
        <v>13</v>
      </c>
      <c r="J155" s="34">
        <v>17</v>
      </c>
      <c r="K155" s="34">
        <v>22</v>
      </c>
      <c r="L155" s="34">
        <v>9</v>
      </c>
      <c r="M155" s="34">
        <v>25</v>
      </c>
      <c r="N155" s="34">
        <v>17</v>
      </c>
      <c r="O155" s="34">
        <v>11</v>
      </c>
      <c r="Q155" s="35">
        <f t="shared" si="3"/>
        <v>166</v>
      </c>
      <c r="R155" s="4" t="s">
        <v>140</v>
      </c>
    </row>
    <row r="156" spans="1:18" x14ac:dyDescent="0.25">
      <c r="A156" s="40">
        <v>46113</v>
      </c>
      <c r="B156" s="28">
        <v>1</v>
      </c>
      <c r="C156" s="34" t="s">
        <v>132</v>
      </c>
      <c r="D156" s="34" t="s">
        <v>125</v>
      </c>
      <c r="E156" s="34">
        <v>2</v>
      </c>
      <c r="F156" s="34">
        <v>9</v>
      </c>
      <c r="G156" s="34">
        <v>12</v>
      </c>
      <c r="H156" s="34">
        <v>20</v>
      </c>
      <c r="I156" s="34">
        <v>11</v>
      </c>
      <c r="J156" s="34">
        <v>14</v>
      </c>
      <c r="K156" s="34">
        <v>18</v>
      </c>
      <c r="L156" s="34">
        <v>5</v>
      </c>
      <c r="M156" s="34">
        <v>15</v>
      </c>
      <c r="N156" s="34">
        <v>21</v>
      </c>
      <c r="O156" s="34">
        <v>15</v>
      </c>
      <c r="Q156" s="35">
        <f t="shared" si="3"/>
        <v>142</v>
      </c>
      <c r="R156" s="4" t="s">
        <v>140</v>
      </c>
    </row>
    <row r="157" spans="1:18" x14ac:dyDescent="0.25">
      <c r="A157" s="40">
        <v>46113</v>
      </c>
      <c r="B157" s="28">
        <v>1</v>
      </c>
      <c r="C157" s="34" t="s">
        <v>137</v>
      </c>
      <c r="D157" s="34" t="s">
        <v>130</v>
      </c>
      <c r="E157" s="34">
        <v>3</v>
      </c>
      <c r="F157" s="34">
        <v>11</v>
      </c>
      <c r="G157" s="34">
        <v>21</v>
      </c>
      <c r="H157" s="34">
        <v>13</v>
      </c>
      <c r="I157" s="34">
        <v>9</v>
      </c>
      <c r="J157" s="34">
        <v>8</v>
      </c>
      <c r="K157" s="34">
        <v>20</v>
      </c>
      <c r="L157" s="34">
        <v>6</v>
      </c>
      <c r="M157" s="34">
        <v>18</v>
      </c>
      <c r="N157" s="34">
        <v>26</v>
      </c>
      <c r="O157" s="34">
        <v>23</v>
      </c>
      <c r="Q157" s="35">
        <f t="shared" si="3"/>
        <v>158</v>
      </c>
      <c r="R157" s="4" t="s">
        <v>140</v>
      </c>
    </row>
    <row r="158" spans="1:18" x14ac:dyDescent="0.25">
      <c r="A158" s="40">
        <v>46113</v>
      </c>
      <c r="B158" s="28">
        <v>1</v>
      </c>
      <c r="C158" s="34" t="s">
        <v>135</v>
      </c>
      <c r="D158" s="34" t="s">
        <v>128</v>
      </c>
      <c r="E158" s="34">
        <v>10</v>
      </c>
      <c r="F158" s="34">
        <v>21</v>
      </c>
      <c r="G158" s="34">
        <v>25</v>
      </c>
      <c r="H158" s="34">
        <v>13</v>
      </c>
      <c r="I158" s="34">
        <v>12</v>
      </c>
      <c r="J158" s="34">
        <v>19</v>
      </c>
      <c r="K158" s="34">
        <v>10</v>
      </c>
      <c r="L158" s="34">
        <v>5</v>
      </c>
      <c r="M158" s="34">
        <v>12</v>
      </c>
      <c r="N158" s="34">
        <v>22</v>
      </c>
      <c r="O158" s="34">
        <v>17</v>
      </c>
      <c r="Q158" s="35">
        <f t="shared" si="3"/>
        <v>166</v>
      </c>
      <c r="R158" s="4" t="s">
        <v>140</v>
      </c>
    </row>
    <row r="159" spans="1:18" x14ac:dyDescent="0.25">
      <c r="A159" s="40">
        <v>46113</v>
      </c>
      <c r="B159" s="28">
        <v>1</v>
      </c>
      <c r="C159" s="34" t="s">
        <v>134</v>
      </c>
      <c r="D159" s="34" t="s">
        <v>127</v>
      </c>
      <c r="E159" s="34">
        <v>1</v>
      </c>
      <c r="F159" s="34">
        <v>7</v>
      </c>
      <c r="G159" s="34">
        <v>13</v>
      </c>
      <c r="H159" s="34">
        <v>20</v>
      </c>
      <c r="I159" s="34">
        <v>11</v>
      </c>
      <c r="J159" s="34">
        <v>11</v>
      </c>
      <c r="K159" s="34">
        <v>22</v>
      </c>
      <c r="L159" s="34">
        <v>8</v>
      </c>
      <c r="M159" s="34">
        <v>21</v>
      </c>
      <c r="N159" s="34">
        <v>16</v>
      </c>
      <c r="O159" s="34">
        <v>14</v>
      </c>
      <c r="Q159" s="35">
        <f t="shared" si="3"/>
        <v>144</v>
      </c>
      <c r="R159" s="4" t="s">
        <v>140</v>
      </c>
    </row>
    <row r="160" spans="1:18" x14ac:dyDescent="0.25">
      <c r="A160" s="40">
        <v>46113</v>
      </c>
      <c r="B160" s="28">
        <v>1</v>
      </c>
      <c r="C160" s="34" t="s">
        <v>216</v>
      </c>
      <c r="D160" s="34" t="s">
        <v>215</v>
      </c>
      <c r="E160" s="34">
        <v>6</v>
      </c>
      <c r="F160" s="34">
        <v>14</v>
      </c>
      <c r="G160" s="34">
        <v>17</v>
      </c>
      <c r="H160" s="34">
        <v>9</v>
      </c>
      <c r="I160" s="34">
        <v>10</v>
      </c>
      <c r="J160" s="34">
        <v>13</v>
      </c>
      <c r="K160" s="34">
        <v>17</v>
      </c>
      <c r="L160" s="34">
        <v>5</v>
      </c>
      <c r="M160" s="34">
        <v>16</v>
      </c>
      <c r="N160" s="34">
        <v>19</v>
      </c>
      <c r="O160" s="34">
        <v>15</v>
      </c>
      <c r="Q160" s="35">
        <f t="shared" si="3"/>
        <v>141</v>
      </c>
      <c r="R160" s="4" t="s">
        <v>140</v>
      </c>
    </row>
    <row r="161" spans="1:18" x14ac:dyDescent="0.25">
      <c r="Q161" s="35">
        <f t="shared" si="3"/>
        <v>0</v>
      </c>
    </row>
    <row r="162" spans="1:18" x14ac:dyDescent="0.25">
      <c r="A162" s="40">
        <v>46114</v>
      </c>
      <c r="B162" s="28">
        <v>1</v>
      </c>
      <c r="C162" s="34" t="s">
        <v>100</v>
      </c>
      <c r="D162" s="34" t="s">
        <v>114</v>
      </c>
      <c r="Q162" s="35">
        <f t="shared" si="3"/>
        <v>0</v>
      </c>
      <c r="R162" s="4" t="s">
        <v>22</v>
      </c>
    </row>
    <row r="163" spans="1:18" x14ac:dyDescent="0.25">
      <c r="A163" s="40">
        <v>46114</v>
      </c>
      <c r="B163" s="28">
        <v>1</v>
      </c>
      <c r="C163" s="34" t="s">
        <v>197</v>
      </c>
      <c r="D163" s="34" t="s">
        <v>114</v>
      </c>
      <c r="Q163" s="35">
        <f t="shared" si="3"/>
        <v>0</v>
      </c>
      <c r="R163" s="4" t="s">
        <v>22</v>
      </c>
    </row>
    <row r="164" spans="1:18" x14ac:dyDescent="0.25">
      <c r="A164" s="40">
        <v>46114</v>
      </c>
      <c r="B164" s="28">
        <v>1</v>
      </c>
      <c r="C164" s="34" t="s">
        <v>111</v>
      </c>
      <c r="D164" s="34" t="s">
        <v>124</v>
      </c>
      <c r="Q164" s="35">
        <f t="shared" si="3"/>
        <v>0</v>
      </c>
      <c r="R164" s="4" t="s">
        <v>22</v>
      </c>
    </row>
    <row r="165" spans="1:18" x14ac:dyDescent="0.25">
      <c r="A165" s="40">
        <v>46114</v>
      </c>
      <c r="B165" s="28">
        <v>1</v>
      </c>
      <c r="C165" s="34" t="s">
        <v>103</v>
      </c>
      <c r="D165" s="34" t="s">
        <v>115</v>
      </c>
      <c r="E165" s="34">
        <v>4</v>
      </c>
      <c r="F165" s="34">
        <v>16</v>
      </c>
      <c r="G165" s="34">
        <v>20</v>
      </c>
      <c r="H165" s="34">
        <v>26</v>
      </c>
      <c r="I165" s="34">
        <v>13</v>
      </c>
      <c r="J165" s="34">
        <v>26</v>
      </c>
      <c r="K165" s="34">
        <v>22</v>
      </c>
      <c r="L165" s="34">
        <v>14</v>
      </c>
      <c r="Q165" s="35">
        <f t="shared" si="3"/>
        <v>141</v>
      </c>
      <c r="R165" s="4" t="s">
        <v>22</v>
      </c>
    </row>
    <row r="166" spans="1:18" x14ac:dyDescent="0.25">
      <c r="A166" s="40">
        <v>46114</v>
      </c>
      <c r="B166" s="28">
        <v>1</v>
      </c>
      <c r="C166" s="34" t="s">
        <v>102</v>
      </c>
      <c r="D166" s="34" t="s">
        <v>116</v>
      </c>
      <c r="F166" s="34">
        <v>6</v>
      </c>
      <c r="G166" s="34">
        <v>11</v>
      </c>
      <c r="H166" s="34">
        <v>23</v>
      </c>
      <c r="I166" s="34">
        <v>10</v>
      </c>
      <c r="Q166" s="35">
        <f t="shared" si="3"/>
        <v>50</v>
      </c>
      <c r="R166" s="4" t="s">
        <v>22</v>
      </c>
    </row>
    <row r="167" spans="1:18" x14ac:dyDescent="0.25">
      <c r="A167" s="40">
        <v>46114</v>
      </c>
      <c r="B167" s="28">
        <v>1</v>
      </c>
      <c r="C167" s="34" t="s">
        <v>104</v>
      </c>
      <c r="D167" s="34" t="s">
        <v>117</v>
      </c>
      <c r="E167" s="34">
        <v>7</v>
      </c>
      <c r="F167" s="34">
        <v>17</v>
      </c>
      <c r="G167" s="34">
        <v>25</v>
      </c>
      <c r="H167" s="34">
        <v>25</v>
      </c>
      <c r="I167" s="34">
        <v>16</v>
      </c>
      <c r="J167" s="34">
        <v>26</v>
      </c>
      <c r="K167" s="34">
        <v>18</v>
      </c>
      <c r="L167" s="34">
        <v>14</v>
      </c>
      <c r="Q167" s="35">
        <f t="shared" si="3"/>
        <v>148</v>
      </c>
      <c r="R167" s="4" t="s">
        <v>22</v>
      </c>
    </row>
    <row r="168" spans="1:18" x14ac:dyDescent="0.25">
      <c r="A168" s="40">
        <v>46114</v>
      </c>
      <c r="B168" s="28">
        <v>1</v>
      </c>
      <c r="C168" s="34" t="s">
        <v>105</v>
      </c>
      <c r="D168" s="34" t="s">
        <v>118</v>
      </c>
      <c r="E168" s="34">
        <v>5</v>
      </c>
      <c r="F168" s="34">
        <v>22</v>
      </c>
      <c r="G168" s="34">
        <v>23</v>
      </c>
      <c r="H168" s="34">
        <v>29</v>
      </c>
      <c r="I168" s="34">
        <v>14</v>
      </c>
      <c r="J168" s="34">
        <v>33</v>
      </c>
      <c r="K168" s="34">
        <v>21</v>
      </c>
      <c r="L168" s="34">
        <v>11</v>
      </c>
      <c r="Q168" s="35">
        <f t="shared" si="3"/>
        <v>158</v>
      </c>
      <c r="R168" s="4" t="s">
        <v>22</v>
      </c>
    </row>
    <row r="169" spans="1:18" x14ac:dyDescent="0.25">
      <c r="A169" s="40">
        <v>46114</v>
      </c>
      <c r="B169" s="28">
        <v>1</v>
      </c>
      <c r="C169" s="34" t="s">
        <v>112</v>
      </c>
      <c r="D169" s="34" t="s">
        <v>119</v>
      </c>
      <c r="Q169" s="35">
        <f t="shared" si="3"/>
        <v>0</v>
      </c>
      <c r="R169" s="4" t="s">
        <v>22</v>
      </c>
    </row>
    <row r="170" spans="1:18" x14ac:dyDescent="0.25">
      <c r="A170" s="40">
        <v>46114</v>
      </c>
      <c r="B170" s="28">
        <v>1</v>
      </c>
      <c r="C170" s="34" t="s">
        <v>106</v>
      </c>
      <c r="D170" s="34" t="s">
        <v>119</v>
      </c>
      <c r="E170" s="34">
        <v>3</v>
      </c>
      <c r="F170" s="34">
        <v>18</v>
      </c>
      <c r="G170" s="34">
        <v>26</v>
      </c>
      <c r="H170" s="34">
        <v>24</v>
      </c>
      <c r="I170" s="34">
        <v>12</v>
      </c>
      <c r="J170" s="34">
        <v>24</v>
      </c>
      <c r="K170" s="34">
        <v>20</v>
      </c>
      <c r="L170" s="34">
        <v>15</v>
      </c>
      <c r="Q170" s="35">
        <f t="shared" si="3"/>
        <v>142</v>
      </c>
      <c r="R170" s="4" t="s">
        <v>22</v>
      </c>
    </row>
    <row r="171" spans="1:18" x14ac:dyDescent="0.25">
      <c r="A171" s="40">
        <v>46114</v>
      </c>
      <c r="B171" s="28">
        <v>1</v>
      </c>
      <c r="C171" s="34" t="s">
        <v>107</v>
      </c>
      <c r="D171" s="34" t="s">
        <v>120</v>
      </c>
      <c r="E171" s="34">
        <v>1</v>
      </c>
      <c r="F171" s="34">
        <v>22</v>
      </c>
      <c r="G171" s="34">
        <v>26</v>
      </c>
      <c r="H171" s="34">
        <v>28</v>
      </c>
      <c r="I171" s="34">
        <v>14</v>
      </c>
      <c r="J171" s="34">
        <v>28</v>
      </c>
      <c r="K171" s="34">
        <v>19</v>
      </c>
      <c r="L171" s="34">
        <v>15</v>
      </c>
      <c r="Q171" s="35">
        <f t="shared" si="3"/>
        <v>153</v>
      </c>
      <c r="R171" s="4" t="s">
        <v>22</v>
      </c>
    </row>
    <row r="172" spans="1:18" x14ac:dyDescent="0.25">
      <c r="A172" s="40">
        <v>46114</v>
      </c>
      <c r="B172" s="28">
        <v>1</v>
      </c>
      <c r="C172" s="34" t="s">
        <v>101</v>
      </c>
      <c r="D172" s="34" t="s">
        <v>113</v>
      </c>
      <c r="E172" s="34">
        <v>5</v>
      </c>
      <c r="F172" s="34">
        <v>18</v>
      </c>
      <c r="G172" s="34">
        <v>26</v>
      </c>
      <c r="H172" s="34">
        <v>28</v>
      </c>
      <c r="I172" s="34">
        <v>18</v>
      </c>
      <c r="J172" s="34">
        <v>26</v>
      </c>
      <c r="K172" s="34">
        <v>24</v>
      </c>
      <c r="L172" s="34">
        <v>15</v>
      </c>
      <c r="Q172" s="35">
        <f t="shared" si="3"/>
        <v>160</v>
      </c>
      <c r="R172" s="4" t="s">
        <v>22</v>
      </c>
    </row>
    <row r="173" spans="1:18" x14ac:dyDescent="0.25">
      <c r="A173" s="40">
        <v>46114</v>
      </c>
      <c r="B173" s="28">
        <v>1</v>
      </c>
      <c r="C173" s="34" t="s">
        <v>108</v>
      </c>
      <c r="D173" s="34" t="s">
        <v>121</v>
      </c>
      <c r="E173" s="34">
        <v>1</v>
      </c>
      <c r="F173" s="34">
        <v>14</v>
      </c>
      <c r="G173" s="34">
        <v>22</v>
      </c>
      <c r="H173" s="34">
        <v>22</v>
      </c>
      <c r="I173" s="34">
        <v>11</v>
      </c>
      <c r="J173" s="34">
        <v>24</v>
      </c>
      <c r="K173" s="34">
        <v>15</v>
      </c>
      <c r="L173" s="34">
        <v>11</v>
      </c>
      <c r="Q173" s="35">
        <f t="shared" si="3"/>
        <v>120</v>
      </c>
      <c r="R173" s="4" t="s">
        <v>22</v>
      </c>
    </row>
    <row r="174" spans="1:18" x14ac:dyDescent="0.25">
      <c r="A174" s="40">
        <v>46114</v>
      </c>
      <c r="B174" s="28">
        <v>1</v>
      </c>
      <c r="C174" s="34" t="s">
        <v>110</v>
      </c>
      <c r="D174" s="34" t="s">
        <v>123</v>
      </c>
      <c r="Q174" s="35">
        <f t="shared" si="3"/>
        <v>0</v>
      </c>
      <c r="R174" s="4" t="s">
        <v>22</v>
      </c>
    </row>
    <row r="175" spans="1:18" x14ac:dyDescent="0.25">
      <c r="A175" s="40">
        <v>46114</v>
      </c>
      <c r="B175" s="28">
        <v>1</v>
      </c>
      <c r="C175" s="34" t="s">
        <v>109</v>
      </c>
      <c r="D175" s="34" t="s">
        <v>122</v>
      </c>
      <c r="Q175" s="35">
        <f t="shared" si="3"/>
        <v>0</v>
      </c>
      <c r="R175" s="4" t="s">
        <v>22</v>
      </c>
    </row>
    <row r="176" spans="1:18" x14ac:dyDescent="0.25">
      <c r="A176" s="40">
        <v>46114</v>
      </c>
      <c r="B176" s="28">
        <v>1</v>
      </c>
      <c r="C176" s="34" t="s">
        <v>108</v>
      </c>
      <c r="D176" s="34" t="s">
        <v>271</v>
      </c>
      <c r="E176" s="34">
        <v>4</v>
      </c>
      <c r="F176" s="34">
        <v>13</v>
      </c>
      <c r="G176" s="34">
        <v>12</v>
      </c>
      <c r="H176" s="34">
        <v>11</v>
      </c>
      <c r="I176" s="34">
        <v>9</v>
      </c>
      <c r="J176" s="34">
        <v>14</v>
      </c>
      <c r="K176" s="34">
        <v>9</v>
      </c>
      <c r="L176" s="34">
        <v>9</v>
      </c>
      <c r="Q176" s="35">
        <f t="shared" si="3"/>
        <v>81</v>
      </c>
      <c r="R176" s="4" t="s">
        <v>22</v>
      </c>
    </row>
    <row r="177" spans="1:18" x14ac:dyDescent="0.25">
      <c r="A177" s="40">
        <v>46114</v>
      </c>
      <c r="B177" s="28">
        <v>1</v>
      </c>
      <c r="C177" s="34" t="s">
        <v>272</v>
      </c>
      <c r="D177" s="34" t="s">
        <v>273</v>
      </c>
      <c r="G177" s="34">
        <v>5</v>
      </c>
      <c r="H177" s="34">
        <v>17</v>
      </c>
      <c r="I177" s="34">
        <v>9</v>
      </c>
      <c r="J177" s="34">
        <v>17</v>
      </c>
      <c r="K177" s="34">
        <v>7</v>
      </c>
      <c r="L177" s="34">
        <v>8</v>
      </c>
      <c r="Q177" s="35">
        <f t="shared" si="3"/>
        <v>63</v>
      </c>
      <c r="R177" s="4" t="s">
        <v>22</v>
      </c>
    </row>
    <row r="178" spans="1:18" x14ac:dyDescent="0.25">
      <c r="A178" s="40">
        <v>46114</v>
      </c>
      <c r="B178" s="28">
        <v>1</v>
      </c>
      <c r="C178" s="34" t="s">
        <v>141</v>
      </c>
      <c r="D178" s="34" t="s">
        <v>142</v>
      </c>
      <c r="Q178" s="35">
        <f t="shared" si="3"/>
        <v>0</v>
      </c>
      <c r="R178" s="4" t="s">
        <v>140</v>
      </c>
    </row>
    <row r="179" spans="1:18" x14ac:dyDescent="0.25">
      <c r="A179" s="40">
        <v>46114</v>
      </c>
      <c r="B179" s="28">
        <v>1</v>
      </c>
      <c r="C179" s="34" t="s">
        <v>136</v>
      </c>
      <c r="D179" s="34" t="s">
        <v>129</v>
      </c>
      <c r="E179" s="34">
        <v>1</v>
      </c>
      <c r="F179" s="34">
        <v>8</v>
      </c>
      <c r="G179" s="34">
        <v>14</v>
      </c>
      <c r="H179" s="34">
        <v>21</v>
      </c>
      <c r="I179" s="34">
        <v>11</v>
      </c>
      <c r="J179" s="34">
        <v>24</v>
      </c>
      <c r="K179" s="34">
        <v>21</v>
      </c>
      <c r="L179" s="34">
        <v>11</v>
      </c>
      <c r="Q179" s="35">
        <f t="shared" si="3"/>
        <v>111</v>
      </c>
      <c r="R179" s="4" t="s">
        <v>140</v>
      </c>
    </row>
    <row r="180" spans="1:18" x14ac:dyDescent="0.25">
      <c r="A180" s="40">
        <v>46114</v>
      </c>
      <c r="B180" s="28">
        <v>1</v>
      </c>
      <c r="C180" s="34" t="s">
        <v>133</v>
      </c>
      <c r="D180" s="34" t="s">
        <v>126</v>
      </c>
      <c r="E180" s="34">
        <v>2</v>
      </c>
      <c r="F180" s="34">
        <v>9</v>
      </c>
      <c r="G180" s="34">
        <v>15</v>
      </c>
      <c r="H180" s="34">
        <v>21</v>
      </c>
      <c r="I180" s="34">
        <v>14</v>
      </c>
      <c r="J180" s="34">
        <v>21</v>
      </c>
      <c r="K180" s="34">
        <v>19</v>
      </c>
      <c r="L180" s="34">
        <v>17</v>
      </c>
      <c r="Q180" s="35">
        <f t="shared" si="3"/>
        <v>118</v>
      </c>
      <c r="R180" s="4" t="s">
        <v>140</v>
      </c>
    </row>
    <row r="181" spans="1:18" x14ac:dyDescent="0.25">
      <c r="A181" s="40">
        <v>46114</v>
      </c>
      <c r="B181" s="28">
        <v>1</v>
      </c>
      <c r="C181" s="34" t="s">
        <v>143</v>
      </c>
      <c r="D181" s="34" t="s">
        <v>144</v>
      </c>
      <c r="Q181" s="35">
        <f t="shared" si="3"/>
        <v>0</v>
      </c>
      <c r="R181" s="4" t="s">
        <v>140</v>
      </c>
    </row>
    <row r="182" spans="1:18" x14ac:dyDescent="0.25">
      <c r="A182" s="40">
        <v>46114</v>
      </c>
      <c r="B182" s="28">
        <v>1</v>
      </c>
      <c r="C182" s="34" t="s">
        <v>138</v>
      </c>
      <c r="D182" s="34" t="s">
        <v>212</v>
      </c>
      <c r="Q182" s="35">
        <f t="shared" si="3"/>
        <v>0</v>
      </c>
      <c r="R182" s="4" t="s">
        <v>140</v>
      </c>
    </row>
    <row r="183" spans="1:18" x14ac:dyDescent="0.25">
      <c r="A183" s="40">
        <v>46114</v>
      </c>
      <c r="B183" s="28">
        <v>1</v>
      </c>
      <c r="C183" s="34" t="s">
        <v>132</v>
      </c>
      <c r="D183" s="34" t="s">
        <v>125</v>
      </c>
      <c r="Q183" s="35">
        <f t="shared" si="3"/>
        <v>0</v>
      </c>
      <c r="R183" s="4" t="s">
        <v>140</v>
      </c>
    </row>
    <row r="184" spans="1:18" x14ac:dyDescent="0.25">
      <c r="A184" s="40">
        <v>46114</v>
      </c>
      <c r="B184" s="28">
        <v>1</v>
      </c>
      <c r="C184" s="34" t="s">
        <v>137</v>
      </c>
      <c r="D184" s="34" t="s">
        <v>130</v>
      </c>
      <c r="E184" s="34">
        <v>2</v>
      </c>
      <c r="F184" s="34">
        <v>9</v>
      </c>
      <c r="G184" s="34">
        <v>14</v>
      </c>
      <c r="H184" s="34">
        <v>22</v>
      </c>
      <c r="I184" s="34">
        <v>10</v>
      </c>
      <c r="J184" s="34">
        <v>18</v>
      </c>
      <c r="K184" s="34">
        <v>16</v>
      </c>
      <c r="L184" s="34">
        <v>16</v>
      </c>
      <c r="Q184" s="35">
        <f t="shared" si="3"/>
        <v>107</v>
      </c>
      <c r="R184" s="4" t="s">
        <v>140</v>
      </c>
    </row>
    <row r="185" spans="1:18" x14ac:dyDescent="0.25">
      <c r="A185" s="40">
        <v>46114</v>
      </c>
      <c r="B185" s="28">
        <v>1</v>
      </c>
      <c r="C185" s="34" t="s">
        <v>135</v>
      </c>
      <c r="D185" s="34" t="s">
        <v>128</v>
      </c>
      <c r="Q185" s="35">
        <f t="shared" si="3"/>
        <v>0</v>
      </c>
      <c r="R185" s="4" t="s">
        <v>140</v>
      </c>
    </row>
    <row r="186" spans="1:18" x14ac:dyDescent="0.25">
      <c r="A186" s="40">
        <v>46114</v>
      </c>
      <c r="B186" s="28">
        <v>1</v>
      </c>
      <c r="C186" s="34" t="s">
        <v>134</v>
      </c>
      <c r="D186" s="34" t="s">
        <v>127</v>
      </c>
      <c r="E186" s="34">
        <v>3</v>
      </c>
      <c r="F186" s="34">
        <v>18</v>
      </c>
      <c r="G186" s="34">
        <v>24</v>
      </c>
      <c r="H186" s="34">
        <v>23</v>
      </c>
      <c r="I186" s="34">
        <v>10</v>
      </c>
      <c r="J186" s="34">
        <v>26</v>
      </c>
      <c r="K186" s="34">
        <v>20</v>
      </c>
      <c r="L186" s="34">
        <v>11</v>
      </c>
      <c r="Q186" s="35">
        <f t="shared" si="3"/>
        <v>135</v>
      </c>
      <c r="R186" s="4" t="s">
        <v>140</v>
      </c>
    </row>
    <row r="187" spans="1:18" x14ac:dyDescent="0.25">
      <c r="A187" s="40">
        <v>46114</v>
      </c>
      <c r="B187" s="28">
        <v>1</v>
      </c>
      <c r="C187" s="34" t="s">
        <v>216</v>
      </c>
      <c r="D187" s="34" t="s">
        <v>215</v>
      </c>
      <c r="E187" s="34">
        <v>2</v>
      </c>
      <c r="F187" s="34">
        <v>8</v>
      </c>
      <c r="G187" s="34">
        <v>14</v>
      </c>
      <c r="H187" s="34">
        <v>16</v>
      </c>
      <c r="I187" s="34">
        <v>10</v>
      </c>
      <c r="J187" s="34">
        <v>18</v>
      </c>
      <c r="K187" s="34">
        <v>14</v>
      </c>
      <c r="L187" s="34">
        <v>13</v>
      </c>
      <c r="Q187" s="35">
        <f t="shared" si="3"/>
        <v>95</v>
      </c>
      <c r="R187" s="4" t="s">
        <v>140</v>
      </c>
    </row>
    <row r="188" spans="1:18" x14ac:dyDescent="0.25">
      <c r="Q188" s="35">
        <f t="shared" si="3"/>
        <v>0</v>
      </c>
    </row>
    <row r="189" spans="1:18" x14ac:dyDescent="0.25">
      <c r="A189" s="40">
        <v>46116</v>
      </c>
      <c r="B189" s="28">
        <v>1</v>
      </c>
      <c r="C189" s="34" t="s">
        <v>100</v>
      </c>
      <c r="D189" s="34" t="s">
        <v>114</v>
      </c>
      <c r="E189" s="34">
        <v>10</v>
      </c>
      <c r="F189" s="34">
        <v>23</v>
      </c>
      <c r="G189" s="34">
        <v>13</v>
      </c>
      <c r="H189" s="34">
        <v>18</v>
      </c>
      <c r="I189" s="34">
        <v>36</v>
      </c>
      <c r="J189" s="34">
        <v>28</v>
      </c>
      <c r="K189" s="34">
        <v>15</v>
      </c>
      <c r="L189" s="34">
        <v>26</v>
      </c>
      <c r="M189" s="34">
        <v>18</v>
      </c>
      <c r="N189" s="34">
        <v>30</v>
      </c>
      <c r="O189" s="34">
        <v>35</v>
      </c>
      <c r="P189" s="34">
        <v>28</v>
      </c>
      <c r="Q189" s="35">
        <f t="shared" si="3"/>
        <v>280</v>
      </c>
      <c r="R189" s="4" t="s">
        <v>22</v>
      </c>
    </row>
    <row r="190" spans="1:18" x14ac:dyDescent="0.25">
      <c r="A190" s="40">
        <v>46116</v>
      </c>
      <c r="B190" s="28">
        <v>1</v>
      </c>
      <c r="C190" s="34" t="s">
        <v>197</v>
      </c>
      <c r="D190" s="34" t="s">
        <v>114</v>
      </c>
      <c r="E190" s="34">
        <v>7</v>
      </c>
      <c r="F190" s="34">
        <v>17</v>
      </c>
      <c r="G190" s="34">
        <v>18</v>
      </c>
      <c r="H190" s="34">
        <v>15</v>
      </c>
      <c r="I190" s="34">
        <v>26</v>
      </c>
      <c r="J190" s="34">
        <v>21</v>
      </c>
      <c r="K190" s="34">
        <v>13</v>
      </c>
      <c r="L190" s="34">
        <v>23</v>
      </c>
      <c r="M190" s="34">
        <v>15</v>
      </c>
      <c r="N190" s="34">
        <v>27</v>
      </c>
      <c r="O190" s="34">
        <v>29</v>
      </c>
      <c r="P190" s="34">
        <v>19</v>
      </c>
      <c r="Q190" s="35">
        <f t="shared" si="3"/>
        <v>230</v>
      </c>
      <c r="R190" s="4" t="s">
        <v>22</v>
      </c>
    </row>
    <row r="191" spans="1:18" x14ac:dyDescent="0.25">
      <c r="A191" s="40">
        <v>46116</v>
      </c>
      <c r="B191" s="28">
        <v>1</v>
      </c>
      <c r="C191" s="34" t="s">
        <v>111</v>
      </c>
      <c r="D191" s="34" t="s">
        <v>124</v>
      </c>
      <c r="E191" s="34">
        <v>7</v>
      </c>
      <c r="F191" s="34">
        <v>18</v>
      </c>
      <c r="G191" s="34">
        <v>12</v>
      </c>
      <c r="H191" s="34">
        <v>1</v>
      </c>
      <c r="Q191" s="35">
        <f t="shared" si="3"/>
        <v>38</v>
      </c>
      <c r="R191" s="4" t="s">
        <v>22</v>
      </c>
    </row>
    <row r="192" spans="1:18" x14ac:dyDescent="0.25">
      <c r="A192" s="40">
        <v>46116</v>
      </c>
      <c r="B192" s="28">
        <v>1</v>
      </c>
      <c r="C192" s="34" t="s">
        <v>103</v>
      </c>
      <c r="D192" s="34" t="s">
        <v>115</v>
      </c>
      <c r="E192" s="34">
        <v>8</v>
      </c>
      <c r="F192" s="34">
        <v>18</v>
      </c>
      <c r="G192" s="34">
        <v>23</v>
      </c>
      <c r="H192" s="34">
        <v>16</v>
      </c>
      <c r="I192" s="34">
        <v>31</v>
      </c>
      <c r="J192" s="34">
        <v>21</v>
      </c>
      <c r="K192" s="34">
        <v>8</v>
      </c>
      <c r="L192" s="34">
        <v>16</v>
      </c>
      <c r="M192" s="34">
        <v>16</v>
      </c>
      <c r="N192" s="34">
        <v>22</v>
      </c>
      <c r="O192" s="34">
        <v>30</v>
      </c>
      <c r="P192" s="34">
        <v>21</v>
      </c>
      <c r="Q192" s="35">
        <f t="shared" ref="Q192:Q240" si="4">SUM(E192:P192)</f>
        <v>230</v>
      </c>
      <c r="R192" s="4" t="s">
        <v>22</v>
      </c>
    </row>
    <row r="193" spans="1:18" x14ac:dyDescent="0.25">
      <c r="A193" s="40">
        <v>46116</v>
      </c>
      <c r="B193" s="28">
        <v>1</v>
      </c>
      <c r="C193" s="34" t="s">
        <v>102</v>
      </c>
      <c r="D193" s="34" t="s">
        <v>116</v>
      </c>
      <c r="E193" s="34">
        <v>8</v>
      </c>
      <c r="F193" s="34">
        <v>21</v>
      </c>
      <c r="G193" s="34">
        <v>21</v>
      </c>
      <c r="H193" s="34">
        <v>15</v>
      </c>
      <c r="I193" s="34">
        <v>16</v>
      </c>
      <c r="J193" s="34">
        <v>16</v>
      </c>
      <c r="K193" s="34">
        <v>6</v>
      </c>
      <c r="L193" s="34">
        <v>17</v>
      </c>
      <c r="M193" s="34">
        <v>10</v>
      </c>
      <c r="N193" s="34">
        <v>23</v>
      </c>
      <c r="O193" s="34">
        <v>19</v>
      </c>
      <c r="P193" s="34">
        <v>16</v>
      </c>
      <c r="Q193" s="35">
        <f t="shared" si="4"/>
        <v>188</v>
      </c>
      <c r="R193" s="4" t="s">
        <v>22</v>
      </c>
    </row>
    <row r="194" spans="1:18" x14ac:dyDescent="0.25">
      <c r="A194" s="40">
        <v>46116</v>
      </c>
      <c r="B194" s="28">
        <v>1</v>
      </c>
      <c r="C194" s="34" t="s">
        <v>104</v>
      </c>
      <c r="D194" s="34" t="s">
        <v>117</v>
      </c>
      <c r="E194" s="34">
        <v>5</v>
      </c>
      <c r="F194" s="34">
        <v>19</v>
      </c>
      <c r="G194" s="34">
        <v>20</v>
      </c>
      <c r="H194" s="34">
        <v>14</v>
      </c>
      <c r="I194" s="34">
        <v>18</v>
      </c>
      <c r="J194" s="34">
        <v>19</v>
      </c>
      <c r="K194" s="34">
        <v>8</v>
      </c>
      <c r="L194" s="34">
        <v>16</v>
      </c>
      <c r="M194" s="34">
        <v>18</v>
      </c>
      <c r="N194" s="34">
        <v>16</v>
      </c>
      <c r="O194" s="34">
        <v>19</v>
      </c>
      <c r="P194" s="34">
        <v>18</v>
      </c>
      <c r="Q194" s="35">
        <f t="shared" si="4"/>
        <v>190</v>
      </c>
      <c r="R194" s="4" t="s">
        <v>22</v>
      </c>
    </row>
    <row r="195" spans="1:18" x14ac:dyDescent="0.25">
      <c r="A195" s="40">
        <v>46116</v>
      </c>
      <c r="B195" s="28">
        <v>1</v>
      </c>
      <c r="C195" s="34" t="s">
        <v>105</v>
      </c>
      <c r="D195" s="34" t="s">
        <v>118</v>
      </c>
      <c r="Q195" s="35">
        <f t="shared" si="4"/>
        <v>0</v>
      </c>
      <c r="R195" s="4" t="s">
        <v>22</v>
      </c>
    </row>
    <row r="196" spans="1:18" x14ac:dyDescent="0.25">
      <c r="A196" s="40">
        <v>46116</v>
      </c>
      <c r="B196" s="28">
        <v>1</v>
      </c>
      <c r="C196" s="34" t="s">
        <v>112</v>
      </c>
      <c r="D196" s="34" t="s">
        <v>119</v>
      </c>
      <c r="Q196" s="35">
        <f t="shared" si="4"/>
        <v>0</v>
      </c>
      <c r="R196" s="4" t="s">
        <v>22</v>
      </c>
    </row>
    <row r="197" spans="1:18" x14ac:dyDescent="0.25">
      <c r="A197" s="40">
        <v>46116</v>
      </c>
      <c r="B197" s="28">
        <v>1</v>
      </c>
      <c r="C197" s="34" t="s">
        <v>106</v>
      </c>
      <c r="D197" s="34" t="s">
        <v>119</v>
      </c>
      <c r="E197" s="34">
        <v>6</v>
      </c>
      <c r="F197" s="34">
        <v>18</v>
      </c>
      <c r="G197" s="34">
        <v>11</v>
      </c>
      <c r="H197" s="34">
        <v>12</v>
      </c>
      <c r="I197" s="34">
        <v>17</v>
      </c>
      <c r="J197" s="34">
        <v>19</v>
      </c>
      <c r="K197" s="34">
        <v>10</v>
      </c>
      <c r="L197" s="34">
        <v>15</v>
      </c>
      <c r="M197" s="34">
        <v>14</v>
      </c>
      <c r="N197" s="34">
        <v>18</v>
      </c>
      <c r="O197" s="34">
        <v>20</v>
      </c>
      <c r="P197" s="34">
        <v>20</v>
      </c>
      <c r="Q197" s="35">
        <f t="shared" si="4"/>
        <v>180</v>
      </c>
      <c r="R197" s="4" t="s">
        <v>22</v>
      </c>
    </row>
    <row r="198" spans="1:18" x14ac:dyDescent="0.25">
      <c r="A198" s="40">
        <v>46116</v>
      </c>
      <c r="B198" s="28">
        <v>1</v>
      </c>
      <c r="C198" s="34" t="s">
        <v>107</v>
      </c>
      <c r="D198" s="34" t="s">
        <v>120</v>
      </c>
      <c r="E198" s="34">
        <v>8</v>
      </c>
      <c r="F198" s="34">
        <v>12</v>
      </c>
      <c r="G198" s="34">
        <v>12</v>
      </c>
      <c r="H198" s="34">
        <v>13</v>
      </c>
      <c r="I198" s="34">
        <v>18</v>
      </c>
      <c r="J198" s="34">
        <v>18</v>
      </c>
      <c r="K198" s="34">
        <v>7</v>
      </c>
      <c r="L198" s="34">
        <v>13</v>
      </c>
      <c r="M198" s="34">
        <v>7</v>
      </c>
      <c r="N198" s="34">
        <v>18</v>
      </c>
      <c r="O198" s="34">
        <v>22</v>
      </c>
      <c r="P198" s="34">
        <v>17</v>
      </c>
      <c r="Q198" s="35">
        <f t="shared" si="4"/>
        <v>165</v>
      </c>
      <c r="R198" s="4" t="s">
        <v>22</v>
      </c>
    </row>
    <row r="199" spans="1:18" x14ac:dyDescent="0.25">
      <c r="A199" s="40">
        <v>46116</v>
      </c>
      <c r="B199" s="28">
        <v>1</v>
      </c>
      <c r="C199" s="34" t="s">
        <v>101</v>
      </c>
      <c r="D199" s="34" t="s">
        <v>113</v>
      </c>
      <c r="E199" s="34">
        <v>8</v>
      </c>
      <c r="F199" s="34">
        <v>25</v>
      </c>
      <c r="G199" s="34">
        <v>22</v>
      </c>
      <c r="H199" s="34">
        <v>14</v>
      </c>
      <c r="I199" s="34">
        <v>23</v>
      </c>
      <c r="J199" s="34">
        <v>19</v>
      </c>
      <c r="K199" s="34">
        <v>10</v>
      </c>
      <c r="L199" s="34">
        <v>19</v>
      </c>
      <c r="M199" s="34">
        <v>17</v>
      </c>
      <c r="N199" s="34">
        <v>22</v>
      </c>
      <c r="O199" s="34">
        <v>27</v>
      </c>
      <c r="P199" s="34">
        <v>22</v>
      </c>
      <c r="Q199" s="35">
        <f t="shared" si="4"/>
        <v>228</v>
      </c>
      <c r="R199" s="4" t="s">
        <v>22</v>
      </c>
    </row>
    <row r="200" spans="1:18" x14ac:dyDescent="0.25">
      <c r="A200" s="40">
        <v>46116</v>
      </c>
      <c r="B200" s="28">
        <v>1</v>
      </c>
      <c r="C200" s="34" t="s">
        <v>108</v>
      </c>
      <c r="D200" s="34" t="s">
        <v>121</v>
      </c>
      <c r="E200" s="34">
        <v>9</v>
      </c>
      <c r="F200" s="34">
        <v>20</v>
      </c>
      <c r="G200" s="34">
        <v>17</v>
      </c>
      <c r="H200" s="34">
        <v>11</v>
      </c>
      <c r="I200" s="34">
        <v>15</v>
      </c>
      <c r="J200" s="34">
        <v>16</v>
      </c>
      <c r="K200" s="34">
        <v>8</v>
      </c>
      <c r="L200" s="34">
        <v>15</v>
      </c>
      <c r="M200" s="34">
        <v>9</v>
      </c>
      <c r="N200" s="34">
        <v>23</v>
      </c>
      <c r="O200" s="34">
        <v>16</v>
      </c>
      <c r="P200" s="34">
        <v>15</v>
      </c>
      <c r="Q200" s="35">
        <f t="shared" si="4"/>
        <v>174</v>
      </c>
      <c r="R200" s="4" t="s">
        <v>22</v>
      </c>
    </row>
    <row r="201" spans="1:18" x14ac:dyDescent="0.25">
      <c r="A201" s="40">
        <v>46116</v>
      </c>
      <c r="B201" s="28">
        <v>1</v>
      </c>
      <c r="C201" s="34" t="s">
        <v>110</v>
      </c>
      <c r="D201" s="34" t="s">
        <v>123</v>
      </c>
      <c r="E201" s="34">
        <v>8</v>
      </c>
      <c r="F201" s="34">
        <v>28</v>
      </c>
      <c r="G201" s="34">
        <v>26</v>
      </c>
      <c r="H201" s="34">
        <v>16</v>
      </c>
      <c r="I201" s="34">
        <v>22</v>
      </c>
      <c r="J201" s="34">
        <v>26</v>
      </c>
      <c r="K201" s="34">
        <v>11</v>
      </c>
      <c r="L201" s="34">
        <v>22</v>
      </c>
      <c r="M201" s="34">
        <v>15</v>
      </c>
      <c r="N201" s="34">
        <v>23</v>
      </c>
      <c r="O201" s="34">
        <v>26</v>
      </c>
      <c r="P201" s="34">
        <v>19</v>
      </c>
      <c r="Q201" s="35">
        <f t="shared" si="4"/>
        <v>242</v>
      </c>
      <c r="R201" s="4" t="s">
        <v>22</v>
      </c>
    </row>
    <row r="202" spans="1:18" x14ac:dyDescent="0.25">
      <c r="A202" s="40">
        <v>46116</v>
      </c>
      <c r="B202" s="28">
        <v>1</v>
      </c>
      <c r="C202" s="34" t="s">
        <v>109</v>
      </c>
      <c r="D202" s="34" t="s">
        <v>122</v>
      </c>
      <c r="Q202" s="35">
        <f t="shared" si="4"/>
        <v>0</v>
      </c>
      <c r="R202" s="4" t="s">
        <v>22</v>
      </c>
    </row>
    <row r="203" spans="1:18" x14ac:dyDescent="0.25">
      <c r="A203" s="40">
        <v>46116</v>
      </c>
      <c r="B203" s="28">
        <v>1</v>
      </c>
      <c r="C203" s="34" t="s">
        <v>272</v>
      </c>
      <c r="D203" s="34" t="s">
        <v>273</v>
      </c>
      <c r="E203" s="34">
        <v>5</v>
      </c>
      <c r="F203" s="34">
        <v>15</v>
      </c>
      <c r="G203" s="34">
        <v>12</v>
      </c>
      <c r="H203" s="34">
        <v>6</v>
      </c>
      <c r="I203" s="34">
        <v>12</v>
      </c>
      <c r="J203" s="34">
        <v>12</v>
      </c>
      <c r="K203" s="34">
        <v>4</v>
      </c>
      <c r="L203" s="34">
        <v>13</v>
      </c>
      <c r="M203" s="34">
        <v>10</v>
      </c>
      <c r="N203" s="34">
        <v>16</v>
      </c>
      <c r="O203" s="34">
        <v>15</v>
      </c>
      <c r="P203" s="34">
        <v>12</v>
      </c>
      <c r="Q203" s="35">
        <f t="shared" si="4"/>
        <v>132</v>
      </c>
      <c r="R203" s="4" t="s">
        <v>22</v>
      </c>
    </row>
    <row r="204" spans="1:18" x14ac:dyDescent="0.25">
      <c r="A204" s="40">
        <v>46116</v>
      </c>
      <c r="B204" s="28">
        <v>1</v>
      </c>
      <c r="C204" s="34" t="s">
        <v>141</v>
      </c>
      <c r="D204" s="34" t="s">
        <v>142</v>
      </c>
      <c r="Q204" s="35">
        <f t="shared" si="4"/>
        <v>0</v>
      </c>
      <c r="R204" s="4" t="s">
        <v>140</v>
      </c>
    </row>
    <row r="205" spans="1:18" x14ac:dyDescent="0.25">
      <c r="A205" s="40">
        <v>46116</v>
      </c>
      <c r="B205" s="28">
        <v>1</v>
      </c>
      <c r="C205" s="34" t="s">
        <v>136</v>
      </c>
      <c r="D205" s="34" t="s">
        <v>129</v>
      </c>
      <c r="E205" s="34">
        <v>8</v>
      </c>
      <c r="F205" s="34">
        <v>21</v>
      </c>
      <c r="G205" s="34">
        <v>20</v>
      </c>
      <c r="H205" s="34">
        <v>14</v>
      </c>
      <c r="I205" s="34">
        <v>21</v>
      </c>
      <c r="J205" s="34">
        <v>22</v>
      </c>
      <c r="K205" s="34">
        <v>12</v>
      </c>
      <c r="L205" s="34">
        <v>19</v>
      </c>
      <c r="M205" s="34">
        <v>13</v>
      </c>
      <c r="N205" s="34">
        <v>25</v>
      </c>
      <c r="O205" s="34">
        <v>25</v>
      </c>
      <c r="P205" s="34">
        <v>22</v>
      </c>
      <c r="Q205" s="35">
        <f t="shared" si="4"/>
        <v>222</v>
      </c>
      <c r="R205" s="4" t="s">
        <v>140</v>
      </c>
    </row>
    <row r="206" spans="1:18" x14ac:dyDescent="0.25">
      <c r="A206" s="40">
        <v>46116</v>
      </c>
      <c r="B206" s="28">
        <v>1</v>
      </c>
      <c r="C206" s="34" t="s">
        <v>133</v>
      </c>
      <c r="D206" s="34" t="s">
        <v>126</v>
      </c>
      <c r="Q206" s="35">
        <f t="shared" si="4"/>
        <v>0</v>
      </c>
      <c r="R206" s="4" t="s">
        <v>140</v>
      </c>
    </row>
    <row r="207" spans="1:18" x14ac:dyDescent="0.25">
      <c r="A207" s="40">
        <v>46116</v>
      </c>
      <c r="B207" s="28">
        <v>1</v>
      </c>
      <c r="C207" s="34" t="s">
        <v>143</v>
      </c>
      <c r="D207" s="34" t="s">
        <v>144</v>
      </c>
      <c r="Q207" s="35">
        <f t="shared" si="4"/>
        <v>0</v>
      </c>
      <c r="R207" s="4" t="s">
        <v>140</v>
      </c>
    </row>
    <row r="208" spans="1:18" x14ac:dyDescent="0.25">
      <c r="A208" s="40">
        <v>46116</v>
      </c>
      <c r="B208" s="28">
        <v>1</v>
      </c>
      <c r="C208" s="34" t="s">
        <v>138</v>
      </c>
      <c r="D208" s="34" t="s">
        <v>212</v>
      </c>
      <c r="E208" s="34">
        <v>6</v>
      </c>
      <c r="F208" s="34">
        <v>23</v>
      </c>
      <c r="G208" s="34">
        <v>21</v>
      </c>
      <c r="H208" s="34">
        <v>16</v>
      </c>
      <c r="I208" s="34">
        <v>22</v>
      </c>
      <c r="J208" s="34">
        <v>22</v>
      </c>
      <c r="K208" s="34">
        <v>12</v>
      </c>
      <c r="L208" s="34">
        <v>19</v>
      </c>
      <c r="M208" s="34">
        <v>17</v>
      </c>
      <c r="N208" s="34">
        <v>22</v>
      </c>
      <c r="O208" s="34">
        <v>21</v>
      </c>
      <c r="P208" s="34">
        <v>20</v>
      </c>
      <c r="Q208" s="35">
        <f t="shared" si="4"/>
        <v>221</v>
      </c>
      <c r="R208" s="4" t="s">
        <v>140</v>
      </c>
    </row>
    <row r="209" spans="1:18" x14ac:dyDescent="0.25">
      <c r="A209" s="40">
        <v>46116</v>
      </c>
      <c r="B209" s="28">
        <v>1</v>
      </c>
      <c r="C209" s="34" t="s">
        <v>132</v>
      </c>
      <c r="D209" s="34" t="s">
        <v>125</v>
      </c>
      <c r="E209" s="34">
        <v>9</v>
      </c>
      <c r="F209" s="34">
        <v>26</v>
      </c>
      <c r="G209" s="34">
        <v>13</v>
      </c>
      <c r="H209" s="34">
        <v>9</v>
      </c>
      <c r="I209" s="34">
        <v>18</v>
      </c>
      <c r="J209" s="34">
        <v>20</v>
      </c>
      <c r="K209" s="34">
        <v>8</v>
      </c>
      <c r="L209" s="34">
        <v>17</v>
      </c>
      <c r="M209" s="34">
        <v>11</v>
      </c>
      <c r="N209" s="34">
        <v>24</v>
      </c>
      <c r="O209" s="34">
        <v>23</v>
      </c>
      <c r="P209" s="34">
        <v>19</v>
      </c>
      <c r="Q209" s="35">
        <f t="shared" si="4"/>
        <v>197</v>
      </c>
      <c r="R209" s="4" t="s">
        <v>140</v>
      </c>
    </row>
    <row r="210" spans="1:18" x14ac:dyDescent="0.25">
      <c r="A210" s="40">
        <v>46116</v>
      </c>
      <c r="B210" s="28">
        <v>1</v>
      </c>
      <c r="C210" s="34" t="s">
        <v>137</v>
      </c>
      <c r="D210" s="34" t="s">
        <v>130</v>
      </c>
      <c r="Q210" s="35">
        <f t="shared" si="4"/>
        <v>0</v>
      </c>
      <c r="R210" s="4" t="s">
        <v>140</v>
      </c>
    </row>
    <row r="211" spans="1:18" x14ac:dyDescent="0.25">
      <c r="A211" s="40">
        <v>46116</v>
      </c>
      <c r="B211" s="28">
        <v>1</v>
      </c>
      <c r="C211" s="34" t="s">
        <v>135</v>
      </c>
      <c r="D211" s="34" t="s">
        <v>128</v>
      </c>
      <c r="E211" s="34">
        <v>7</v>
      </c>
      <c r="F211" s="34">
        <v>16</v>
      </c>
      <c r="G211" s="34">
        <v>12</v>
      </c>
      <c r="H211" s="34">
        <v>11</v>
      </c>
      <c r="I211" s="34">
        <v>18</v>
      </c>
      <c r="J211" s="34">
        <v>19</v>
      </c>
      <c r="K211" s="34">
        <v>6</v>
      </c>
      <c r="L211" s="34">
        <v>15</v>
      </c>
      <c r="M211" s="34">
        <v>7</v>
      </c>
      <c r="N211" s="34">
        <v>20</v>
      </c>
      <c r="O211" s="34">
        <v>22</v>
      </c>
      <c r="Q211" s="35">
        <f t="shared" si="4"/>
        <v>153</v>
      </c>
      <c r="R211" s="4" t="s">
        <v>140</v>
      </c>
    </row>
    <row r="212" spans="1:18" x14ac:dyDescent="0.25">
      <c r="A212" s="40">
        <v>46116</v>
      </c>
      <c r="B212" s="28">
        <v>1</v>
      </c>
      <c r="C212" s="34" t="s">
        <v>134</v>
      </c>
      <c r="D212" s="34" t="s">
        <v>127</v>
      </c>
      <c r="E212" s="34">
        <v>4</v>
      </c>
      <c r="F212" s="34">
        <v>18</v>
      </c>
      <c r="G212" s="34">
        <v>13</v>
      </c>
      <c r="H212" s="34">
        <v>15</v>
      </c>
      <c r="I212" s="34">
        <v>21</v>
      </c>
      <c r="J212" s="34">
        <v>22</v>
      </c>
      <c r="K212" s="34">
        <v>9</v>
      </c>
      <c r="L212" s="34">
        <v>17</v>
      </c>
      <c r="M212" s="34">
        <v>13</v>
      </c>
      <c r="N212" s="34">
        <v>23</v>
      </c>
      <c r="O212" s="34">
        <v>25</v>
      </c>
      <c r="P212" s="34">
        <v>20</v>
      </c>
      <c r="Q212" s="35">
        <f t="shared" si="4"/>
        <v>200</v>
      </c>
      <c r="R212" s="4" t="s">
        <v>140</v>
      </c>
    </row>
    <row r="213" spans="1:18" x14ac:dyDescent="0.25">
      <c r="A213" s="40">
        <v>46116</v>
      </c>
      <c r="B213" s="28">
        <v>1</v>
      </c>
      <c r="C213" s="34" t="s">
        <v>216</v>
      </c>
      <c r="D213" s="34" t="s">
        <v>215</v>
      </c>
      <c r="E213" s="34">
        <v>5</v>
      </c>
      <c r="F213" s="34">
        <v>15</v>
      </c>
      <c r="G213" s="34">
        <v>14</v>
      </c>
      <c r="H213" s="34">
        <v>11</v>
      </c>
      <c r="I213" s="34">
        <v>18</v>
      </c>
      <c r="J213" s="34">
        <v>17</v>
      </c>
      <c r="K213" s="34">
        <v>9</v>
      </c>
      <c r="L213" s="34">
        <v>17</v>
      </c>
      <c r="M213" s="34">
        <v>12</v>
      </c>
      <c r="N213" s="34">
        <v>19</v>
      </c>
      <c r="O213" s="34">
        <v>22</v>
      </c>
      <c r="P213" s="34">
        <v>16</v>
      </c>
      <c r="Q213" s="35">
        <f t="shared" si="4"/>
        <v>175</v>
      </c>
      <c r="R213" s="4" t="s">
        <v>140</v>
      </c>
    </row>
    <row r="214" spans="1:18" x14ac:dyDescent="0.25">
      <c r="A214" s="40"/>
      <c r="Q214" s="35">
        <f t="shared" si="4"/>
        <v>0</v>
      </c>
    </row>
    <row r="215" spans="1:18" x14ac:dyDescent="0.25">
      <c r="A215" s="40">
        <v>46118</v>
      </c>
      <c r="B215" s="28">
        <v>1</v>
      </c>
      <c r="C215" s="34" t="s">
        <v>100</v>
      </c>
      <c r="D215" s="34" t="s">
        <v>114</v>
      </c>
      <c r="E215" s="34">
        <v>4</v>
      </c>
      <c r="F215" s="34">
        <v>14</v>
      </c>
      <c r="G215" s="34">
        <v>26</v>
      </c>
      <c r="H215" s="34">
        <v>9</v>
      </c>
      <c r="I215" s="34">
        <v>1</v>
      </c>
      <c r="J215" s="34">
        <v>12</v>
      </c>
      <c r="K215" s="34">
        <v>6</v>
      </c>
      <c r="L215" s="34">
        <v>14</v>
      </c>
      <c r="M215" s="34">
        <v>14</v>
      </c>
      <c r="Q215" s="35">
        <f t="shared" si="4"/>
        <v>100</v>
      </c>
      <c r="R215" s="4" t="s">
        <v>22</v>
      </c>
    </row>
    <row r="216" spans="1:18" x14ac:dyDescent="0.25">
      <c r="A216" s="40">
        <v>46118</v>
      </c>
      <c r="B216" s="28">
        <v>1</v>
      </c>
      <c r="C216" s="34" t="s">
        <v>197</v>
      </c>
      <c r="D216" s="34" t="s">
        <v>114</v>
      </c>
      <c r="E216" s="34">
        <v>14</v>
      </c>
      <c r="F216" s="34">
        <v>21</v>
      </c>
      <c r="G216" s="34">
        <v>19</v>
      </c>
      <c r="H216" s="34">
        <v>6</v>
      </c>
      <c r="I216" s="34">
        <v>1</v>
      </c>
      <c r="J216" s="34">
        <v>9</v>
      </c>
      <c r="K216" s="34">
        <v>7</v>
      </c>
      <c r="L216" s="34">
        <v>15</v>
      </c>
      <c r="M216" s="34">
        <v>23</v>
      </c>
      <c r="N216" s="34">
        <v>15</v>
      </c>
      <c r="O216" s="34">
        <v>20</v>
      </c>
      <c r="Q216" s="35">
        <f t="shared" si="4"/>
        <v>150</v>
      </c>
      <c r="R216" s="4" t="s">
        <v>22</v>
      </c>
    </row>
    <row r="217" spans="1:18" x14ac:dyDescent="0.25">
      <c r="A217" s="40">
        <v>46118</v>
      </c>
      <c r="B217" s="28">
        <v>1</v>
      </c>
      <c r="C217" s="34" t="s">
        <v>111</v>
      </c>
      <c r="D217" s="34" t="s">
        <v>124</v>
      </c>
      <c r="E217" s="34">
        <v>8</v>
      </c>
      <c r="F217" s="34">
        <v>17</v>
      </c>
      <c r="G217" s="34">
        <v>15</v>
      </c>
      <c r="H217" s="34">
        <v>8</v>
      </c>
      <c r="J217" s="34">
        <v>10</v>
      </c>
      <c r="K217" s="34">
        <v>8</v>
      </c>
      <c r="L217" s="34">
        <v>13</v>
      </c>
      <c r="M217" s="34">
        <v>19</v>
      </c>
      <c r="N217" s="34">
        <v>14</v>
      </c>
      <c r="O217" s="34">
        <v>18</v>
      </c>
      <c r="P217" s="34">
        <v>7</v>
      </c>
      <c r="Q217" s="35">
        <f t="shared" si="4"/>
        <v>137</v>
      </c>
      <c r="R217" s="4" t="s">
        <v>22</v>
      </c>
    </row>
    <row r="218" spans="1:18" x14ac:dyDescent="0.25">
      <c r="A218" s="40">
        <v>46118</v>
      </c>
      <c r="B218" s="28">
        <v>1</v>
      </c>
      <c r="C218" s="34" t="s">
        <v>103</v>
      </c>
      <c r="D218" s="34" t="s">
        <v>115</v>
      </c>
      <c r="E218" s="34">
        <v>13</v>
      </c>
      <c r="F218" s="34">
        <v>14</v>
      </c>
      <c r="G218" s="34">
        <v>14</v>
      </c>
      <c r="H218" s="34">
        <v>9</v>
      </c>
      <c r="I218" s="34">
        <v>2</v>
      </c>
      <c r="J218" s="34">
        <v>14</v>
      </c>
      <c r="K218" s="34">
        <v>11</v>
      </c>
      <c r="L218" s="34">
        <v>12</v>
      </c>
      <c r="M218" s="34">
        <v>22</v>
      </c>
      <c r="N218" s="34">
        <v>25</v>
      </c>
      <c r="O218" s="34">
        <v>24</v>
      </c>
      <c r="P218" s="34">
        <v>10</v>
      </c>
      <c r="Q218" s="35">
        <f t="shared" ref="Q218:Q239" si="5">SUM(E218:P218)</f>
        <v>170</v>
      </c>
      <c r="R218" s="4" t="s">
        <v>22</v>
      </c>
    </row>
    <row r="219" spans="1:18" x14ac:dyDescent="0.25">
      <c r="A219" s="40">
        <v>46118</v>
      </c>
      <c r="B219" s="28">
        <v>1</v>
      </c>
      <c r="C219" s="34" t="s">
        <v>102</v>
      </c>
      <c r="D219" s="34" t="s">
        <v>116</v>
      </c>
      <c r="E219" s="34">
        <v>6</v>
      </c>
      <c r="F219" s="34">
        <v>16</v>
      </c>
      <c r="G219" s="34">
        <v>16</v>
      </c>
      <c r="H219" s="34">
        <v>10</v>
      </c>
      <c r="I219" s="34">
        <v>2</v>
      </c>
      <c r="J219" s="34">
        <v>13</v>
      </c>
      <c r="K219" s="34">
        <v>6</v>
      </c>
      <c r="L219" s="34">
        <v>15</v>
      </c>
      <c r="M219" s="34">
        <v>18</v>
      </c>
      <c r="N219" s="34">
        <v>23</v>
      </c>
      <c r="O219" s="34">
        <v>21</v>
      </c>
      <c r="P219" s="34">
        <v>7</v>
      </c>
      <c r="Q219" s="35">
        <f t="shared" si="5"/>
        <v>153</v>
      </c>
      <c r="R219" s="4" t="s">
        <v>22</v>
      </c>
    </row>
    <row r="220" spans="1:18" x14ac:dyDescent="0.25">
      <c r="A220" s="40">
        <v>46118</v>
      </c>
      <c r="B220" s="28">
        <v>1</v>
      </c>
      <c r="C220" s="34" t="s">
        <v>104</v>
      </c>
      <c r="D220" s="34" t="s">
        <v>117</v>
      </c>
      <c r="E220" s="34">
        <v>8</v>
      </c>
      <c r="F220" s="34">
        <v>14</v>
      </c>
      <c r="G220" s="34">
        <v>12</v>
      </c>
      <c r="H220" s="34">
        <v>7</v>
      </c>
      <c r="I220" s="34">
        <v>1</v>
      </c>
      <c r="J220" s="34">
        <v>13</v>
      </c>
      <c r="K220" s="34">
        <v>10</v>
      </c>
      <c r="L220" s="34">
        <v>12</v>
      </c>
      <c r="M220" s="34">
        <v>19</v>
      </c>
      <c r="N220" s="34">
        <v>18</v>
      </c>
      <c r="O220" s="34">
        <v>17</v>
      </c>
      <c r="P220" s="34">
        <v>10</v>
      </c>
      <c r="Q220" s="35">
        <f t="shared" si="5"/>
        <v>141</v>
      </c>
      <c r="R220" s="4" t="s">
        <v>22</v>
      </c>
    </row>
    <row r="221" spans="1:18" x14ac:dyDescent="0.25">
      <c r="A221" s="40">
        <v>46118</v>
      </c>
      <c r="B221" s="28">
        <v>1</v>
      </c>
      <c r="C221" s="34" t="s">
        <v>105</v>
      </c>
      <c r="D221" s="34" t="s">
        <v>118</v>
      </c>
      <c r="E221" s="34">
        <v>5</v>
      </c>
      <c r="F221" s="34">
        <v>11</v>
      </c>
      <c r="G221" s="34">
        <v>25</v>
      </c>
      <c r="H221" s="34">
        <v>9</v>
      </c>
      <c r="I221" s="34">
        <v>2</v>
      </c>
      <c r="J221" s="34">
        <v>9</v>
      </c>
      <c r="K221" s="34">
        <v>7</v>
      </c>
      <c r="L221" s="34">
        <v>16</v>
      </c>
      <c r="M221" s="34">
        <v>24</v>
      </c>
      <c r="N221" s="34">
        <v>16</v>
      </c>
      <c r="O221" s="34">
        <v>26</v>
      </c>
      <c r="P221" s="34">
        <v>9</v>
      </c>
      <c r="Q221" s="35">
        <f t="shared" si="5"/>
        <v>159</v>
      </c>
      <c r="R221" s="4" t="s">
        <v>22</v>
      </c>
    </row>
    <row r="222" spans="1:18" x14ac:dyDescent="0.25">
      <c r="A222" s="40">
        <v>46118</v>
      </c>
      <c r="B222" s="28">
        <v>1</v>
      </c>
      <c r="C222" s="34" t="s">
        <v>112</v>
      </c>
      <c r="D222" s="34" t="s">
        <v>119</v>
      </c>
      <c r="Q222" s="35">
        <f t="shared" si="5"/>
        <v>0</v>
      </c>
      <c r="R222" s="4" t="s">
        <v>22</v>
      </c>
    </row>
    <row r="223" spans="1:18" x14ac:dyDescent="0.25">
      <c r="A223" s="40">
        <v>46118</v>
      </c>
      <c r="B223" s="28">
        <v>1</v>
      </c>
      <c r="C223" s="34" t="s">
        <v>106</v>
      </c>
      <c r="D223" s="34" t="s">
        <v>119</v>
      </c>
      <c r="Q223" s="35">
        <f t="shared" si="5"/>
        <v>0</v>
      </c>
      <c r="R223" s="4" t="s">
        <v>22</v>
      </c>
    </row>
    <row r="224" spans="1:18" x14ac:dyDescent="0.25">
      <c r="A224" s="40">
        <v>46118</v>
      </c>
      <c r="B224" s="28">
        <v>1</v>
      </c>
      <c r="C224" s="34" t="s">
        <v>107</v>
      </c>
      <c r="D224" s="34" t="s">
        <v>120</v>
      </c>
      <c r="E224" s="34">
        <v>8</v>
      </c>
      <c r="F224" s="34">
        <v>18</v>
      </c>
      <c r="G224" s="34">
        <v>20</v>
      </c>
      <c r="H224" s="34">
        <v>6</v>
      </c>
      <c r="I224" s="34">
        <v>1</v>
      </c>
      <c r="J224" s="34">
        <v>16</v>
      </c>
      <c r="K224" s="34">
        <v>13</v>
      </c>
      <c r="L224" s="34">
        <v>17</v>
      </c>
      <c r="M224" s="34">
        <v>27</v>
      </c>
      <c r="N224" s="34">
        <v>21</v>
      </c>
      <c r="O224" s="34">
        <v>27</v>
      </c>
      <c r="P224" s="34">
        <v>12</v>
      </c>
      <c r="Q224" s="35">
        <f t="shared" si="5"/>
        <v>186</v>
      </c>
      <c r="R224" s="4" t="s">
        <v>22</v>
      </c>
    </row>
    <row r="225" spans="1:22" x14ac:dyDescent="0.25">
      <c r="A225" s="40">
        <v>46118</v>
      </c>
      <c r="B225" s="28">
        <v>1</v>
      </c>
      <c r="C225" s="34" t="s">
        <v>101</v>
      </c>
      <c r="D225" s="34" t="s">
        <v>113</v>
      </c>
      <c r="E225" s="34">
        <v>8</v>
      </c>
      <c r="F225" s="34">
        <v>18</v>
      </c>
      <c r="G225" s="34">
        <v>21</v>
      </c>
      <c r="H225" s="34">
        <v>8</v>
      </c>
      <c r="I225" s="34">
        <v>1</v>
      </c>
      <c r="J225" s="34">
        <v>12</v>
      </c>
      <c r="K225" s="34">
        <v>10</v>
      </c>
      <c r="L225" s="34">
        <v>19</v>
      </c>
      <c r="M225" s="34">
        <v>28</v>
      </c>
      <c r="N225" s="34">
        <v>22</v>
      </c>
      <c r="O225" s="34">
        <v>23</v>
      </c>
      <c r="P225" s="34">
        <v>8</v>
      </c>
      <c r="Q225" s="35">
        <f t="shared" si="5"/>
        <v>178</v>
      </c>
      <c r="R225" s="4" t="s">
        <v>22</v>
      </c>
    </row>
    <row r="226" spans="1:22" x14ac:dyDescent="0.25">
      <c r="A226" s="40">
        <v>46118</v>
      </c>
      <c r="B226" s="28">
        <v>1</v>
      </c>
      <c r="C226" s="34" t="s">
        <v>108</v>
      </c>
      <c r="D226" s="34" t="s">
        <v>121</v>
      </c>
      <c r="E226" s="34">
        <v>9</v>
      </c>
      <c r="F226" s="34">
        <v>17</v>
      </c>
      <c r="G226" s="34">
        <v>20</v>
      </c>
      <c r="H226" s="34">
        <v>7</v>
      </c>
      <c r="J226" s="34">
        <v>11</v>
      </c>
      <c r="K226" s="34">
        <v>8</v>
      </c>
      <c r="L226" s="34">
        <v>17</v>
      </c>
      <c r="M226" s="34">
        <v>18</v>
      </c>
      <c r="N226" s="34">
        <v>24</v>
      </c>
      <c r="O226" s="34">
        <v>22</v>
      </c>
      <c r="P226" s="34">
        <v>9</v>
      </c>
      <c r="Q226" s="35">
        <f t="shared" si="5"/>
        <v>162</v>
      </c>
      <c r="R226" s="4" t="s">
        <v>22</v>
      </c>
    </row>
    <row r="227" spans="1:22" x14ac:dyDescent="0.25">
      <c r="A227" s="40">
        <v>46118</v>
      </c>
      <c r="B227" s="28">
        <v>1</v>
      </c>
      <c r="C227" s="34" t="s">
        <v>110</v>
      </c>
      <c r="D227" s="34" t="s">
        <v>123</v>
      </c>
      <c r="E227" s="34">
        <v>5</v>
      </c>
      <c r="F227" s="34">
        <v>21</v>
      </c>
      <c r="G227" s="34">
        <v>24</v>
      </c>
      <c r="H227" s="34">
        <v>2</v>
      </c>
      <c r="I227" s="34">
        <v>1</v>
      </c>
      <c r="J227" s="34">
        <v>4</v>
      </c>
      <c r="K227" s="34">
        <v>11</v>
      </c>
      <c r="L227" s="34">
        <v>24</v>
      </c>
      <c r="M227" s="34">
        <v>35</v>
      </c>
      <c r="N227" s="34">
        <v>22</v>
      </c>
      <c r="O227" s="34">
        <v>27</v>
      </c>
      <c r="P227" s="34">
        <v>8</v>
      </c>
      <c r="Q227" s="35">
        <f t="shared" si="5"/>
        <v>184</v>
      </c>
      <c r="R227" s="4" t="s">
        <v>22</v>
      </c>
      <c r="V227" t="s">
        <v>324</v>
      </c>
    </row>
    <row r="228" spans="1:22" x14ac:dyDescent="0.25">
      <c r="A228" s="40">
        <v>46118</v>
      </c>
      <c r="B228" s="28">
        <v>1</v>
      </c>
      <c r="C228" s="34" t="s">
        <v>109</v>
      </c>
      <c r="D228" s="34" t="s">
        <v>122</v>
      </c>
      <c r="Q228" s="35">
        <f t="shared" si="5"/>
        <v>0</v>
      </c>
      <c r="R228" s="4" t="s">
        <v>22</v>
      </c>
    </row>
    <row r="229" spans="1:22" x14ac:dyDescent="0.25">
      <c r="A229" s="40">
        <v>46118</v>
      </c>
      <c r="B229" s="28">
        <v>1</v>
      </c>
      <c r="C229" s="34" t="s">
        <v>272</v>
      </c>
      <c r="D229" s="34" t="s">
        <v>273</v>
      </c>
      <c r="E229" s="34">
        <v>8</v>
      </c>
      <c r="F229" s="34">
        <v>17</v>
      </c>
      <c r="G229" s="34">
        <v>15</v>
      </c>
      <c r="H229" s="34">
        <v>6</v>
      </c>
      <c r="I229" s="34">
        <v>2</v>
      </c>
      <c r="J229" s="34">
        <v>7</v>
      </c>
      <c r="K229" s="34">
        <v>8</v>
      </c>
      <c r="L229" s="34">
        <v>15</v>
      </c>
      <c r="M229" s="34">
        <v>18</v>
      </c>
      <c r="N229" s="34">
        <v>14</v>
      </c>
      <c r="O229" s="34">
        <v>17</v>
      </c>
      <c r="P229" s="34">
        <v>11</v>
      </c>
      <c r="Q229" s="35">
        <f t="shared" si="5"/>
        <v>138</v>
      </c>
      <c r="R229" s="4" t="s">
        <v>22</v>
      </c>
    </row>
    <row r="230" spans="1:22" x14ac:dyDescent="0.25">
      <c r="A230" s="40">
        <v>46118</v>
      </c>
      <c r="B230" s="28">
        <v>1</v>
      </c>
      <c r="C230" s="34" t="s">
        <v>141</v>
      </c>
      <c r="D230" s="34" t="s">
        <v>142</v>
      </c>
      <c r="Q230" s="35">
        <f t="shared" si="5"/>
        <v>0</v>
      </c>
      <c r="R230" s="4" t="s">
        <v>140</v>
      </c>
    </row>
    <row r="231" spans="1:22" x14ac:dyDescent="0.25">
      <c r="A231" s="40">
        <v>46118</v>
      </c>
      <c r="B231" s="28">
        <v>1</v>
      </c>
      <c r="C231" s="34" t="s">
        <v>136</v>
      </c>
      <c r="D231" s="34" t="s">
        <v>129</v>
      </c>
      <c r="E231" s="34">
        <v>10</v>
      </c>
      <c r="F231" s="34">
        <v>17</v>
      </c>
      <c r="G231" s="34">
        <v>16</v>
      </c>
      <c r="H231" s="34">
        <v>8</v>
      </c>
      <c r="I231" s="34">
        <v>11</v>
      </c>
      <c r="K231" s="34">
        <v>7</v>
      </c>
      <c r="L231" s="34">
        <v>8</v>
      </c>
      <c r="M231" s="34">
        <v>17</v>
      </c>
      <c r="N231" s="34">
        <v>19</v>
      </c>
      <c r="O231" s="34">
        <v>20</v>
      </c>
      <c r="P231" s="34">
        <v>13</v>
      </c>
      <c r="Q231" s="35">
        <f t="shared" si="5"/>
        <v>146</v>
      </c>
      <c r="R231" s="4" t="s">
        <v>140</v>
      </c>
    </row>
    <row r="232" spans="1:22" x14ac:dyDescent="0.25">
      <c r="A232" s="40">
        <v>46118</v>
      </c>
      <c r="B232" s="28">
        <v>1</v>
      </c>
      <c r="C232" s="34" t="s">
        <v>133</v>
      </c>
      <c r="D232" s="34" t="s">
        <v>126</v>
      </c>
      <c r="Q232" s="35">
        <f t="shared" si="5"/>
        <v>0</v>
      </c>
      <c r="R232" s="4" t="s">
        <v>140</v>
      </c>
    </row>
    <row r="233" spans="1:22" x14ac:dyDescent="0.25">
      <c r="A233" s="40">
        <v>46118</v>
      </c>
      <c r="B233" s="28">
        <v>1</v>
      </c>
      <c r="C233" s="34" t="s">
        <v>143</v>
      </c>
      <c r="D233" s="34" t="s">
        <v>144</v>
      </c>
      <c r="Q233" s="35">
        <f t="shared" si="5"/>
        <v>0</v>
      </c>
      <c r="R233" s="4" t="s">
        <v>140</v>
      </c>
    </row>
    <row r="234" spans="1:22" x14ac:dyDescent="0.25">
      <c r="A234" s="40">
        <v>46118</v>
      </c>
      <c r="B234" s="28">
        <v>1</v>
      </c>
      <c r="C234" s="34" t="s">
        <v>138</v>
      </c>
      <c r="D234" s="34" t="s">
        <v>184</v>
      </c>
      <c r="E234" s="34">
        <v>8</v>
      </c>
      <c r="F234" s="34">
        <v>15</v>
      </c>
      <c r="G234" s="34">
        <v>15</v>
      </c>
      <c r="H234" s="34">
        <v>7</v>
      </c>
      <c r="J234" s="34">
        <v>8</v>
      </c>
      <c r="K234" s="34">
        <v>6</v>
      </c>
      <c r="L234" s="34">
        <v>13</v>
      </c>
      <c r="M234" s="34">
        <v>19</v>
      </c>
      <c r="N234" s="34">
        <v>20</v>
      </c>
      <c r="O234" s="34">
        <v>20</v>
      </c>
      <c r="P234" s="34">
        <v>4</v>
      </c>
      <c r="Q234" s="35">
        <f t="shared" si="5"/>
        <v>135</v>
      </c>
      <c r="R234" s="4" t="s">
        <v>140</v>
      </c>
    </row>
    <row r="235" spans="1:22" x14ac:dyDescent="0.25">
      <c r="A235" s="40">
        <v>46118</v>
      </c>
      <c r="B235" s="28">
        <v>1</v>
      </c>
      <c r="C235" s="34" t="s">
        <v>132</v>
      </c>
      <c r="D235" s="34" t="s">
        <v>125</v>
      </c>
      <c r="Q235" s="35">
        <f t="shared" si="5"/>
        <v>0</v>
      </c>
      <c r="R235" s="4" t="s">
        <v>140</v>
      </c>
    </row>
    <row r="236" spans="1:22" x14ac:dyDescent="0.25">
      <c r="A236" s="40">
        <v>46118</v>
      </c>
      <c r="B236" s="28">
        <v>1</v>
      </c>
      <c r="C236" s="34" t="s">
        <v>137</v>
      </c>
      <c r="D236" s="34" t="s">
        <v>130</v>
      </c>
      <c r="E236" s="34">
        <v>12</v>
      </c>
      <c r="F236" s="34">
        <v>24</v>
      </c>
      <c r="G236" s="34">
        <v>10</v>
      </c>
      <c r="H236" s="34">
        <v>8</v>
      </c>
      <c r="I236" s="34">
        <v>1</v>
      </c>
      <c r="J236" s="34">
        <v>10</v>
      </c>
      <c r="K236" s="34">
        <v>5</v>
      </c>
      <c r="L236" s="34">
        <v>17</v>
      </c>
      <c r="M236" s="34">
        <v>26</v>
      </c>
      <c r="N236" s="34">
        <v>20</v>
      </c>
      <c r="O236" s="34">
        <v>23</v>
      </c>
      <c r="P236" s="34">
        <v>14</v>
      </c>
      <c r="Q236" s="35">
        <f t="shared" si="5"/>
        <v>170</v>
      </c>
      <c r="R236" s="4" t="s">
        <v>140</v>
      </c>
    </row>
    <row r="237" spans="1:22" x14ac:dyDescent="0.25">
      <c r="A237" s="40">
        <v>46118</v>
      </c>
      <c r="B237" s="28">
        <v>1</v>
      </c>
      <c r="C237" s="34" t="s">
        <v>135</v>
      </c>
      <c r="D237" s="34" t="s">
        <v>128</v>
      </c>
      <c r="E237" s="34">
        <v>7</v>
      </c>
      <c r="F237" s="34">
        <v>12</v>
      </c>
      <c r="G237" s="34">
        <v>17</v>
      </c>
      <c r="H237" s="34">
        <v>4</v>
      </c>
      <c r="J237" s="34">
        <v>12</v>
      </c>
      <c r="K237" s="34">
        <v>10</v>
      </c>
      <c r="L237" s="34">
        <v>17</v>
      </c>
      <c r="M237" s="34">
        <v>24</v>
      </c>
      <c r="N237" s="34">
        <v>16</v>
      </c>
      <c r="O237" s="34">
        <v>18</v>
      </c>
      <c r="P237" s="34">
        <v>11</v>
      </c>
      <c r="Q237" s="35">
        <f t="shared" si="5"/>
        <v>148</v>
      </c>
      <c r="R237" s="4" t="s">
        <v>140</v>
      </c>
    </row>
    <row r="238" spans="1:22" x14ac:dyDescent="0.25">
      <c r="A238" s="40">
        <v>46118</v>
      </c>
      <c r="B238" s="28">
        <v>1</v>
      </c>
      <c r="C238" s="34" t="s">
        <v>134</v>
      </c>
      <c r="D238" s="34" t="s">
        <v>127</v>
      </c>
      <c r="E238" s="34">
        <v>13</v>
      </c>
      <c r="F238" s="34">
        <v>20</v>
      </c>
      <c r="G238" s="34">
        <v>17</v>
      </c>
      <c r="H238" s="34">
        <v>8</v>
      </c>
      <c r="J238" s="34">
        <v>10</v>
      </c>
      <c r="K238" s="34">
        <v>9</v>
      </c>
      <c r="L238" s="34">
        <v>13</v>
      </c>
      <c r="M238" s="34">
        <v>22</v>
      </c>
      <c r="N238" s="34">
        <v>15</v>
      </c>
      <c r="O238" s="34">
        <v>22</v>
      </c>
      <c r="P238" s="34">
        <v>1</v>
      </c>
      <c r="Q238" s="35">
        <f t="shared" si="5"/>
        <v>150</v>
      </c>
      <c r="R238" s="4" t="s">
        <v>140</v>
      </c>
    </row>
    <row r="239" spans="1:22" x14ac:dyDescent="0.25">
      <c r="A239" s="40">
        <v>46118</v>
      </c>
      <c r="B239" s="28">
        <v>1</v>
      </c>
      <c r="C239" s="34" t="s">
        <v>216</v>
      </c>
      <c r="D239" s="34" t="s">
        <v>215</v>
      </c>
      <c r="E239" s="34">
        <v>9</v>
      </c>
      <c r="F239" s="34">
        <v>20</v>
      </c>
      <c r="G239" s="34">
        <v>15</v>
      </c>
      <c r="H239" s="34">
        <v>6</v>
      </c>
      <c r="I239" s="34">
        <v>3</v>
      </c>
      <c r="J239" s="34">
        <v>11</v>
      </c>
      <c r="K239" s="34">
        <v>9</v>
      </c>
      <c r="L239" s="34">
        <v>18</v>
      </c>
      <c r="M239" s="34">
        <v>19</v>
      </c>
      <c r="N239" s="34">
        <v>15</v>
      </c>
      <c r="O239" s="34">
        <v>20</v>
      </c>
      <c r="P239" s="34">
        <v>10</v>
      </c>
      <c r="Q239" s="35">
        <f t="shared" si="5"/>
        <v>155</v>
      </c>
      <c r="R239" s="4" t="s">
        <v>140</v>
      </c>
    </row>
    <row r="240" spans="1:22" x14ac:dyDescent="0.25">
      <c r="Q240" s="35">
        <f t="shared" si="4"/>
        <v>0</v>
      </c>
    </row>
    <row r="241" spans="1:22" x14ac:dyDescent="0.25">
      <c r="A241" s="40">
        <v>46119</v>
      </c>
      <c r="B241" s="28">
        <v>1</v>
      </c>
      <c r="C241" s="34" t="s">
        <v>100</v>
      </c>
      <c r="D241" s="34" t="s">
        <v>114</v>
      </c>
      <c r="Q241" s="35">
        <f t="shared" ref="Q241:Q265" si="6">SUM(E241:P241)</f>
        <v>0</v>
      </c>
      <c r="R241" s="4" t="s">
        <v>22</v>
      </c>
    </row>
    <row r="242" spans="1:22" x14ac:dyDescent="0.25">
      <c r="A242" s="40">
        <v>46119</v>
      </c>
      <c r="B242" s="28">
        <v>1</v>
      </c>
      <c r="C242" s="34" t="s">
        <v>197</v>
      </c>
      <c r="D242" s="34" t="s">
        <v>114</v>
      </c>
      <c r="Q242" s="35">
        <f t="shared" si="6"/>
        <v>0</v>
      </c>
      <c r="R242" s="4" t="s">
        <v>22</v>
      </c>
    </row>
    <row r="243" spans="1:22" x14ac:dyDescent="0.25">
      <c r="A243" s="40">
        <v>46119</v>
      </c>
      <c r="B243" s="28">
        <v>1</v>
      </c>
      <c r="C243" s="34" t="s">
        <v>111</v>
      </c>
      <c r="D243" s="34" t="s">
        <v>124</v>
      </c>
      <c r="E243" s="34">
        <v>11</v>
      </c>
      <c r="F243" s="34">
        <v>25</v>
      </c>
      <c r="G243" s="34">
        <v>21</v>
      </c>
      <c r="H243" s="34">
        <v>11</v>
      </c>
      <c r="I243" s="34">
        <v>21</v>
      </c>
      <c r="J243" s="34">
        <v>20</v>
      </c>
      <c r="K243" s="34">
        <v>19</v>
      </c>
      <c r="L243" s="34">
        <v>11</v>
      </c>
      <c r="Q243" s="35">
        <f t="shared" si="6"/>
        <v>139</v>
      </c>
      <c r="R243" s="4" t="s">
        <v>22</v>
      </c>
    </row>
    <row r="244" spans="1:22" x14ac:dyDescent="0.25">
      <c r="A244" s="40">
        <v>46119</v>
      </c>
      <c r="B244" s="28">
        <v>1</v>
      </c>
      <c r="C244" s="34" t="s">
        <v>103</v>
      </c>
      <c r="D244" s="34" t="s">
        <v>115</v>
      </c>
      <c r="E244" s="34">
        <v>10</v>
      </c>
      <c r="F244" s="34">
        <v>15</v>
      </c>
      <c r="G244" s="34">
        <v>22</v>
      </c>
      <c r="H244" s="34">
        <v>16</v>
      </c>
      <c r="I244" s="34">
        <v>24</v>
      </c>
      <c r="J244" s="34">
        <v>20</v>
      </c>
      <c r="K244" s="34">
        <v>24</v>
      </c>
      <c r="L244" s="34">
        <v>14</v>
      </c>
      <c r="Q244" s="35">
        <f t="shared" si="6"/>
        <v>145</v>
      </c>
      <c r="R244" s="4" t="s">
        <v>22</v>
      </c>
    </row>
    <row r="245" spans="1:22" x14ac:dyDescent="0.25">
      <c r="A245" s="40">
        <v>46119</v>
      </c>
      <c r="B245" s="28">
        <v>1</v>
      </c>
      <c r="C245" s="34" t="s">
        <v>102</v>
      </c>
      <c r="D245" s="34" t="s">
        <v>116</v>
      </c>
      <c r="Q245" s="35">
        <f t="shared" si="6"/>
        <v>0</v>
      </c>
      <c r="R245" s="4" t="s">
        <v>22</v>
      </c>
    </row>
    <row r="246" spans="1:22" x14ac:dyDescent="0.25">
      <c r="A246" s="40">
        <v>46119</v>
      </c>
      <c r="B246" s="28">
        <v>1</v>
      </c>
      <c r="C246" s="34" t="s">
        <v>104</v>
      </c>
      <c r="D246" s="34" t="s">
        <v>117</v>
      </c>
      <c r="E246" s="34">
        <v>8</v>
      </c>
      <c r="F246" s="34">
        <v>11</v>
      </c>
      <c r="G246" s="34">
        <v>22</v>
      </c>
      <c r="H246" s="34">
        <v>11</v>
      </c>
      <c r="I246" s="34">
        <v>23</v>
      </c>
      <c r="J246" s="34">
        <v>22</v>
      </c>
      <c r="K246" s="34">
        <v>23</v>
      </c>
      <c r="L246" s="34">
        <v>17</v>
      </c>
      <c r="Q246" s="35">
        <f t="shared" si="6"/>
        <v>137</v>
      </c>
      <c r="R246" s="4" t="s">
        <v>22</v>
      </c>
    </row>
    <row r="247" spans="1:22" x14ac:dyDescent="0.25">
      <c r="A247" s="40">
        <v>46119</v>
      </c>
      <c r="B247" s="28">
        <v>1</v>
      </c>
      <c r="C247" s="34" t="s">
        <v>105</v>
      </c>
      <c r="D247" s="34" t="s">
        <v>118</v>
      </c>
      <c r="E247" s="34">
        <v>18</v>
      </c>
      <c r="F247" s="34">
        <v>27</v>
      </c>
      <c r="G247" s="34">
        <v>28</v>
      </c>
      <c r="H247" s="34">
        <v>16</v>
      </c>
      <c r="I247" s="34">
        <v>28</v>
      </c>
      <c r="J247" s="34">
        <v>22</v>
      </c>
      <c r="K247" s="34">
        <v>28</v>
      </c>
      <c r="L247" s="34">
        <v>18</v>
      </c>
      <c r="Q247" s="35">
        <f t="shared" si="6"/>
        <v>185</v>
      </c>
      <c r="R247" s="4" t="s">
        <v>22</v>
      </c>
    </row>
    <row r="248" spans="1:22" x14ac:dyDescent="0.25">
      <c r="A248" s="40">
        <v>46119</v>
      </c>
      <c r="B248" s="28">
        <v>1</v>
      </c>
      <c r="C248" s="34" t="s">
        <v>112</v>
      </c>
      <c r="D248" s="34" t="s">
        <v>119</v>
      </c>
      <c r="Q248" s="35">
        <f t="shared" si="6"/>
        <v>0</v>
      </c>
      <c r="R248" s="4" t="s">
        <v>22</v>
      </c>
    </row>
    <row r="249" spans="1:22" x14ac:dyDescent="0.25">
      <c r="A249" s="40">
        <v>46119</v>
      </c>
      <c r="B249" s="28">
        <v>1</v>
      </c>
      <c r="C249" s="34" t="s">
        <v>106</v>
      </c>
      <c r="D249" s="34" t="s">
        <v>119</v>
      </c>
      <c r="E249" s="34">
        <v>12</v>
      </c>
      <c r="F249" s="34">
        <v>20</v>
      </c>
      <c r="G249" s="34">
        <v>23</v>
      </c>
      <c r="H249" s="34">
        <v>14</v>
      </c>
      <c r="I249" s="34">
        <v>17</v>
      </c>
      <c r="J249" s="34">
        <v>18</v>
      </c>
      <c r="K249" s="34">
        <v>21</v>
      </c>
      <c r="L249" s="34">
        <v>10</v>
      </c>
      <c r="Q249" s="35">
        <f t="shared" si="6"/>
        <v>135</v>
      </c>
      <c r="R249" s="4" t="s">
        <v>22</v>
      </c>
    </row>
    <row r="250" spans="1:22" x14ac:dyDescent="0.25">
      <c r="A250" s="40">
        <v>46119</v>
      </c>
      <c r="B250" s="28">
        <v>1</v>
      </c>
      <c r="C250" s="34" t="s">
        <v>107</v>
      </c>
      <c r="D250" s="34" t="s">
        <v>120</v>
      </c>
      <c r="E250" s="34">
        <v>12</v>
      </c>
      <c r="F250" s="34">
        <v>17</v>
      </c>
      <c r="G250" s="34">
        <v>27</v>
      </c>
      <c r="H250" s="34">
        <v>16</v>
      </c>
      <c r="I250" s="34">
        <v>17</v>
      </c>
      <c r="J250" s="34">
        <v>18</v>
      </c>
      <c r="K250" s="34">
        <v>19</v>
      </c>
      <c r="L250" s="34">
        <v>11</v>
      </c>
      <c r="Q250" s="35">
        <f t="shared" si="6"/>
        <v>137</v>
      </c>
      <c r="R250" s="4" t="s">
        <v>22</v>
      </c>
    </row>
    <row r="251" spans="1:22" x14ac:dyDescent="0.25">
      <c r="A251" s="40">
        <v>46119</v>
      </c>
      <c r="B251" s="28">
        <v>1</v>
      </c>
      <c r="C251" s="34" t="s">
        <v>101</v>
      </c>
      <c r="D251" s="34" t="s">
        <v>113</v>
      </c>
      <c r="E251" s="34">
        <v>15</v>
      </c>
      <c r="F251" s="34">
        <v>26</v>
      </c>
      <c r="G251" s="34">
        <v>25</v>
      </c>
      <c r="H251" s="34">
        <v>16</v>
      </c>
      <c r="I251" s="34">
        <v>23</v>
      </c>
      <c r="J251" s="34">
        <v>18</v>
      </c>
      <c r="K251" s="34">
        <v>26</v>
      </c>
      <c r="L251" s="34">
        <v>20</v>
      </c>
      <c r="Q251" s="35">
        <f t="shared" si="6"/>
        <v>169</v>
      </c>
      <c r="R251" s="4" t="s">
        <v>22</v>
      </c>
    </row>
    <row r="252" spans="1:22" x14ac:dyDescent="0.25">
      <c r="A252" s="40">
        <v>46119</v>
      </c>
      <c r="B252" s="28">
        <v>1</v>
      </c>
      <c r="C252" s="34" t="s">
        <v>108</v>
      </c>
      <c r="D252" s="34" t="s">
        <v>121</v>
      </c>
      <c r="Q252" s="35">
        <f t="shared" si="6"/>
        <v>0</v>
      </c>
      <c r="R252" s="4" t="s">
        <v>22</v>
      </c>
    </row>
    <row r="253" spans="1:22" x14ac:dyDescent="0.25">
      <c r="A253" s="40">
        <v>46119</v>
      </c>
      <c r="B253" s="28">
        <v>1</v>
      </c>
      <c r="C253" s="34" t="s">
        <v>110</v>
      </c>
      <c r="D253" s="34" t="s">
        <v>123</v>
      </c>
      <c r="E253" s="34">
        <v>15</v>
      </c>
      <c r="F253" s="34">
        <v>25</v>
      </c>
      <c r="G253" s="34">
        <v>24</v>
      </c>
      <c r="H253" s="34">
        <v>14</v>
      </c>
      <c r="I253" s="34">
        <v>29</v>
      </c>
      <c r="J253" s="34">
        <v>22</v>
      </c>
      <c r="K253" s="34">
        <v>31</v>
      </c>
      <c r="L253" s="34">
        <v>20</v>
      </c>
      <c r="Q253" s="35">
        <f t="shared" si="6"/>
        <v>180</v>
      </c>
      <c r="R253" s="4" t="s">
        <v>22</v>
      </c>
      <c r="V253" t="s">
        <v>324</v>
      </c>
    </row>
    <row r="254" spans="1:22" x14ac:dyDescent="0.25">
      <c r="A254" s="40">
        <v>46119</v>
      </c>
      <c r="B254" s="28">
        <v>1</v>
      </c>
      <c r="C254" s="34" t="s">
        <v>109</v>
      </c>
      <c r="D254" s="34" t="s">
        <v>122</v>
      </c>
      <c r="Q254" s="35">
        <f t="shared" si="6"/>
        <v>0</v>
      </c>
      <c r="R254" s="4" t="s">
        <v>22</v>
      </c>
    </row>
    <row r="255" spans="1:22" x14ac:dyDescent="0.25">
      <c r="A255" s="40">
        <v>46119</v>
      </c>
      <c r="B255" s="28">
        <v>1</v>
      </c>
      <c r="C255" s="34" t="s">
        <v>272</v>
      </c>
      <c r="D255" s="34" t="s">
        <v>273</v>
      </c>
      <c r="E255" s="34">
        <v>2</v>
      </c>
      <c r="F255" s="34">
        <v>8</v>
      </c>
      <c r="G255" s="34">
        <v>14</v>
      </c>
      <c r="H255" s="34">
        <v>9</v>
      </c>
      <c r="I255" s="34">
        <v>13</v>
      </c>
      <c r="J255" s="34">
        <v>12</v>
      </c>
      <c r="K255" s="34">
        <v>14</v>
      </c>
      <c r="L255" s="34">
        <v>8</v>
      </c>
      <c r="Q255" s="35">
        <f t="shared" si="6"/>
        <v>80</v>
      </c>
      <c r="R255" s="4" t="s">
        <v>22</v>
      </c>
    </row>
    <row r="256" spans="1:22" x14ac:dyDescent="0.25">
      <c r="A256" s="40">
        <v>46119</v>
      </c>
      <c r="B256" s="28">
        <v>1</v>
      </c>
      <c r="C256" s="34" t="s">
        <v>141</v>
      </c>
      <c r="D256" s="34" t="s">
        <v>142</v>
      </c>
      <c r="Q256" s="35">
        <f t="shared" si="6"/>
        <v>0</v>
      </c>
      <c r="R256" s="4" t="s">
        <v>140</v>
      </c>
    </row>
    <row r="257" spans="1:18" x14ac:dyDescent="0.25">
      <c r="A257" s="40">
        <v>46119</v>
      </c>
      <c r="B257" s="28">
        <v>1</v>
      </c>
      <c r="C257" s="34" t="s">
        <v>136</v>
      </c>
      <c r="D257" s="34" t="s">
        <v>129</v>
      </c>
      <c r="E257" s="34">
        <v>10</v>
      </c>
      <c r="F257" s="34">
        <v>22</v>
      </c>
      <c r="G257" s="34">
        <v>18</v>
      </c>
      <c r="H257" s="34">
        <v>15</v>
      </c>
      <c r="I257" s="34">
        <v>24</v>
      </c>
      <c r="J257" s="34">
        <v>18</v>
      </c>
      <c r="K257" s="34">
        <v>21</v>
      </c>
      <c r="L257" s="34">
        <v>12</v>
      </c>
      <c r="Q257" s="35">
        <f t="shared" si="6"/>
        <v>140</v>
      </c>
      <c r="R257" s="4" t="s">
        <v>140</v>
      </c>
    </row>
    <row r="258" spans="1:18" x14ac:dyDescent="0.25">
      <c r="A258" s="40">
        <v>46119</v>
      </c>
      <c r="B258" s="28">
        <v>1</v>
      </c>
      <c r="C258" s="34" t="s">
        <v>133</v>
      </c>
      <c r="D258" s="34" t="s">
        <v>126</v>
      </c>
      <c r="Q258" s="35">
        <f t="shared" si="6"/>
        <v>0</v>
      </c>
      <c r="R258" s="4" t="s">
        <v>140</v>
      </c>
    </row>
    <row r="259" spans="1:18" x14ac:dyDescent="0.25">
      <c r="A259" s="40">
        <v>46119</v>
      </c>
      <c r="B259" s="28">
        <v>1</v>
      </c>
      <c r="C259" s="34" t="s">
        <v>143</v>
      </c>
      <c r="D259" s="34" t="s">
        <v>144</v>
      </c>
      <c r="Q259" s="35">
        <f t="shared" si="6"/>
        <v>0</v>
      </c>
      <c r="R259" s="4" t="s">
        <v>140</v>
      </c>
    </row>
    <row r="260" spans="1:18" x14ac:dyDescent="0.25">
      <c r="A260" s="40">
        <v>46119</v>
      </c>
      <c r="B260" s="28">
        <v>1</v>
      </c>
      <c r="C260" s="34" t="s">
        <v>138</v>
      </c>
      <c r="D260" s="34" t="s">
        <v>184</v>
      </c>
      <c r="Q260" s="35">
        <f t="shared" si="6"/>
        <v>0</v>
      </c>
      <c r="R260" s="4" t="s">
        <v>140</v>
      </c>
    </row>
    <row r="261" spans="1:18" x14ac:dyDescent="0.25">
      <c r="A261" s="40">
        <v>46119</v>
      </c>
      <c r="B261" s="28">
        <v>1</v>
      </c>
      <c r="C261" s="34" t="s">
        <v>132</v>
      </c>
      <c r="D261" s="34" t="s">
        <v>125</v>
      </c>
      <c r="E261" s="34">
        <v>3</v>
      </c>
      <c r="F261" s="34">
        <v>4</v>
      </c>
      <c r="G261" s="34">
        <v>21</v>
      </c>
      <c r="H261" s="34">
        <v>12</v>
      </c>
      <c r="I261" s="34">
        <v>15</v>
      </c>
      <c r="J261" s="34">
        <v>16</v>
      </c>
      <c r="K261" s="34">
        <v>20</v>
      </c>
      <c r="L261" s="34">
        <v>15</v>
      </c>
      <c r="Q261" s="35">
        <f t="shared" si="6"/>
        <v>106</v>
      </c>
      <c r="R261" s="4" t="s">
        <v>140</v>
      </c>
    </row>
    <row r="262" spans="1:18" x14ac:dyDescent="0.25">
      <c r="A262" s="40">
        <v>46119</v>
      </c>
      <c r="B262" s="28">
        <v>1</v>
      </c>
      <c r="C262" s="34" t="s">
        <v>137</v>
      </c>
      <c r="D262" s="34" t="s">
        <v>130</v>
      </c>
      <c r="E262" s="34">
        <v>9</v>
      </c>
      <c r="F262" s="34">
        <v>15</v>
      </c>
      <c r="G262" s="34">
        <v>23</v>
      </c>
      <c r="H262" s="34">
        <v>12</v>
      </c>
      <c r="I262" s="34">
        <v>17</v>
      </c>
      <c r="J262" s="34">
        <v>18</v>
      </c>
      <c r="K262" s="34">
        <v>22</v>
      </c>
      <c r="L262" s="34">
        <v>14</v>
      </c>
      <c r="Q262" s="35">
        <f t="shared" si="6"/>
        <v>130</v>
      </c>
      <c r="R262" s="4" t="s">
        <v>140</v>
      </c>
    </row>
    <row r="263" spans="1:18" x14ac:dyDescent="0.25">
      <c r="A263" s="40">
        <v>46119</v>
      </c>
      <c r="B263" s="28">
        <v>1</v>
      </c>
      <c r="C263" s="34" t="s">
        <v>135</v>
      </c>
      <c r="D263" s="34" t="s">
        <v>128</v>
      </c>
      <c r="E263" s="34">
        <v>10</v>
      </c>
      <c r="F263" s="34">
        <v>14</v>
      </c>
      <c r="G263" s="34">
        <v>18</v>
      </c>
      <c r="H263" s="34">
        <v>20</v>
      </c>
      <c r="I263" s="34">
        <v>14</v>
      </c>
      <c r="J263" s="34">
        <v>14</v>
      </c>
      <c r="K263" s="34">
        <v>10</v>
      </c>
      <c r="L263" s="34">
        <v>10</v>
      </c>
      <c r="Q263" s="35">
        <f t="shared" si="6"/>
        <v>110</v>
      </c>
      <c r="R263" s="4" t="s">
        <v>140</v>
      </c>
    </row>
    <row r="264" spans="1:18" x14ac:dyDescent="0.25">
      <c r="A264" s="40">
        <v>46119</v>
      </c>
      <c r="B264" s="28">
        <v>1</v>
      </c>
      <c r="C264" s="34" t="s">
        <v>134</v>
      </c>
      <c r="D264" s="34" t="s">
        <v>127</v>
      </c>
      <c r="Q264" s="35">
        <f t="shared" si="6"/>
        <v>0</v>
      </c>
      <c r="R264" s="4" t="s">
        <v>140</v>
      </c>
    </row>
    <row r="265" spans="1:18" x14ac:dyDescent="0.25">
      <c r="A265" s="40">
        <v>46119</v>
      </c>
      <c r="B265" s="28">
        <v>1</v>
      </c>
      <c r="C265" s="34" t="s">
        <v>216</v>
      </c>
      <c r="D265" s="34" t="s">
        <v>215</v>
      </c>
      <c r="E265" s="34">
        <v>10</v>
      </c>
      <c r="F265" s="34">
        <v>16</v>
      </c>
      <c r="G265" s="34">
        <v>18</v>
      </c>
      <c r="H265" s="34">
        <v>9</v>
      </c>
      <c r="I265" s="34">
        <v>13</v>
      </c>
      <c r="J265" s="34">
        <v>18</v>
      </c>
      <c r="K265" s="34">
        <v>20</v>
      </c>
      <c r="L265" s="34">
        <v>10</v>
      </c>
      <c r="Q265" s="35">
        <f t="shared" si="6"/>
        <v>114</v>
      </c>
      <c r="R265" s="4" t="s">
        <v>140</v>
      </c>
    </row>
    <row r="266" spans="1:18" x14ac:dyDescent="0.25">
      <c r="Q266" s="35">
        <f t="shared" ref="Q266:Q294" si="7">SUM(E266:P266)</f>
        <v>0</v>
      </c>
    </row>
    <row r="267" spans="1:18" x14ac:dyDescent="0.25">
      <c r="A267" s="40">
        <v>46120</v>
      </c>
      <c r="B267" s="28">
        <v>1</v>
      </c>
      <c r="C267" s="34" t="s">
        <v>100</v>
      </c>
      <c r="D267" s="34" t="s">
        <v>114</v>
      </c>
      <c r="E267" s="34">
        <v>18</v>
      </c>
      <c r="F267" s="34">
        <v>28</v>
      </c>
      <c r="G267" s="34">
        <v>22</v>
      </c>
      <c r="H267" s="34">
        <v>15</v>
      </c>
      <c r="I267" s="34">
        <v>19</v>
      </c>
      <c r="J267" s="34">
        <v>21</v>
      </c>
      <c r="K267" s="34">
        <v>20</v>
      </c>
      <c r="L267" s="34">
        <v>11</v>
      </c>
      <c r="Q267" s="35">
        <f t="shared" si="7"/>
        <v>154</v>
      </c>
      <c r="R267" s="4" t="s">
        <v>22</v>
      </c>
    </row>
    <row r="268" spans="1:18" x14ac:dyDescent="0.25">
      <c r="A268" s="40">
        <v>46120</v>
      </c>
      <c r="B268" s="28">
        <v>1</v>
      </c>
      <c r="C268" s="34" t="s">
        <v>197</v>
      </c>
      <c r="D268" s="34" t="s">
        <v>114</v>
      </c>
      <c r="E268" s="34">
        <v>14</v>
      </c>
      <c r="F268" s="34">
        <v>20</v>
      </c>
      <c r="G268" s="34">
        <v>22</v>
      </c>
      <c r="H268" s="34">
        <v>15</v>
      </c>
      <c r="I268" s="34">
        <v>15</v>
      </c>
      <c r="J268" s="34">
        <v>20</v>
      </c>
      <c r="K268" s="34">
        <v>18</v>
      </c>
      <c r="L268" s="34">
        <v>11</v>
      </c>
      <c r="Q268" s="35">
        <f t="shared" si="7"/>
        <v>135</v>
      </c>
      <c r="R268" s="4" t="s">
        <v>22</v>
      </c>
    </row>
    <row r="269" spans="1:18" x14ac:dyDescent="0.25">
      <c r="A269" s="40">
        <v>46120</v>
      </c>
      <c r="B269" s="28">
        <v>1</v>
      </c>
      <c r="C269" s="34" t="s">
        <v>111</v>
      </c>
      <c r="D269" s="34" t="s">
        <v>124</v>
      </c>
      <c r="E269" s="34">
        <v>8</v>
      </c>
      <c r="F269" s="34">
        <v>19</v>
      </c>
      <c r="G269" s="34">
        <v>16</v>
      </c>
      <c r="H269" s="34">
        <v>10</v>
      </c>
      <c r="I269" s="34">
        <v>12</v>
      </c>
      <c r="J269" s="34">
        <v>14</v>
      </c>
      <c r="K269" s="34">
        <v>19</v>
      </c>
      <c r="L269" s="34">
        <v>9</v>
      </c>
      <c r="Q269" s="35">
        <f t="shared" si="7"/>
        <v>107</v>
      </c>
      <c r="R269" s="4" t="s">
        <v>22</v>
      </c>
    </row>
    <row r="270" spans="1:18" x14ac:dyDescent="0.25">
      <c r="A270" s="40">
        <v>46120</v>
      </c>
      <c r="B270" s="28">
        <v>1</v>
      </c>
      <c r="C270" s="34" t="s">
        <v>103</v>
      </c>
      <c r="D270" s="34" t="s">
        <v>115</v>
      </c>
      <c r="E270" s="34">
        <v>11</v>
      </c>
      <c r="F270" s="34">
        <v>17</v>
      </c>
      <c r="G270" s="34">
        <v>15</v>
      </c>
      <c r="H270" s="34">
        <v>17</v>
      </c>
      <c r="I270" s="34">
        <v>17</v>
      </c>
      <c r="J270" s="34">
        <v>22</v>
      </c>
      <c r="K270" s="34">
        <v>19</v>
      </c>
      <c r="L270" s="34">
        <v>19</v>
      </c>
      <c r="Q270" s="35">
        <f t="shared" si="7"/>
        <v>137</v>
      </c>
      <c r="R270" s="4" t="s">
        <v>22</v>
      </c>
    </row>
    <row r="271" spans="1:18" x14ac:dyDescent="0.25">
      <c r="A271" s="40">
        <v>46120</v>
      </c>
      <c r="B271" s="28">
        <v>1</v>
      </c>
      <c r="C271" s="34" t="s">
        <v>102</v>
      </c>
      <c r="D271" s="34" t="s">
        <v>116</v>
      </c>
      <c r="E271" s="34">
        <v>12</v>
      </c>
      <c r="F271" s="34">
        <v>24</v>
      </c>
      <c r="G271" s="34">
        <v>21</v>
      </c>
      <c r="H271" s="34">
        <v>15</v>
      </c>
      <c r="I271" s="34">
        <v>22</v>
      </c>
      <c r="J271" s="34">
        <v>20</v>
      </c>
      <c r="K271" s="34">
        <v>16</v>
      </c>
      <c r="L271" s="34">
        <v>20</v>
      </c>
      <c r="Q271" s="35">
        <f t="shared" si="7"/>
        <v>150</v>
      </c>
      <c r="R271" s="4" t="s">
        <v>22</v>
      </c>
    </row>
    <row r="272" spans="1:18" x14ac:dyDescent="0.25">
      <c r="A272" s="40">
        <v>46120</v>
      </c>
      <c r="B272" s="28">
        <v>1</v>
      </c>
      <c r="C272" s="34" t="s">
        <v>104</v>
      </c>
      <c r="D272" s="34" t="s">
        <v>117</v>
      </c>
      <c r="E272" s="34">
        <v>10</v>
      </c>
      <c r="F272" s="34">
        <v>19</v>
      </c>
      <c r="G272" s="34">
        <v>17</v>
      </c>
      <c r="H272" s="34">
        <v>14</v>
      </c>
      <c r="I272" s="34">
        <v>12</v>
      </c>
      <c r="J272" s="34">
        <v>23</v>
      </c>
      <c r="K272" s="34">
        <v>25</v>
      </c>
      <c r="L272" s="34">
        <v>26</v>
      </c>
      <c r="Q272" s="35">
        <f t="shared" si="7"/>
        <v>146</v>
      </c>
      <c r="R272" s="4" t="s">
        <v>22</v>
      </c>
    </row>
    <row r="273" spans="1:22" x14ac:dyDescent="0.25">
      <c r="A273" s="40">
        <v>46120</v>
      </c>
      <c r="B273" s="28">
        <v>1</v>
      </c>
      <c r="C273" s="34" t="s">
        <v>105</v>
      </c>
      <c r="D273" s="34" t="s">
        <v>118</v>
      </c>
      <c r="E273" s="34">
        <v>10</v>
      </c>
      <c r="F273" s="34">
        <v>16</v>
      </c>
      <c r="G273" s="34">
        <v>16</v>
      </c>
      <c r="H273" s="34">
        <v>17</v>
      </c>
      <c r="I273" s="34">
        <v>28</v>
      </c>
      <c r="J273" s="34">
        <v>23</v>
      </c>
      <c r="K273" s="34">
        <v>17</v>
      </c>
      <c r="L273" s="34">
        <v>10</v>
      </c>
      <c r="Q273" s="35">
        <f t="shared" si="7"/>
        <v>137</v>
      </c>
      <c r="R273" s="4" t="s">
        <v>22</v>
      </c>
    </row>
    <row r="274" spans="1:22" x14ac:dyDescent="0.25">
      <c r="A274" s="40">
        <v>46120</v>
      </c>
      <c r="B274" s="28">
        <v>1</v>
      </c>
      <c r="C274" s="34" t="s">
        <v>112</v>
      </c>
      <c r="D274" s="34" t="s">
        <v>119</v>
      </c>
      <c r="Q274" s="35">
        <f t="shared" si="7"/>
        <v>0</v>
      </c>
      <c r="R274" s="4" t="s">
        <v>22</v>
      </c>
    </row>
    <row r="275" spans="1:22" x14ac:dyDescent="0.25">
      <c r="A275" s="40">
        <v>46120</v>
      </c>
      <c r="B275" s="28">
        <v>1</v>
      </c>
      <c r="C275" s="34" t="s">
        <v>106</v>
      </c>
      <c r="D275" s="34" t="s">
        <v>119</v>
      </c>
      <c r="E275" s="34">
        <v>14</v>
      </c>
      <c r="F275" s="34">
        <v>18</v>
      </c>
      <c r="G275" s="34">
        <v>18</v>
      </c>
      <c r="H275" s="34">
        <v>15</v>
      </c>
      <c r="I275" s="34">
        <v>24</v>
      </c>
      <c r="J275" s="34">
        <v>34</v>
      </c>
      <c r="K275" s="34">
        <v>25</v>
      </c>
      <c r="L275" s="34">
        <v>13</v>
      </c>
      <c r="Q275" s="35">
        <f t="shared" si="7"/>
        <v>161</v>
      </c>
      <c r="R275" s="4" t="s">
        <v>22</v>
      </c>
    </row>
    <row r="276" spans="1:22" x14ac:dyDescent="0.25">
      <c r="A276" s="40">
        <v>46120</v>
      </c>
      <c r="B276" s="28">
        <v>1</v>
      </c>
      <c r="C276" s="34" t="s">
        <v>107</v>
      </c>
      <c r="D276" s="34" t="s">
        <v>120</v>
      </c>
      <c r="E276" s="34">
        <v>13</v>
      </c>
      <c r="F276" s="34">
        <v>16</v>
      </c>
      <c r="G276" s="34">
        <v>17</v>
      </c>
      <c r="H276" s="34">
        <v>20</v>
      </c>
      <c r="I276" s="34">
        <v>32</v>
      </c>
      <c r="J276" s="34">
        <v>36</v>
      </c>
      <c r="K276" s="34">
        <v>28</v>
      </c>
      <c r="L276" s="34">
        <v>17</v>
      </c>
      <c r="Q276" s="35">
        <f t="shared" si="7"/>
        <v>179</v>
      </c>
      <c r="R276" s="4" t="s">
        <v>22</v>
      </c>
    </row>
    <row r="277" spans="1:22" x14ac:dyDescent="0.25">
      <c r="A277" s="40">
        <v>46120</v>
      </c>
      <c r="B277" s="28">
        <v>1</v>
      </c>
      <c r="C277" s="34" t="s">
        <v>101</v>
      </c>
      <c r="D277" s="34" t="s">
        <v>113</v>
      </c>
      <c r="E277" s="34">
        <v>19</v>
      </c>
      <c r="F277" s="34">
        <v>31</v>
      </c>
      <c r="G277" s="34">
        <v>17</v>
      </c>
      <c r="H277" s="34">
        <v>19</v>
      </c>
      <c r="I277" s="34">
        <v>30</v>
      </c>
      <c r="J277" s="34">
        <v>30</v>
      </c>
      <c r="K277" s="34">
        <v>30</v>
      </c>
      <c r="L277" s="34">
        <v>25</v>
      </c>
      <c r="Q277" s="35">
        <f t="shared" si="7"/>
        <v>201</v>
      </c>
      <c r="R277" s="4" t="s">
        <v>22</v>
      </c>
    </row>
    <row r="278" spans="1:22" x14ac:dyDescent="0.25">
      <c r="A278" s="40">
        <v>46120</v>
      </c>
      <c r="B278" s="28">
        <v>1</v>
      </c>
      <c r="C278" s="34" t="s">
        <v>108</v>
      </c>
      <c r="D278" s="34" t="s">
        <v>121</v>
      </c>
      <c r="E278" s="34">
        <v>16</v>
      </c>
      <c r="F278" s="34">
        <v>25</v>
      </c>
      <c r="G278" s="34">
        <v>25</v>
      </c>
      <c r="H278" s="34">
        <v>19</v>
      </c>
      <c r="I278" s="34">
        <v>20</v>
      </c>
      <c r="J278" s="34">
        <v>27</v>
      </c>
      <c r="K278" s="34">
        <v>22</v>
      </c>
      <c r="L278" s="34">
        <v>15</v>
      </c>
      <c r="Q278" s="35">
        <f t="shared" si="7"/>
        <v>169</v>
      </c>
      <c r="R278" s="4" t="s">
        <v>22</v>
      </c>
    </row>
    <row r="279" spans="1:22" x14ac:dyDescent="0.25">
      <c r="A279" s="40">
        <v>46120</v>
      </c>
      <c r="B279" s="28">
        <v>1</v>
      </c>
      <c r="C279" s="34" t="s">
        <v>110</v>
      </c>
      <c r="D279" s="34" t="s">
        <v>123</v>
      </c>
      <c r="E279" s="34">
        <v>22</v>
      </c>
      <c r="F279" s="34">
        <v>31</v>
      </c>
      <c r="G279" s="34">
        <v>27</v>
      </c>
      <c r="H279" s="34">
        <v>8</v>
      </c>
      <c r="I279" s="34">
        <v>19</v>
      </c>
      <c r="J279" s="34">
        <v>15</v>
      </c>
      <c r="K279" s="34">
        <v>26</v>
      </c>
      <c r="L279" s="34">
        <v>23</v>
      </c>
      <c r="Q279" s="35">
        <f t="shared" si="7"/>
        <v>171</v>
      </c>
      <c r="R279" s="4" t="s">
        <v>22</v>
      </c>
      <c r="V279" t="s">
        <v>324</v>
      </c>
    </row>
    <row r="280" spans="1:22" x14ac:dyDescent="0.25">
      <c r="A280" s="40">
        <v>46120</v>
      </c>
      <c r="B280" s="28">
        <v>1</v>
      </c>
      <c r="C280" s="34" t="s">
        <v>109</v>
      </c>
      <c r="D280" s="34" t="s">
        <v>122</v>
      </c>
      <c r="E280" s="34">
        <v>17</v>
      </c>
      <c r="F280" s="34">
        <v>26</v>
      </c>
      <c r="G280" s="34">
        <v>23</v>
      </c>
      <c r="H280" s="34">
        <v>17</v>
      </c>
      <c r="I280" s="34">
        <v>29</v>
      </c>
      <c r="J280" s="34">
        <v>27</v>
      </c>
      <c r="K280" s="34">
        <v>30</v>
      </c>
      <c r="L280" s="34">
        <v>22</v>
      </c>
      <c r="Q280" s="35">
        <f t="shared" si="7"/>
        <v>191</v>
      </c>
      <c r="R280" s="4" t="s">
        <v>22</v>
      </c>
    </row>
    <row r="281" spans="1:22" x14ac:dyDescent="0.25">
      <c r="A281" s="40">
        <v>46120</v>
      </c>
      <c r="B281" s="28">
        <v>1</v>
      </c>
      <c r="C281" s="34" t="s">
        <v>272</v>
      </c>
      <c r="D281" s="34" t="s">
        <v>273</v>
      </c>
      <c r="E281" s="34">
        <v>9</v>
      </c>
      <c r="F281" s="34">
        <v>14</v>
      </c>
      <c r="G281" s="34">
        <v>18</v>
      </c>
      <c r="H281" s="34">
        <v>9</v>
      </c>
      <c r="I281" s="34">
        <v>11</v>
      </c>
      <c r="J281" s="34">
        <v>16</v>
      </c>
      <c r="K281" s="34">
        <v>15</v>
      </c>
      <c r="L281" s="34">
        <v>15</v>
      </c>
      <c r="Q281" s="35">
        <f t="shared" si="7"/>
        <v>107</v>
      </c>
      <c r="R281" s="4" t="s">
        <v>22</v>
      </c>
    </row>
    <row r="282" spans="1:22" x14ac:dyDescent="0.25">
      <c r="A282" s="40">
        <v>46120</v>
      </c>
      <c r="B282" s="28">
        <v>1</v>
      </c>
      <c r="C282" s="34" t="s">
        <v>141</v>
      </c>
      <c r="D282" s="34" t="s">
        <v>142</v>
      </c>
      <c r="Q282" s="35">
        <f t="shared" si="7"/>
        <v>0</v>
      </c>
      <c r="R282" s="4" t="s">
        <v>140</v>
      </c>
    </row>
    <row r="283" spans="1:22" x14ac:dyDescent="0.25">
      <c r="A283" s="40">
        <v>46120</v>
      </c>
      <c r="B283" s="28">
        <v>1</v>
      </c>
      <c r="C283" s="34" t="s">
        <v>136</v>
      </c>
      <c r="D283" s="34" t="s">
        <v>129</v>
      </c>
      <c r="E283" s="34">
        <v>12</v>
      </c>
      <c r="F283" s="34">
        <v>26</v>
      </c>
      <c r="G283" s="34">
        <v>23</v>
      </c>
      <c r="H283" s="34">
        <v>19</v>
      </c>
      <c r="I283" s="34">
        <v>22</v>
      </c>
      <c r="J283" s="34">
        <v>24</v>
      </c>
      <c r="K283" s="34">
        <v>16</v>
      </c>
      <c r="L283" s="34">
        <v>17</v>
      </c>
      <c r="Q283" s="35">
        <f t="shared" si="7"/>
        <v>159</v>
      </c>
      <c r="R283" s="4" t="s">
        <v>140</v>
      </c>
    </row>
    <row r="284" spans="1:22" x14ac:dyDescent="0.25">
      <c r="A284" s="40">
        <v>46120</v>
      </c>
      <c r="B284" s="28">
        <v>1</v>
      </c>
      <c r="C284" s="34" t="s">
        <v>133</v>
      </c>
      <c r="D284" s="34" t="s">
        <v>126</v>
      </c>
      <c r="Q284" s="35">
        <f t="shared" si="7"/>
        <v>0</v>
      </c>
      <c r="R284" s="4" t="s">
        <v>140</v>
      </c>
    </row>
    <row r="285" spans="1:22" x14ac:dyDescent="0.25">
      <c r="A285" s="40">
        <v>46120</v>
      </c>
      <c r="B285" s="28">
        <v>1</v>
      </c>
      <c r="C285" s="34" t="s">
        <v>143</v>
      </c>
      <c r="D285" s="34" t="s">
        <v>144</v>
      </c>
      <c r="Q285" s="35">
        <f t="shared" si="7"/>
        <v>0</v>
      </c>
      <c r="R285" s="4" t="s">
        <v>140</v>
      </c>
    </row>
    <row r="286" spans="1:22" x14ac:dyDescent="0.25">
      <c r="A286" s="40">
        <v>46120</v>
      </c>
      <c r="B286" s="28">
        <v>1</v>
      </c>
      <c r="C286" s="34" t="s">
        <v>138</v>
      </c>
      <c r="D286" s="34" t="s">
        <v>184</v>
      </c>
      <c r="E286" s="34">
        <v>15</v>
      </c>
      <c r="F286" s="34">
        <v>25</v>
      </c>
      <c r="G286" s="34">
        <v>21</v>
      </c>
      <c r="H286" s="34">
        <v>11</v>
      </c>
      <c r="I286" s="34">
        <v>19</v>
      </c>
      <c r="J286" s="34">
        <v>14</v>
      </c>
      <c r="K286" s="34">
        <v>25</v>
      </c>
      <c r="L286" s="34">
        <v>22</v>
      </c>
      <c r="Q286" s="35">
        <f t="shared" si="7"/>
        <v>152</v>
      </c>
      <c r="R286" s="4" t="s">
        <v>140</v>
      </c>
    </row>
    <row r="287" spans="1:22" x14ac:dyDescent="0.25">
      <c r="A287" s="40">
        <v>46120</v>
      </c>
      <c r="B287" s="28">
        <v>1</v>
      </c>
      <c r="C287" s="34" t="s">
        <v>132</v>
      </c>
      <c r="D287" s="34" t="s">
        <v>125</v>
      </c>
      <c r="E287" s="34">
        <v>8</v>
      </c>
      <c r="F287" s="34">
        <v>15</v>
      </c>
      <c r="G287" s="34">
        <v>14</v>
      </c>
      <c r="H287" s="34">
        <v>13</v>
      </c>
      <c r="I287" s="34">
        <v>15</v>
      </c>
      <c r="J287" s="34">
        <v>22</v>
      </c>
      <c r="K287" s="34">
        <v>13</v>
      </c>
      <c r="L287" s="34">
        <v>14</v>
      </c>
      <c r="Q287" s="35">
        <f t="shared" si="7"/>
        <v>114</v>
      </c>
      <c r="R287" s="4" t="s">
        <v>140</v>
      </c>
    </row>
    <row r="288" spans="1:22" x14ac:dyDescent="0.25">
      <c r="A288" s="40">
        <v>46120</v>
      </c>
      <c r="B288" s="28">
        <v>1</v>
      </c>
      <c r="C288" s="34" t="s">
        <v>137</v>
      </c>
      <c r="D288" s="34" t="s">
        <v>130</v>
      </c>
      <c r="E288" s="34">
        <v>9</v>
      </c>
      <c r="F288" s="34">
        <v>16</v>
      </c>
      <c r="G288" s="34">
        <v>16</v>
      </c>
      <c r="H288" s="34">
        <v>16</v>
      </c>
      <c r="I288" s="34">
        <v>22</v>
      </c>
      <c r="J288" s="34">
        <v>23</v>
      </c>
      <c r="K288" s="34">
        <v>21</v>
      </c>
      <c r="L288" s="34">
        <v>14</v>
      </c>
      <c r="Q288" s="35">
        <f t="shared" si="7"/>
        <v>137</v>
      </c>
      <c r="R288" s="4" t="s">
        <v>140</v>
      </c>
    </row>
    <row r="289" spans="1:18" x14ac:dyDescent="0.25">
      <c r="A289" s="40">
        <v>46120</v>
      </c>
      <c r="B289" s="28">
        <v>1</v>
      </c>
      <c r="C289" s="34" t="s">
        <v>135</v>
      </c>
      <c r="D289" s="34" t="s">
        <v>128</v>
      </c>
      <c r="E289" s="34">
        <v>11</v>
      </c>
      <c r="F289" s="34">
        <v>18</v>
      </c>
      <c r="G289" s="34">
        <v>17</v>
      </c>
      <c r="H289" s="34">
        <v>16</v>
      </c>
      <c r="I289" s="34">
        <v>19</v>
      </c>
      <c r="J289" s="34">
        <v>28</v>
      </c>
      <c r="K289" s="34">
        <v>21</v>
      </c>
      <c r="L289" s="34">
        <v>16</v>
      </c>
      <c r="Q289" s="35">
        <f t="shared" si="7"/>
        <v>146</v>
      </c>
      <c r="R289" s="4" t="s">
        <v>140</v>
      </c>
    </row>
    <row r="290" spans="1:18" x14ac:dyDescent="0.25">
      <c r="A290" s="40">
        <v>46120</v>
      </c>
      <c r="B290" s="28">
        <v>1</v>
      </c>
      <c r="C290" s="34" t="s">
        <v>134</v>
      </c>
      <c r="D290" s="34" t="s">
        <v>127</v>
      </c>
      <c r="E290" s="34">
        <v>12</v>
      </c>
      <c r="F290" s="34">
        <v>20</v>
      </c>
      <c r="G290" s="34">
        <v>18</v>
      </c>
      <c r="H290" s="34">
        <v>11</v>
      </c>
      <c r="I290" s="34">
        <v>12</v>
      </c>
      <c r="J290" s="34">
        <v>15</v>
      </c>
      <c r="K290" s="34">
        <v>17</v>
      </c>
      <c r="L290" s="34">
        <v>10</v>
      </c>
      <c r="Q290" s="35">
        <f t="shared" si="7"/>
        <v>115</v>
      </c>
      <c r="R290" s="4" t="s">
        <v>140</v>
      </c>
    </row>
    <row r="291" spans="1:18" x14ac:dyDescent="0.25">
      <c r="A291" s="40">
        <v>46120</v>
      </c>
      <c r="B291" s="28">
        <v>1</v>
      </c>
      <c r="C291" s="34" t="s">
        <v>216</v>
      </c>
      <c r="D291" s="34" t="s">
        <v>215</v>
      </c>
      <c r="E291" s="34">
        <v>7</v>
      </c>
      <c r="F291" s="34">
        <v>15</v>
      </c>
      <c r="G291" s="34">
        <v>16</v>
      </c>
      <c r="H291" s="34">
        <v>12</v>
      </c>
      <c r="I291" s="34">
        <v>21</v>
      </c>
      <c r="J291" s="34">
        <v>20</v>
      </c>
      <c r="K291" s="34">
        <v>15</v>
      </c>
      <c r="L291" s="34">
        <v>14</v>
      </c>
      <c r="Q291" s="35">
        <f t="shared" si="7"/>
        <v>120</v>
      </c>
      <c r="R291" s="4" t="s">
        <v>140</v>
      </c>
    </row>
    <row r="292" spans="1:18" x14ac:dyDescent="0.25">
      <c r="A292" s="40">
        <v>46120</v>
      </c>
      <c r="B292" s="28">
        <v>1</v>
      </c>
      <c r="C292" s="34" t="s">
        <v>361</v>
      </c>
      <c r="D292" s="34" t="s">
        <v>362</v>
      </c>
      <c r="E292" s="34">
        <v>9</v>
      </c>
      <c r="F292" s="34">
        <v>18</v>
      </c>
      <c r="G292" s="34">
        <v>21</v>
      </c>
      <c r="H292" s="34">
        <v>14</v>
      </c>
      <c r="I292" s="34">
        <v>18</v>
      </c>
      <c r="J292" s="34">
        <v>24</v>
      </c>
      <c r="K292" s="34">
        <v>13</v>
      </c>
      <c r="L292" s="34">
        <v>10</v>
      </c>
      <c r="Q292" s="35">
        <f t="shared" si="7"/>
        <v>127</v>
      </c>
      <c r="R292" s="4" t="s">
        <v>22</v>
      </c>
    </row>
    <row r="293" spans="1:18" x14ac:dyDescent="0.25">
      <c r="A293" s="40">
        <v>46120</v>
      </c>
      <c r="B293" s="28">
        <v>1</v>
      </c>
      <c r="C293" s="34" t="s">
        <v>363</v>
      </c>
      <c r="D293" s="34" t="s">
        <v>364</v>
      </c>
      <c r="E293" s="34">
        <v>10</v>
      </c>
      <c r="F293" s="34">
        <v>17</v>
      </c>
      <c r="G293" s="34">
        <v>16</v>
      </c>
      <c r="H293" s="34">
        <v>15</v>
      </c>
      <c r="I293" s="34">
        <v>21</v>
      </c>
      <c r="J293" s="34">
        <v>24</v>
      </c>
      <c r="K293" s="34">
        <v>21</v>
      </c>
      <c r="L293" s="34">
        <v>15</v>
      </c>
      <c r="Q293" s="35">
        <f t="shared" si="7"/>
        <v>139</v>
      </c>
      <c r="R293" s="4" t="s">
        <v>22</v>
      </c>
    </row>
    <row r="294" spans="1:18" x14ac:dyDescent="0.25">
      <c r="Q294" s="35">
        <f t="shared" si="7"/>
        <v>0</v>
      </c>
    </row>
    <row r="295" spans="1:18" x14ac:dyDescent="0.25">
      <c r="A295" s="40">
        <v>46122</v>
      </c>
      <c r="B295" s="28">
        <v>1</v>
      </c>
      <c r="C295" s="34" t="s">
        <v>100</v>
      </c>
      <c r="D295" s="34" t="s">
        <v>114</v>
      </c>
      <c r="E295" s="34">
        <v>29</v>
      </c>
      <c r="F295" s="34">
        <v>41</v>
      </c>
      <c r="G295" s="34">
        <v>39</v>
      </c>
      <c r="H295" s="34">
        <v>23</v>
      </c>
      <c r="I295" s="34">
        <v>20</v>
      </c>
      <c r="J295" s="34">
        <v>31</v>
      </c>
      <c r="K295" s="34">
        <v>35</v>
      </c>
      <c r="L295" s="34">
        <v>10</v>
      </c>
      <c r="M295" s="34">
        <v>22</v>
      </c>
      <c r="Q295" s="35">
        <f t="shared" ref="Q295:Q321" si="8">SUM(E295:P295)</f>
        <v>250</v>
      </c>
      <c r="R295" s="4" t="s">
        <v>22</v>
      </c>
    </row>
    <row r="296" spans="1:18" x14ac:dyDescent="0.25">
      <c r="A296" s="40">
        <v>46122</v>
      </c>
      <c r="B296" s="28">
        <v>1</v>
      </c>
      <c r="C296" s="34" t="s">
        <v>197</v>
      </c>
      <c r="D296" s="34" t="s">
        <v>114</v>
      </c>
      <c r="Q296" s="35">
        <f t="shared" si="8"/>
        <v>0</v>
      </c>
      <c r="R296" s="4" t="s">
        <v>22</v>
      </c>
    </row>
    <row r="297" spans="1:18" x14ac:dyDescent="0.25">
      <c r="A297" s="40">
        <v>46122</v>
      </c>
      <c r="B297" s="28">
        <v>1</v>
      </c>
      <c r="C297" s="34" t="s">
        <v>111</v>
      </c>
      <c r="D297" s="34" t="s">
        <v>124</v>
      </c>
      <c r="Q297" s="35">
        <f t="shared" si="8"/>
        <v>0</v>
      </c>
      <c r="R297" s="4" t="s">
        <v>22</v>
      </c>
    </row>
    <row r="298" spans="1:18" x14ac:dyDescent="0.25">
      <c r="A298" s="40">
        <v>46122</v>
      </c>
      <c r="B298" s="28">
        <v>1</v>
      </c>
      <c r="C298" s="34" t="s">
        <v>103</v>
      </c>
      <c r="D298" s="34" t="s">
        <v>115</v>
      </c>
      <c r="E298" s="34">
        <v>14</v>
      </c>
      <c r="F298" s="34">
        <v>21</v>
      </c>
      <c r="G298" s="34">
        <v>24</v>
      </c>
      <c r="H298" s="34">
        <v>17</v>
      </c>
      <c r="I298" s="34">
        <v>20</v>
      </c>
      <c r="J298" s="34">
        <v>24</v>
      </c>
      <c r="K298" s="34">
        <v>25</v>
      </c>
      <c r="L298" s="34">
        <v>5</v>
      </c>
      <c r="M298" s="34">
        <v>23</v>
      </c>
      <c r="Q298" s="35">
        <f t="shared" si="8"/>
        <v>173</v>
      </c>
      <c r="R298" s="4" t="s">
        <v>22</v>
      </c>
    </row>
    <row r="299" spans="1:18" x14ac:dyDescent="0.25">
      <c r="A299" s="40">
        <v>46122</v>
      </c>
      <c r="B299" s="28">
        <v>1</v>
      </c>
      <c r="C299" s="34" t="s">
        <v>102</v>
      </c>
      <c r="D299" s="34" t="s">
        <v>116</v>
      </c>
      <c r="E299" s="34">
        <v>12</v>
      </c>
      <c r="F299" s="34">
        <v>15</v>
      </c>
      <c r="G299" s="34">
        <v>23</v>
      </c>
      <c r="H299" s="34">
        <v>18</v>
      </c>
      <c r="I299" s="34">
        <v>25</v>
      </c>
      <c r="J299" s="34">
        <v>32</v>
      </c>
      <c r="K299" s="34">
        <v>22</v>
      </c>
      <c r="L299" s="34">
        <v>12</v>
      </c>
      <c r="M299" s="34">
        <v>26</v>
      </c>
      <c r="Q299" s="35">
        <f t="shared" si="8"/>
        <v>185</v>
      </c>
      <c r="R299" s="4" t="s">
        <v>22</v>
      </c>
    </row>
    <row r="300" spans="1:18" x14ac:dyDescent="0.25">
      <c r="A300" s="40">
        <v>46122</v>
      </c>
      <c r="B300" s="28">
        <v>1</v>
      </c>
      <c r="C300" s="34" t="s">
        <v>104</v>
      </c>
      <c r="D300" s="34" t="s">
        <v>117</v>
      </c>
      <c r="E300" s="34">
        <v>16</v>
      </c>
      <c r="F300" s="34">
        <v>29</v>
      </c>
      <c r="G300" s="34">
        <v>28</v>
      </c>
      <c r="H300" s="34">
        <v>17</v>
      </c>
      <c r="I300" s="34">
        <v>23</v>
      </c>
      <c r="J300" s="34">
        <v>28</v>
      </c>
      <c r="K300" s="34">
        <v>21</v>
      </c>
      <c r="L300" s="34">
        <v>7</v>
      </c>
      <c r="M300" s="34">
        <v>22</v>
      </c>
      <c r="Q300" s="35">
        <f t="shared" si="8"/>
        <v>191</v>
      </c>
      <c r="R300" s="4" t="s">
        <v>22</v>
      </c>
    </row>
    <row r="301" spans="1:18" x14ac:dyDescent="0.25">
      <c r="A301" s="40">
        <v>46122</v>
      </c>
      <c r="B301" s="28">
        <v>1</v>
      </c>
      <c r="C301" s="34" t="s">
        <v>105</v>
      </c>
      <c r="D301" s="34" t="s">
        <v>118</v>
      </c>
      <c r="E301" s="34">
        <v>21</v>
      </c>
      <c r="F301" s="34">
        <v>34</v>
      </c>
      <c r="G301" s="34">
        <v>38</v>
      </c>
      <c r="H301" s="34">
        <v>18</v>
      </c>
      <c r="I301" s="34">
        <v>16</v>
      </c>
      <c r="J301" s="34">
        <v>26</v>
      </c>
      <c r="K301" s="34">
        <v>31</v>
      </c>
      <c r="L301" s="34">
        <v>6</v>
      </c>
      <c r="M301" s="34">
        <v>17</v>
      </c>
      <c r="Q301" s="35">
        <f t="shared" si="8"/>
        <v>207</v>
      </c>
      <c r="R301" s="4" t="s">
        <v>22</v>
      </c>
    </row>
    <row r="302" spans="1:18" x14ac:dyDescent="0.25">
      <c r="A302" s="40">
        <v>46122</v>
      </c>
      <c r="B302" s="28">
        <v>1</v>
      </c>
      <c r="C302" s="34" t="s">
        <v>112</v>
      </c>
      <c r="D302" s="34" t="s">
        <v>119</v>
      </c>
      <c r="Q302" s="35">
        <f t="shared" si="8"/>
        <v>0</v>
      </c>
      <c r="R302" s="4" t="s">
        <v>22</v>
      </c>
    </row>
    <row r="303" spans="1:18" x14ac:dyDescent="0.25">
      <c r="A303" s="40">
        <v>46122</v>
      </c>
      <c r="B303" s="28">
        <v>1</v>
      </c>
      <c r="C303" s="34" t="s">
        <v>106</v>
      </c>
      <c r="D303" s="34" t="s">
        <v>119</v>
      </c>
      <c r="E303" s="34">
        <v>15</v>
      </c>
      <c r="F303" s="34">
        <v>23</v>
      </c>
      <c r="G303" s="34">
        <v>28</v>
      </c>
      <c r="H303" s="34">
        <v>13</v>
      </c>
      <c r="I303" s="34">
        <v>21</v>
      </c>
      <c r="J303" s="34">
        <v>20</v>
      </c>
      <c r="K303" s="34">
        <v>35</v>
      </c>
      <c r="L303" s="34">
        <v>10</v>
      </c>
      <c r="M303" s="34">
        <v>35</v>
      </c>
      <c r="Q303" s="35">
        <f t="shared" si="8"/>
        <v>200</v>
      </c>
      <c r="R303" s="4" t="s">
        <v>22</v>
      </c>
    </row>
    <row r="304" spans="1:18" x14ac:dyDescent="0.25">
      <c r="A304" s="40">
        <v>46122</v>
      </c>
      <c r="B304" s="28">
        <v>1</v>
      </c>
      <c r="C304" s="34" t="s">
        <v>107</v>
      </c>
      <c r="D304" s="34" t="s">
        <v>120</v>
      </c>
      <c r="E304" s="34">
        <v>12</v>
      </c>
      <c r="F304" s="34">
        <v>20</v>
      </c>
      <c r="G304" s="34">
        <v>27</v>
      </c>
      <c r="H304" s="34">
        <v>16</v>
      </c>
      <c r="I304" s="34">
        <v>25</v>
      </c>
      <c r="J304" s="34">
        <v>18</v>
      </c>
      <c r="K304" s="34">
        <v>36</v>
      </c>
      <c r="L304" s="34">
        <v>13</v>
      </c>
      <c r="M304" s="34">
        <v>41</v>
      </c>
      <c r="Q304" s="35">
        <f t="shared" si="8"/>
        <v>208</v>
      </c>
      <c r="R304" s="4" t="s">
        <v>22</v>
      </c>
    </row>
    <row r="305" spans="1:22" x14ac:dyDescent="0.25">
      <c r="A305" s="40">
        <v>46122</v>
      </c>
      <c r="B305" s="28">
        <v>1</v>
      </c>
      <c r="C305" s="34" t="s">
        <v>101</v>
      </c>
      <c r="D305" s="34" t="s">
        <v>113</v>
      </c>
      <c r="E305" s="34">
        <v>16</v>
      </c>
      <c r="F305" s="34">
        <v>23</v>
      </c>
      <c r="G305" s="34">
        <v>32</v>
      </c>
      <c r="H305" s="34">
        <v>17</v>
      </c>
      <c r="I305" s="34">
        <v>19</v>
      </c>
      <c r="J305" s="34">
        <v>25</v>
      </c>
      <c r="K305" s="34">
        <v>23</v>
      </c>
      <c r="L305" s="34">
        <v>13</v>
      </c>
      <c r="M305" s="34">
        <v>23</v>
      </c>
      <c r="Q305" s="35">
        <f t="shared" si="8"/>
        <v>191</v>
      </c>
      <c r="R305" s="4" t="s">
        <v>22</v>
      </c>
    </row>
    <row r="306" spans="1:22" x14ac:dyDescent="0.25">
      <c r="A306" s="40">
        <v>46122</v>
      </c>
      <c r="B306" s="28">
        <v>1</v>
      </c>
      <c r="C306" s="34" t="s">
        <v>108</v>
      </c>
      <c r="D306" s="34" t="s">
        <v>121</v>
      </c>
      <c r="E306" s="34">
        <v>12</v>
      </c>
      <c r="F306" s="34">
        <v>15</v>
      </c>
      <c r="G306" s="34">
        <v>22</v>
      </c>
      <c r="H306" s="34">
        <v>16</v>
      </c>
      <c r="I306" s="34">
        <v>9</v>
      </c>
      <c r="J306" s="34">
        <v>18</v>
      </c>
      <c r="K306" s="34">
        <v>24</v>
      </c>
      <c r="L306" s="34">
        <v>8</v>
      </c>
      <c r="M306" s="34">
        <v>26</v>
      </c>
      <c r="Q306" s="35">
        <f t="shared" si="8"/>
        <v>150</v>
      </c>
      <c r="R306" s="4" t="s">
        <v>22</v>
      </c>
    </row>
    <row r="307" spans="1:22" x14ac:dyDescent="0.25">
      <c r="A307" s="40">
        <v>46122</v>
      </c>
      <c r="B307" s="28">
        <v>1</v>
      </c>
      <c r="C307" s="34" t="s">
        <v>110</v>
      </c>
      <c r="D307" s="34" t="s">
        <v>123</v>
      </c>
      <c r="E307" s="34">
        <v>14</v>
      </c>
      <c r="F307" s="34">
        <v>24</v>
      </c>
      <c r="G307" s="34">
        <v>28</v>
      </c>
      <c r="H307" s="34">
        <v>17</v>
      </c>
      <c r="I307" s="34">
        <v>18</v>
      </c>
      <c r="J307" s="34">
        <v>26</v>
      </c>
      <c r="K307" s="34">
        <v>27</v>
      </c>
      <c r="L307" s="34">
        <v>13</v>
      </c>
      <c r="M307" s="34">
        <v>34</v>
      </c>
      <c r="Q307" s="35">
        <f t="shared" si="8"/>
        <v>201</v>
      </c>
      <c r="R307" s="4" t="s">
        <v>22</v>
      </c>
      <c r="V307" t="s">
        <v>324</v>
      </c>
    </row>
    <row r="308" spans="1:22" x14ac:dyDescent="0.25">
      <c r="A308" s="40">
        <v>46122</v>
      </c>
      <c r="B308" s="28">
        <v>1</v>
      </c>
      <c r="C308" s="34" t="s">
        <v>109</v>
      </c>
      <c r="D308" s="34" t="s">
        <v>122</v>
      </c>
      <c r="E308" s="34">
        <v>13</v>
      </c>
      <c r="F308" s="34">
        <v>24</v>
      </c>
      <c r="G308" s="34">
        <v>25</v>
      </c>
      <c r="H308" s="34">
        <v>15</v>
      </c>
      <c r="I308" s="34">
        <v>14</v>
      </c>
      <c r="J308" s="34">
        <v>28</v>
      </c>
      <c r="K308" s="34">
        <v>26</v>
      </c>
      <c r="L308" s="34">
        <v>9</v>
      </c>
      <c r="M308" s="34">
        <v>20</v>
      </c>
      <c r="Q308" s="35">
        <f t="shared" si="8"/>
        <v>174</v>
      </c>
      <c r="R308" s="4" t="s">
        <v>22</v>
      </c>
    </row>
    <row r="309" spans="1:22" x14ac:dyDescent="0.25">
      <c r="A309" s="40">
        <v>46122</v>
      </c>
      <c r="B309" s="28">
        <v>1</v>
      </c>
      <c r="C309" s="34" t="s">
        <v>272</v>
      </c>
      <c r="D309" s="34" t="s">
        <v>273</v>
      </c>
      <c r="E309" s="34">
        <v>11</v>
      </c>
      <c r="F309" s="34">
        <v>20</v>
      </c>
      <c r="G309" s="34">
        <v>19</v>
      </c>
      <c r="H309" s="34">
        <v>14</v>
      </c>
      <c r="I309" s="34">
        <v>15</v>
      </c>
      <c r="J309" s="34">
        <v>14</v>
      </c>
      <c r="K309" s="34">
        <v>11</v>
      </c>
      <c r="L309" s="34">
        <v>2</v>
      </c>
      <c r="M309" s="34">
        <v>12</v>
      </c>
      <c r="Q309" s="35">
        <f t="shared" si="8"/>
        <v>118</v>
      </c>
      <c r="R309" s="4" t="s">
        <v>22</v>
      </c>
    </row>
    <row r="310" spans="1:22" x14ac:dyDescent="0.25">
      <c r="A310" s="40">
        <v>46122</v>
      </c>
      <c r="B310" s="28">
        <v>1</v>
      </c>
      <c r="C310" s="34" t="s">
        <v>141</v>
      </c>
      <c r="D310" s="34" t="s">
        <v>142</v>
      </c>
      <c r="Q310" s="35">
        <f t="shared" si="8"/>
        <v>0</v>
      </c>
      <c r="R310" s="4" t="s">
        <v>140</v>
      </c>
    </row>
    <row r="311" spans="1:22" x14ac:dyDescent="0.25">
      <c r="A311" s="40">
        <v>46122</v>
      </c>
      <c r="B311" s="28">
        <v>1</v>
      </c>
      <c r="C311" s="34" t="s">
        <v>136</v>
      </c>
      <c r="D311" s="34" t="s">
        <v>129</v>
      </c>
      <c r="E311" s="34">
        <v>12</v>
      </c>
      <c r="F311" s="34">
        <v>14</v>
      </c>
      <c r="G311" s="34">
        <v>21</v>
      </c>
      <c r="H311" s="34">
        <v>18</v>
      </c>
      <c r="I311" s="34">
        <v>21</v>
      </c>
      <c r="J311" s="34">
        <v>21</v>
      </c>
      <c r="K311" s="34">
        <v>26</v>
      </c>
      <c r="L311" s="34">
        <v>11</v>
      </c>
      <c r="M311" s="34">
        <v>27</v>
      </c>
      <c r="Q311" s="35">
        <f t="shared" si="8"/>
        <v>171</v>
      </c>
      <c r="R311" s="4" t="s">
        <v>140</v>
      </c>
    </row>
    <row r="312" spans="1:22" x14ac:dyDescent="0.25">
      <c r="A312" s="40">
        <v>46122</v>
      </c>
      <c r="B312" s="28">
        <v>1</v>
      </c>
      <c r="C312" s="34" t="s">
        <v>133</v>
      </c>
      <c r="D312" s="34" t="s">
        <v>126</v>
      </c>
      <c r="Q312" s="35">
        <f t="shared" si="8"/>
        <v>0</v>
      </c>
      <c r="R312" s="4" t="s">
        <v>140</v>
      </c>
    </row>
    <row r="313" spans="1:22" x14ac:dyDescent="0.25">
      <c r="A313" s="40">
        <v>46122</v>
      </c>
      <c r="B313" s="28">
        <v>1</v>
      </c>
      <c r="C313" s="34" t="s">
        <v>143</v>
      </c>
      <c r="D313" s="34" t="s">
        <v>144</v>
      </c>
      <c r="Q313" s="35">
        <f t="shared" si="8"/>
        <v>0</v>
      </c>
      <c r="R313" s="4" t="s">
        <v>140</v>
      </c>
    </row>
    <row r="314" spans="1:22" x14ac:dyDescent="0.25">
      <c r="A314" s="40">
        <v>46122</v>
      </c>
      <c r="B314" s="28">
        <v>1</v>
      </c>
      <c r="C314" s="34" t="s">
        <v>138</v>
      </c>
      <c r="D314" s="34" t="s">
        <v>184</v>
      </c>
      <c r="E314" s="34">
        <v>13</v>
      </c>
      <c r="F314" s="34">
        <v>20</v>
      </c>
      <c r="G314" s="34">
        <v>23</v>
      </c>
      <c r="H314" s="34">
        <v>15</v>
      </c>
      <c r="I314" s="34">
        <v>19</v>
      </c>
      <c r="J314" s="34">
        <v>24</v>
      </c>
      <c r="K314" s="34">
        <v>26</v>
      </c>
      <c r="L314" s="34">
        <v>14</v>
      </c>
      <c r="M314" s="34">
        <v>28</v>
      </c>
      <c r="Q314" s="35">
        <f t="shared" si="8"/>
        <v>182</v>
      </c>
      <c r="R314" s="4" t="s">
        <v>140</v>
      </c>
    </row>
    <row r="315" spans="1:22" x14ac:dyDescent="0.25">
      <c r="A315" s="40">
        <v>46122</v>
      </c>
      <c r="B315" s="28">
        <v>1</v>
      </c>
      <c r="C315" s="34" t="s">
        <v>132</v>
      </c>
      <c r="D315" s="34" t="s">
        <v>125</v>
      </c>
      <c r="E315" s="34">
        <v>10</v>
      </c>
      <c r="F315" s="34">
        <v>14</v>
      </c>
      <c r="G315" s="34">
        <v>16</v>
      </c>
      <c r="H315" s="34">
        <v>21</v>
      </c>
      <c r="I315" s="34">
        <v>23</v>
      </c>
      <c r="J315" s="34">
        <v>18</v>
      </c>
      <c r="K315" s="34">
        <v>12</v>
      </c>
      <c r="L315" s="34">
        <v>2</v>
      </c>
      <c r="M315" s="34">
        <v>21</v>
      </c>
      <c r="Q315" s="35">
        <f t="shared" si="8"/>
        <v>137</v>
      </c>
      <c r="R315" s="4" t="s">
        <v>140</v>
      </c>
    </row>
    <row r="316" spans="1:22" x14ac:dyDescent="0.25">
      <c r="A316" s="40">
        <v>46122</v>
      </c>
      <c r="B316" s="28">
        <v>1</v>
      </c>
      <c r="C316" s="34" t="s">
        <v>137</v>
      </c>
      <c r="D316" s="34" t="s">
        <v>130</v>
      </c>
      <c r="E316" s="34">
        <v>12</v>
      </c>
      <c r="F316" s="34">
        <v>15</v>
      </c>
      <c r="G316" s="34">
        <v>22</v>
      </c>
      <c r="H316" s="34">
        <v>18</v>
      </c>
      <c r="I316" s="34">
        <v>22</v>
      </c>
      <c r="J316" s="34">
        <v>18</v>
      </c>
      <c r="K316" s="34">
        <v>25</v>
      </c>
      <c r="L316" s="34">
        <v>9</v>
      </c>
      <c r="M316" s="34">
        <v>28</v>
      </c>
      <c r="Q316" s="35">
        <f t="shared" si="8"/>
        <v>169</v>
      </c>
      <c r="R316" s="4" t="s">
        <v>140</v>
      </c>
    </row>
    <row r="317" spans="1:22" x14ac:dyDescent="0.25">
      <c r="A317" s="40">
        <v>46122</v>
      </c>
      <c r="B317" s="28">
        <v>1</v>
      </c>
      <c r="C317" s="34" t="s">
        <v>135</v>
      </c>
      <c r="D317" s="34" t="s">
        <v>128</v>
      </c>
      <c r="E317" s="34">
        <v>11</v>
      </c>
      <c r="F317" s="34">
        <v>19</v>
      </c>
      <c r="G317" s="34">
        <v>23</v>
      </c>
      <c r="H317" s="34">
        <v>13</v>
      </c>
      <c r="I317" s="34">
        <v>19</v>
      </c>
      <c r="J317" s="34">
        <v>21</v>
      </c>
      <c r="K317" s="34">
        <v>31</v>
      </c>
      <c r="L317" s="34">
        <v>8</v>
      </c>
      <c r="M317" s="34">
        <v>29</v>
      </c>
      <c r="Q317" s="35">
        <f t="shared" si="8"/>
        <v>174</v>
      </c>
      <c r="R317" s="4" t="s">
        <v>140</v>
      </c>
    </row>
    <row r="318" spans="1:22" x14ac:dyDescent="0.25">
      <c r="A318" s="40">
        <v>46122</v>
      </c>
      <c r="B318" s="28">
        <v>1</v>
      </c>
      <c r="C318" s="34" t="s">
        <v>134</v>
      </c>
      <c r="D318" s="34" t="s">
        <v>127</v>
      </c>
      <c r="E318" s="34">
        <v>17</v>
      </c>
      <c r="F318" s="34">
        <v>31</v>
      </c>
      <c r="G318" s="34">
        <v>27</v>
      </c>
      <c r="H318" s="34">
        <v>21</v>
      </c>
      <c r="I318" s="34">
        <v>25</v>
      </c>
      <c r="J318" s="34">
        <v>25</v>
      </c>
      <c r="K318" s="34">
        <v>22</v>
      </c>
      <c r="L318" s="34">
        <v>6</v>
      </c>
      <c r="M318" s="34">
        <v>16</v>
      </c>
      <c r="Q318" s="35">
        <f t="shared" si="8"/>
        <v>190</v>
      </c>
      <c r="R318" s="4" t="s">
        <v>140</v>
      </c>
    </row>
    <row r="319" spans="1:22" x14ac:dyDescent="0.25">
      <c r="A319" s="40">
        <v>46122</v>
      </c>
      <c r="B319" s="28">
        <v>1</v>
      </c>
      <c r="C319" s="34" t="s">
        <v>216</v>
      </c>
      <c r="D319" s="34" t="s">
        <v>215</v>
      </c>
      <c r="E319" s="34">
        <v>11</v>
      </c>
      <c r="F319" s="34">
        <v>14</v>
      </c>
      <c r="G319" s="34">
        <v>19</v>
      </c>
      <c r="H319" s="34">
        <v>18</v>
      </c>
      <c r="I319" s="34">
        <v>22</v>
      </c>
      <c r="J319" s="34">
        <v>25</v>
      </c>
      <c r="K319" s="34">
        <v>22</v>
      </c>
      <c r="L319" s="34">
        <v>10</v>
      </c>
      <c r="M319" s="34">
        <v>26</v>
      </c>
      <c r="Q319" s="35">
        <f t="shared" si="8"/>
        <v>167</v>
      </c>
      <c r="R319" s="4" t="s">
        <v>140</v>
      </c>
    </row>
    <row r="320" spans="1:22" x14ac:dyDescent="0.25">
      <c r="A320" s="40">
        <v>46122</v>
      </c>
      <c r="B320" s="28">
        <v>1</v>
      </c>
      <c r="C320" s="34" t="s">
        <v>361</v>
      </c>
      <c r="D320" s="34" t="s">
        <v>362</v>
      </c>
      <c r="E320" s="34">
        <v>17</v>
      </c>
      <c r="F320" s="34">
        <v>28</v>
      </c>
      <c r="G320" s="34">
        <v>23</v>
      </c>
      <c r="H320" s="34">
        <v>14</v>
      </c>
      <c r="I320" s="34">
        <v>23</v>
      </c>
      <c r="J320" s="34">
        <v>31</v>
      </c>
      <c r="K320" s="34">
        <v>19</v>
      </c>
      <c r="L320" s="34">
        <v>9</v>
      </c>
      <c r="M320" s="34">
        <v>23</v>
      </c>
      <c r="Q320" s="35">
        <f t="shared" si="8"/>
        <v>187</v>
      </c>
      <c r="R320" s="4" t="s">
        <v>22</v>
      </c>
    </row>
    <row r="321" spans="1:22" x14ac:dyDescent="0.25">
      <c r="A321" s="40">
        <v>46122</v>
      </c>
      <c r="B321" s="28">
        <v>1</v>
      </c>
      <c r="C321" s="34" t="s">
        <v>363</v>
      </c>
      <c r="D321" s="34" t="s">
        <v>364</v>
      </c>
      <c r="E321" s="34">
        <v>11</v>
      </c>
      <c r="F321" s="34">
        <v>25</v>
      </c>
      <c r="G321" s="34">
        <v>18</v>
      </c>
      <c r="H321" s="34">
        <v>23</v>
      </c>
      <c r="I321" s="34">
        <v>23</v>
      </c>
      <c r="J321" s="34">
        <v>20</v>
      </c>
      <c r="K321" s="34">
        <v>20</v>
      </c>
      <c r="L321" s="34">
        <v>4</v>
      </c>
      <c r="M321" s="34">
        <v>16</v>
      </c>
      <c r="Q321" s="35">
        <f t="shared" si="8"/>
        <v>160</v>
      </c>
      <c r="R321" s="4" t="s">
        <v>22</v>
      </c>
    </row>
    <row r="322" spans="1:22" x14ac:dyDescent="0.25">
      <c r="A322" s="40">
        <v>46122</v>
      </c>
      <c r="B322" s="28">
        <v>1</v>
      </c>
      <c r="C322" s="34" t="s">
        <v>395</v>
      </c>
      <c r="D322" s="34" t="s">
        <v>396</v>
      </c>
      <c r="E322" s="34">
        <v>16</v>
      </c>
      <c r="F322" s="34">
        <v>30</v>
      </c>
      <c r="G322" s="34">
        <v>32</v>
      </c>
      <c r="H322" s="34">
        <v>21</v>
      </c>
      <c r="I322" s="34">
        <v>21</v>
      </c>
      <c r="J322" s="34">
        <v>27</v>
      </c>
      <c r="K322" s="34">
        <v>30</v>
      </c>
      <c r="L322" s="34">
        <v>9</v>
      </c>
      <c r="M322" s="34">
        <v>26</v>
      </c>
      <c r="Q322" s="35">
        <f t="shared" ref="Q322:Q385" si="9">SUM(E322:P322)</f>
        <v>212</v>
      </c>
      <c r="R322" s="4" t="s">
        <v>22</v>
      </c>
    </row>
    <row r="323" spans="1:22" x14ac:dyDescent="0.25">
      <c r="Q323" s="35">
        <f t="shared" si="9"/>
        <v>0</v>
      </c>
    </row>
    <row r="324" spans="1:22" x14ac:dyDescent="0.25">
      <c r="A324" s="40">
        <v>46123</v>
      </c>
      <c r="B324" s="28">
        <v>1</v>
      </c>
      <c r="C324" s="34" t="s">
        <v>100</v>
      </c>
      <c r="D324" s="34" t="s">
        <v>114</v>
      </c>
      <c r="E324" s="34">
        <v>19</v>
      </c>
      <c r="F324" s="34">
        <v>11</v>
      </c>
      <c r="G324" s="34">
        <v>15</v>
      </c>
      <c r="H324" s="34">
        <v>17</v>
      </c>
      <c r="I324" s="34">
        <v>30</v>
      </c>
      <c r="J324" s="34">
        <v>31</v>
      </c>
      <c r="K324" s="34">
        <v>43</v>
      </c>
      <c r="L324" s="34">
        <v>30</v>
      </c>
      <c r="Q324" s="35">
        <f t="shared" si="9"/>
        <v>196</v>
      </c>
      <c r="R324" s="4" t="s">
        <v>22</v>
      </c>
    </row>
    <row r="325" spans="1:22" x14ac:dyDescent="0.25">
      <c r="A325" s="40">
        <v>46123</v>
      </c>
      <c r="B325" s="28">
        <v>1</v>
      </c>
      <c r="C325" s="34" t="s">
        <v>197</v>
      </c>
      <c r="D325" s="34" t="s">
        <v>114</v>
      </c>
      <c r="Q325" s="35">
        <f t="shared" si="9"/>
        <v>0</v>
      </c>
      <c r="R325" s="4" t="s">
        <v>22</v>
      </c>
    </row>
    <row r="326" spans="1:22" x14ac:dyDescent="0.25">
      <c r="A326" s="40">
        <v>46123</v>
      </c>
      <c r="B326" s="28">
        <v>1</v>
      </c>
      <c r="C326" s="34" t="s">
        <v>111</v>
      </c>
      <c r="D326" s="34" t="s">
        <v>124</v>
      </c>
      <c r="E326" s="34">
        <v>13</v>
      </c>
      <c r="F326" s="34">
        <v>17</v>
      </c>
      <c r="G326" s="34">
        <v>17</v>
      </c>
      <c r="H326" s="34">
        <v>11</v>
      </c>
      <c r="I326" s="34">
        <v>23</v>
      </c>
      <c r="J326" s="34">
        <v>21</v>
      </c>
      <c r="K326" s="34">
        <v>29</v>
      </c>
      <c r="L326" s="34">
        <v>18</v>
      </c>
      <c r="Q326" s="35">
        <f t="shared" si="9"/>
        <v>149</v>
      </c>
      <c r="R326" s="4" t="s">
        <v>22</v>
      </c>
    </row>
    <row r="327" spans="1:22" x14ac:dyDescent="0.25">
      <c r="A327" s="40">
        <v>46123</v>
      </c>
      <c r="B327" s="28">
        <v>1</v>
      </c>
      <c r="C327" s="34" t="s">
        <v>103</v>
      </c>
      <c r="D327" s="34" t="s">
        <v>115</v>
      </c>
      <c r="E327" s="34">
        <v>10</v>
      </c>
      <c r="F327" s="34">
        <v>13</v>
      </c>
      <c r="G327" s="34">
        <v>16</v>
      </c>
      <c r="H327" s="34">
        <v>9</v>
      </c>
      <c r="I327" s="34">
        <v>19</v>
      </c>
      <c r="J327" s="34">
        <v>18</v>
      </c>
      <c r="K327" s="34">
        <v>35</v>
      </c>
      <c r="L327" s="34">
        <v>20</v>
      </c>
      <c r="Q327" s="35">
        <f t="shared" si="9"/>
        <v>140</v>
      </c>
      <c r="R327" s="4" t="s">
        <v>22</v>
      </c>
    </row>
    <row r="328" spans="1:22" x14ac:dyDescent="0.25">
      <c r="A328" s="40">
        <v>46123</v>
      </c>
      <c r="B328" s="28">
        <v>1</v>
      </c>
      <c r="C328" s="34" t="s">
        <v>102</v>
      </c>
      <c r="D328" s="34" t="s">
        <v>116</v>
      </c>
      <c r="E328" s="34">
        <v>10</v>
      </c>
      <c r="F328" s="34">
        <v>19</v>
      </c>
      <c r="G328" s="34">
        <v>20</v>
      </c>
      <c r="H328" s="34">
        <v>7</v>
      </c>
      <c r="I328" s="34">
        <v>1</v>
      </c>
      <c r="Q328" s="35">
        <f t="shared" si="9"/>
        <v>57</v>
      </c>
      <c r="R328" s="4" t="s">
        <v>22</v>
      </c>
    </row>
    <row r="329" spans="1:22" x14ac:dyDescent="0.25">
      <c r="A329" s="40">
        <v>46123</v>
      </c>
      <c r="B329" s="28">
        <v>1</v>
      </c>
      <c r="C329" s="34" t="s">
        <v>104</v>
      </c>
      <c r="D329" s="34" t="s">
        <v>117</v>
      </c>
      <c r="E329" s="34">
        <v>16</v>
      </c>
      <c r="F329" s="34">
        <v>20</v>
      </c>
      <c r="G329" s="34">
        <v>26</v>
      </c>
      <c r="H329" s="34">
        <v>2</v>
      </c>
      <c r="I329" s="34">
        <v>19</v>
      </c>
      <c r="J329" s="34">
        <v>20</v>
      </c>
      <c r="K329" s="34">
        <v>33</v>
      </c>
      <c r="L329" s="34">
        <v>16</v>
      </c>
      <c r="Q329" s="35">
        <f t="shared" si="9"/>
        <v>152</v>
      </c>
      <c r="R329" s="4" t="s">
        <v>22</v>
      </c>
    </row>
    <row r="330" spans="1:22" x14ac:dyDescent="0.25">
      <c r="A330" s="40">
        <v>46123</v>
      </c>
      <c r="B330" s="28">
        <v>1</v>
      </c>
      <c r="C330" s="34" t="s">
        <v>105</v>
      </c>
      <c r="D330" s="34" t="s">
        <v>118</v>
      </c>
      <c r="Q330" s="35">
        <f t="shared" si="9"/>
        <v>0</v>
      </c>
      <c r="R330" s="4" t="s">
        <v>22</v>
      </c>
    </row>
    <row r="331" spans="1:22" x14ac:dyDescent="0.25">
      <c r="A331" s="40">
        <v>46123</v>
      </c>
      <c r="B331" s="28">
        <v>1</v>
      </c>
      <c r="C331" s="34" t="s">
        <v>112</v>
      </c>
      <c r="D331" s="34" t="s">
        <v>119</v>
      </c>
      <c r="Q331" s="35">
        <f t="shared" si="9"/>
        <v>0</v>
      </c>
      <c r="R331" s="4" t="s">
        <v>22</v>
      </c>
    </row>
    <row r="332" spans="1:22" x14ac:dyDescent="0.25">
      <c r="A332" s="40">
        <v>46123</v>
      </c>
      <c r="B332" s="28">
        <v>1</v>
      </c>
      <c r="C332" s="34" t="s">
        <v>106</v>
      </c>
      <c r="D332" s="34" t="s">
        <v>119</v>
      </c>
      <c r="E332" s="34">
        <v>10</v>
      </c>
      <c r="F332" s="34">
        <v>18</v>
      </c>
      <c r="G332" s="34">
        <v>23</v>
      </c>
      <c r="H332" s="34">
        <v>16</v>
      </c>
      <c r="I332" s="34">
        <v>25</v>
      </c>
      <c r="J332" s="34">
        <v>12</v>
      </c>
      <c r="K332" s="34">
        <v>34</v>
      </c>
      <c r="L332" s="34">
        <v>19</v>
      </c>
      <c r="Q332" s="35">
        <f t="shared" si="9"/>
        <v>157</v>
      </c>
      <c r="R332" s="4" t="s">
        <v>22</v>
      </c>
    </row>
    <row r="333" spans="1:22" x14ac:dyDescent="0.25">
      <c r="A333" s="40">
        <v>46123</v>
      </c>
      <c r="B333" s="28">
        <v>1</v>
      </c>
      <c r="C333" s="34" t="s">
        <v>107</v>
      </c>
      <c r="D333" s="34" t="s">
        <v>120</v>
      </c>
      <c r="E333" s="34">
        <v>9</v>
      </c>
      <c r="F333" s="34">
        <v>17</v>
      </c>
      <c r="G333" s="34">
        <v>24</v>
      </c>
      <c r="H333" s="34">
        <v>16</v>
      </c>
      <c r="I333" s="34">
        <v>26</v>
      </c>
      <c r="J333" s="34">
        <v>14</v>
      </c>
      <c r="K333" s="34">
        <v>33</v>
      </c>
      <c r="L333" s="34">
        <v>22</v>
      </c>
      <c r="Q333" s="35">
        <f t="shared" si="9"/>
        <v>161</v>
      </c>
      <c r="R333" s="4" t="s">
        <v>22</v>
      </c>
    </row>
    <row r="334" spans="1:22" x14ac:dyDescent="0.25">
      <c r="A334" s="40">
        <v>46123</v>
      </c>
      <c r="B334" s="28">
        <v>1</v>
      </c>
      <c r="C334" s="34" t="s">
        <v>101</v>
      </c>
      <c r="D334" s="34" t="s">
        <v>113</v>
      </c>
      <c r="E334" s="34">
        <v>21</v>
      </c>
      <c r="F334" s="34">
        <v>12</v>
      </c>
      <c r="G334" s="34">
        <v>14</v>
      </c>
      <c r="H334" s="34">
        <v>14</v>
      </c>
      <c r="I334" s="34">
        <v>22</v>
      </c>
      <c r="J334" s="34">
        <v>25</v>
      </c>
      <c r="K334" s="34">
        <v>27</v>
      </c>
      <c r="L334" s="34">
        <v>18</v>
      </c>
      <c r="Q334" s="35">
        <f t="shared" si="9"/>
        <v>153</v>
      </c>
      <c r="R334" s="4" t="s">
        <v>22</v>
      </c>
    </row>
    <row r="335" spans="1:22" x14ac:dyDescent="0.25">
      <c r="A335" s="40">
        <v>46123</v>
      </c>
      <c r="B335" s="28">
        <v>1</v>
      </c>
      <c r="C335" s="34" t="s">
        <v>108</v>
      </c>
      <c r="D335" s="34" t="s">
        <v>121</v>
      </c>
      <c r="E335" s="34">
        <v>10</v>
      </c>
      <c r="F335" s="34">
        <v>14</v>
      </c>
      <c r="G335" s="34">
        <v>19</v>
      </c>
      <c r="H335" s="34">
        <v>12</v>
      </c>
      <c r="I335" s="34">
        <v>14</v>
      </c>
      <c r="Q335" s="35">
        <f t="shared" si="9"/>
        <v>69</v>
      </c>
      <c r="R335" s="4" t="s">
        <v>22</v>
      </c>
    </row>
    <row r="336" spans="1:22" x14ac:dyDescent="0.25">
      <c r="A336" s="40">
        <v>46123</v>
      </c>
      <c r="B336" s="28">
        <v>1</v>
      </c>
      <c r="C336" s="34" t="s">
        <v>110</v>
      </c>
      <c r="D336" s="34" t="s">
        <v>123</v>
      </c>
      <c r="E336" s="34">
        <v>21</v>
      </c>
      <c r="F336" s="34">
        <v>11</v>
      </c>
      <c r="G336" s="34">
        <v>22</v>
      </c>
      <c r="H336" s="34">
        <v>11</v>
      </c>
      <c r="I336" s="34">
        <v>19</v>
      </c>
      <c r="J336" s="34">
        <v>20</v>
      </c>
      <c r="K336" s="34">
        <v>33</v>
      </c>
      <c r="L336" s="34">
        <v>20</v>
      </c>
      <c r="Q336" s="35">
        <f t="shared" si="9"/>
        <v>157</v>
      </c>
      <c r="R336" s="4" t="s">
        <v>22</v>
      </c>
      <c r="V336" t="s">
        <v>324</v>
      </c>
    </row>
    <row r="337" spans="1:18" x14ac:dyDescent="0.25">
      <c r="A337" s="40">
        <v>46123</v>
      </c>
      <c r="B337" s="28">
        <v>1</v>
      </c>
      <c r="C337" s="34" t="s">
        <v>109</v>
      </c>
      <c r="D337" s="34" t="s">
        <v>122</v>
      </c>
      <c r="E337" s="34">
        <v>22</v>
      </c>
      <c r="F337" s="34">
        <v>10</v>
      </c>
      <c r="G337" s="34">
        <v>26</v>
      </c>
      <c r="H337" s="34">
        <v>10</v>
      </c>
      <c r="I337" s="34">
        <v>18</v>
      </c>
      <c r="J337" s="34">
        <v>23</v>
      </c>
      <c r="K337" s="34">
        <v>29</v>
      </c>
      <c r="L337" s="34">
        <v>17</v>
      </c>
      <c r="Q337" s="35">
        <f t="shared" si="9"/>
        <v>155</v>
      </c>
      <c r="R337" s="4" t="s">
        <v>22</v>
      </c>
    </row>
    <row r="338" spans="1:18" x14ac:dyDescent="0.25">
      <c r="A338" s="40">
        <v>46123</v>
      </c>
      <c r="B338" s="28">
        <v>1</v>
      </c>
      <c r="C338" s="34" t="s">
        <v>272</v>
      </c>
      <c r="D338" s="34" t="s">
        <v>273</v>
      </c>
      <c r="E338" s="34">
        <v>10</v>
      </c>
      <c r="F338" s="34">
        <v>15</v>
      </c>
      <c r="G338" s="34">
        <v>18</v>
      </c>
      <c r="H338" s="34">
        <v>2</v>
      </c>
      <c r="I338" s="34">
        <v>4</v>
      </c>
      <c r="J338" s="34">
        <v>15</v>
      </c>
      <c r="K338" s="34">
        <v>24</v>
      </c>
      <c r="L338" s="34">
        <v>14</v>
      </c>
      <c r="Q338" s="35">
        <f t="shared" si="9"/>
        <v>102</v>
      </c>
      <c r="R338" s="4" t="s">
        <v>22</v>
      </c>
    </row>
    <row r="339" spans="1:18" x14ac:dyDescent="0.25">
      <c r="A339" s="40">
        <v>46123</v>
      </c>
      <c r="B339" s="28">
        <v>1</v>
      </c>
      <c r="C339" s="34" t="s">
        <v>361</v>
      </c>
      <c r="D339" s="34" t="s">
        <v>362</v>
      </c>
      <c r="E339" s="34">
        <v>16</v>
      </c>
      <c r="F339" s="34">
        <v>23</v>
      </c>
      <c r="G339" s="34">
        <v>25</v>
      </c>
      <c r="H339" s="34">
        <v>4</v>
      </c>
      <c r="I339" s="34">
        <v>17</v>
      </c>
      <c r="J339" s="34">
        <v>15</v>
      </c>
      <c r="K339" s="34">
        <v>33</v>
      </c>
      <c r="L339" s="34">
        <v>14</v>
      </c>
      <c r="Q339" s="35">
        <f t="shared" ref="Q339:Q341" si="10">SUM(E339:P339)</f>
        <v>147</v>
      </c>
      <c r="R339" s="4" t="s">
        <v>22</v>
      </c>
    </row>
    <row r="340" spans="1:18" x14ac:dyDescent="0.25">
      <c r="A340" s="40">
        <v>46123</v>
      </c>
      <c r="B340" s="28">
        <v>1</v>
      </c>
      <c r="C340" s="34" t="s">
        <v>363</v>
      </c>
      <c r="D340" s="34" t="s">
        <v>364</v>
      </c>
      <c r="E340" s="34">
        <v>8</v>
      </c>
      <c r="F340" s="34">
        <v>12</v>
      </c>
      <c r="G340" s="34">
        <v>17</v>
      </c>
      <c r="H340" s="34">
        <v>6</v>
      </c>
      <c r="I340" s="34">
        <v>18</v>
      </c>
      <c r="J340" s="34">
        <v>18</v>
      </c>
      <c r="K340" s="34">
        <v>29</v>
      </c>
      <c r="L340" s="34">
        <v>19</v>
      </c>
      <c r="Q340" s="35">
        <f t="shared" si="10"/>
        <v>127</v>
      </c>
      <c r="R340" s="4" t="s">
        <v>22</v>
      </c>
    </row>
    <row r="341" spans="1:18" x14ac:dyDescent="0.25">
      <c r="A341" s="40">
        <v>46123</v>
      </c>
      <c r="B341" s="28">
        <v>1</v>
      </c>
      <c r="C341" s="34" t="s">
        <v>395</v>
      </c>
      <c r="D341" s="34" t="s">
        <v>396</v>
      </c>
      <c r="Q341" s="35">
        <f t="shared" si="10"/>
        <v>0</v>
      </c>
      <c r="R341" s="4" t="s">
        <v>22</v>
      </c>
    </row>
    <row r="342" spans="1:18" x14ac:dyDescent="0.25">
      <c r="A342" s="40">
        <v>46123</v>
      </c>
      <c r="B342" s="28">
        <v>1</v>
      </c>
      <c r="C342" s="34" t="s">
        <v>141</v>
      </c>
      <c r="D342" s="34" t="s">
        <v>142</v>
      </c>
      <c r="Q342" s="35">
        <f t="shared" si="9"/>
        <v>0</v>
      </c>
      <c r="R342" s="4" t="s">
        <v>140</v>
      </c>
    </row>
    <row r="343" spans="1:18" x14ac:dyDescent="0.25">
      <c r="A343" s="40">
        <v>46123</v>
      </c>
      <c r="B343" s="28">
        <v>1</v>
      </c>
      <c r="C343" s="34" t="s">
        <v>136</v>
      </c>
      <c r="D343" s="34" t="s">
        <v>129</v>
      </c>
      <c r="E343" s="34">
        <v>9</v>
      </c>
      <c r="F343" s="34">
        <v>7</v>
      </c>
      <c r="G343" s="34">
        <v>13</v>
      </c>
      <c r="H343" s="34">
        <v>5</v>
      </c>
      <c r="I343" s="34">
        <v>19</v>
      </c>
      <c r="J343" s="34">
        <v>21</v>
      </c>
      <c r="K343" s="34">
        <v>33</v>
      </c>
      <c r="L343" s="34">
        <v>14</v>
      </c>
      <c r="Q343" s="35">
        <f t="shared" si="9"/>
        <v>121</v>
      </c>
      <c r="R343" s="4" t="s">
        <v>140</v>
      </c>
    </row>
    <row r="344" spans="1:18" x14ac:dyDescent="0.25">
      <c r="A344" s="40">
        <v>46123</v>
      </c>
      <c r="B344" s="28">
        <v>1</v>
      </c>
      <c r="C344" s="34" t="s">
        <v>133</v>
      </c>
      <c r="D344" s="34" t="s">
        <v>126</v>
      </c>
      <c r="Q344" s="35">
        <f t="shared" si="9"/>
        <v>0</v>
      </c>
      <c r="R344" s="4" t="s">
        <v>140</v>
      </c>
    </row>
    <row r="345" spans="1:18" x14ac:dyDescent="0.25">
      <c r="A345" s="40">
        <v>46123</v>
      </c>
      <c r="B345" s="28">
        <v>1</v>
      </c>
      <c r="C345" s="34" t="s">
        <v>143</v>
      </c>
      <c r="D345" s="34" t="s">
        <v>144</v>
      </c>
      <c r="Q345" s="35">
        <f t="shared" si="9"/>
        <v>0</v>
      </c>
      <c r="R345" s="4" t="s">
        <v>140</v>
      </c>
    </row>
    <row r="346" spans="1:18" x14ac:dyDescent="0.25">
      <c r="A346" s="40">
        <v>46123</v>
      </c>
      <c r="B346" s="28">
        <v>1</v>
      </c>
      <c r="C346" s="34" t="s">
        <v>138</v>
      </c>
      <c r="D346" s="34" t="s">
        <v>184</v>
      </c>
      <c r="E346" s="34">
        <v>19</v>
      </c>
      <c r="F346" s="34">
        <v>12</v>
      </c>
      <c r="G346" s="34">
        <v>12</v>
      </c>
      <c r="H346" s="34">
        <v>10</v>
      </c>
      <c r="I346" s="34">
        <v>24</v>
      </c>
      <c r="J346" s="34">
        <v>20</v>
      </c>
      <c r="K346" s="34">
        <v>26</v>
      </c>
      <c r="L346" s="34">
        <v>15</v>
      </c>
      <c r="Q346" s="35">
        <f t="shared" si="9"/>
        <v>138</v>
      </c>
      <c r="R346" s="4" t="s">
        <v>140</v>
      </c>
    </row>
    <row r="347" spans="1:18" x14ac:dyDescent="0.25">
      <c r="A347" s="40">
        <v>46123</v>
      </c>
      <c r="B347" s="28">
        <v>1</v>
      </c>
      <c r="C347" s="34" t="s">
        <v>132</v>
      </c>
      <c r="D347" s="34" t="s">
        <v>125</v>
      </c>
      <c r="E347" s="34">
        <v>14</v>
      </c>
      <c r="F347" s="34">
        <v>20</v>
      </c>
      <c r="G347" s="34">
        <v>19</v>
      </c>
      <c r="H347" s="34">
        <v>10</v>
      </c>
      <c r="I347" s="34">
        <v>9</v>
      </c>
      <c r="J347" s="34">
        <v>20</v>
      </c>
      <c r="K347" s="34">
        <v>16</v>
      </c>
      <c r="Q347" s="35">
        <f t="shared" si="9"/>
        <v>108</v>
      </c>
      <c r="R347" s="4" t="s">
        <v>140</v>
      </c>
    </row>
    <row r="348" spans="1:18" x14ac:dyDescent="0.25">
      <c r="A348" s="40">
        <v>46123</v>
      </c>
      <c r="B348" s="28">
        <v>1</v>
      </c>
      <c r="C348" s="34" t="s">
        <v>137</v>
      </c>
      <c r="D348" s="34" t="s">
        <v>130</v>
      </c>
      <c r="E348" s="34">
        <v>7</v>
      </c>
      <c r="F348" s="34">
        <v>10</v>
      </c>
      <c r="G348" s="34">
        <v>20</v>
      </c>
      <c r="H348" s="34">
        <v>9</v>
      </c>
      <c r="I348" s="34">
        <v>8</v>
      </c>
      <c r="J348" s="34">
        <v>17</v>
      </c>
      <c r="K348" s="34">
        <v>25</v>
      </c>
      <c r="L348" s="34">
        <v>16</v>
      </c>
      <c r="Q348" s="35">
        <f t="shared" si="9"/>
        <v>112</v>
      </c>
      <c r="R348" s="4" t="s">
        <v>140</v>
      </c>
    </row>
    <row r="349" spans="1:18" x14ac:dyDescent="0.25">
      <c r="A349" s="40">
        <v>46123</v>
      </c>
      <c r="B349" s="28">
        <v>1</v>
      </c>
      <c r="C349" s="34" t="s">
        <v>135</v>
      </c>
      <c r="D349" s="34" t="s">
        <v>128</v>
      </c>
      <c r="E349" s="34">
        <v>3</v>
      </c>
      <c r="F349" s="34">
        <v>16</v>
      </c>
      <c r="G349" s="34">
        <v>24</v>
      </c>
      <c r="H349" s="34">
        <v>15</v>
      </c>
      <c r="I349" s="34">
        <v>18</v>
      </c>
      <c r="J349" s="34">
        <v>15</v>
      </c>
      <c r="K349" s="34">
        <v>22</v>
      </c>
      <c r="L349" s="34">
        <v>19</v>
      </c>
      <c r="Q349" s="35">
        <f t="shared" si="9"/>
        <v>132</v>
      </c>
      <c r="R349" s="4" t="s">
        <v>140</v>
      </c>
    </row>
    <row r="350" spans="1:18" x14ac:dyDescent="0.25">
      <c r="A350" s="40">
        <v>46123</v>
      </c>
      <c r="B350" s="28">
        <v>1</v>
      </c>
      <c r="C350" s="34" t="s">
        <v>134</v>
      </c>
      <c r="D350" s="34" t="s">
        <v>127</v>
      </c>
      <c r="E350" s="34">
        <v>12</v>
      </c>
      <c r="F350" s="34">
        <v>16</v>
      </c>
      <c r="G350" s="34">
        <v>17</v>
      </c>
      <c r="H350" s="34">
        <v>15</v>
      </c>
      <c r="I350" s="34">
        <v>20</v>
      </c>
      <c r="J350" s="34">
        <v>20</v>
      </c>
      <c r="K350" s="34">
        <v>27</v>
      </c>
      <c r="L350" s="34">
        <v>23</v>
      </c>
      <c r="Q350" s="35">
        <f t="shared" si="9"/>
        <v>150</v>
      </c>
      <c r="R350" s="4" t="s">
        <v>140</v>
      </c>
    </row>
    <row r="351" spans="1:18" x14ac:dyDescent="0.25">
      <c r="A351" s="40">
        <v>46123</v>
      </c>
      <c r="B351" s="28">
        <v>1</v>
      </c>
      <c r="C351" s="34" t="s">
        <v>216</v>
      </c>
      <c r="D351" s="34" t="s">
        <v>215</v>
      </c>
      <c r="E351" s="34">
        <v>11</v>
      </c>
      <c r="F351" s="34">
        <v>16</v>
      </c>
      <c r="G351" s="34">
        <v>21</v>
      </c>
      <c r="H351" s="34">
        <v>13</v>
      </c>
      <c r="I351" s="34">
        <v>13</v>
      </c>
      <c r="J351" s="34">
        <v>17</v>
      </c>
      <c r="K351" s="34">
        <v>21</v>
      </c>
      <c r="L351" s="34">
        <v>13</v>
      </c>
      <c r="Q351" s="35">
        <f t="shared" si="9"/>
        <v>125</v>
      </c>
      <c r="R351" s="4" t="s">
        <v>140</v>
      </c>
    </row>
    <row r="352" spans="1:18" x14ac:dyDescent="0.25">
      <c r="A352" s="40"/>
      <c r="Q352" s="35">
        <f t="shared" si="9"/>
        <v>0</v>
      </c>
    </row>
    <row r="353" spans="1:22" x14ac:dyDescent="0.25">
      <c r="A353" s="40">
        <v>46125</v>
      </c>
      <c r="B353" s="28">
        <v>1</v>
      </c>
      <c r="C353" s="34" t="s">
        <v>100</v>
      </c>
      <c r="D353" s="34" t="s">
        <v>114</v>
      </c>
      <c r="Q353" s="35">
        <f t="shared" ref="Q353:Q379" si="11">SUM(E353:P353)</f>
        <v>0</v>
      </c>
      <c r="R353" s="4" t="s">
        <v>22</v>
      </c>
    </row>
    <row r="354" spans="1:22" x14ac:dyDescent="0.25">
      <c r="A354" s="40">
        <v>46125</v>
      </c>
      <c r="B354" s="28">
        <v>1</v>
      </c>
      <c r="C354" s="34" t="s">
        <v>197</v>
      </c>
      <c r="D354" s="34" t="s">
        <v>114</v>
      </c>
      <c r="Q354" s="35">
        <f t="shared" si="11"/>
        <v>0</v>
      </c>
      <c r="R354" s="4" t="s">
        <v>22</v>
      </c>
    </row>
    <row r="355" spans="1:22" x14ac:dyDescent="0.25">
      <c r="A355" s="40">
        <v>46125</v>
      </c>
      <c r="B355" s="28">
        <v>1</v>
      </c>
      <c r="C355" s="34" t="s">
        <v>445</v>
      </c>
      <c r="D355" s="34" t="s">
        <v>446</v>
      </c>
      <c r="E355" s="34">
        <v>6</v>
      </c>
      <c r="F355" s="34">
        <v>14</v>
      </c>
      <c r="G355" s="34">
        <v>14</v>
      </c>
      <c r="H355" s="34">
        <v>16</v>
      </c>
      <c r="I355" s="34">
        <v>9</v>
      </c>
      <c r="J355" s="34">
        <v>21</v>
      </c>
      <c r="K355" s="34">
        <v>14</v>
      </c>
      <c r="L355" s="34">
        <v>15</v>
      </c>
      <c r="Q355" s="35">
        <f t="shared" si="11"/>
        <v>109</v>
      </c>
      <c r="R355" s="4" t="s">
        <v>22</v>
      </c>
    </row>
    <row r="356" spans="1:22" x14ac:dyDescent="0.25">
      <c r="A356" s="40">
        <v>46125</v>
      </c>
      <c r="B356" s="28">
        <v>1</v>
      </c>
      <c r="C356" s="34" t="s">
        <v>111</v>
      </c>
      <c r="D356" s="34" t="s">
        <v>124</v>
      </c>
      <c r="E356" s="34">
        <v>11</v>
      </c>
      <c r="F356" s="34">
        <v>16</v>
      </c>
      <c r="G356" s="34">
        <v>22</v>
      </c>
      <c r="H356" s="34">
        <v>22</v>
      </c>
      <c r="I356" s="34">
        <v>14</v>
      </c>
      <c r="J356" s="34">
        <v>20</v>
      </c>
      <c r="K356" s="34">
        <v>19</v>
      </c>
      <c r="L356" s="34">
        <v>25</v>
      </c>
      <c r="Q356" s="35">
        <f t="shared" si="11"/>
        <v>149</v>
      </c>
      <c r="R356" s="4" t="s">
        <v>22</v>
      </c>
    </row>
    <row r="357" spans="1:22" x14ac:dyDescent="0.25">
      <c r="A357" s="40">
        <v>46125</v>
      </c>
      <c r="B357" s="28">
        <v>1</v>
      </c>
      <c r="C357" s="34" t="s">
        <v>103</v>
      </c>
      <c r="D357" s="34" t="s">
        <v>115</v>
      </c>
      <c r="E357" s="34">
        <v>7</v>
      </c>
      <c r="F357" s="34">
        <v>19</v>
      </c>
      <c r="G357" s="34">
        <v>22</v>
      </c>
      <c r="H357" s="34">
        <v>25</v>
      </c>
      <c r="I357" s="34">
        <v>12</v>
      </c>
      <c r="J357" s="34">
        <v>20</v>
      </c>
      <c r="K357" s="34">
        <v>19</v>
      </c>
      <c r="L357" s="34">
        <v>31</v>
      </c>
      <c r="Q357" s="35">
        <f t="shared" si="11"/>
        <v>155</v>
      </c>
      <c r="R357" s="4" t="s">
        <v>22</v>
      </c>
    </row>
    <row r="358" spans="1:22" x14ac:dyDescent="0.25">
      <c r="A358" s="40">
        <v>46125</v>
      </c>
      <c r="B358" s="28">
        <v>1</v>
      </c>
      <c r="C358" s="34" t="s">
        <v>102</v>
      </c>
      <c r="D358" s="34" t="s">
        <v>116</v>
      </c>
      <c r="E358" s="34">
        <v>9</v>
      </c>
      <c r="F358" s="34">
        <v>17</v>
      </c>
      <c r="G358" s="34">
        <v>24</v>
      </c>
      <c r="H358" s="34">
        <v>19</v>
      </c>
      <c r="I358" s="34">
        <v>12</v>
      </c>
      <c r="J358" s="34">
        <v>19</v>
      </c>
      <c r="K358" s="34">
        <v>16</v>
      </c>
      <c r="L358" s="34">
        <v>24</v>
      </c>
      <c r="Q358" s="35">
        <f t="shared" si="11"/>
        <v>140</v>
      </c>
      <c r="R358" s="4" t="s">
        <v>22</v>
      </c>
    </row>
    <row r="359" spans="1:22" x14ac:dyDescent="0.25">
      <c r="A359" s="40">
        <v>46125</v>
      </c>
      <c r="B359" s="28">
        <v>1</v>
      </c>
      <c r="C359" s="34" t="s">
        <v>104</v>
      </c>
      <c r="D359" s="34" t="s">
        <v>117</v>
      </c>
      <c r="E359" s="34">
        <v>7</v>
      </c>
      <c r="F359" s="34">
        <v>20</v>
      </c>
      <c r="G359" s="34">
        <v>21</v>
      </c>
      <c r="H359" s="34">
        <v>16</v>
      </c>
      <c r="I359" s="34">
        <v>11</v>
      </c>
      <c r="J359" s="34">
        <v>18</v>
      </c>
      <c r="K359" s="34">
        <v>16</v>
      </c>
      <c r="L359" s="34">
        <v>27</v>
      </c>
      <c r="Q359" s="35">
        <f t="shared" si="11"/>
        <v>136</v>
      </c>
      <c r="R359" s="4" t="s">
        <v>22</v>
      </c>
    </row>
    <row r="360" spans="1:22" x14ac:dyDescent="0.25">
      <c r="A360" s="40">
        <v>46125</v>
      </c>
      <c r="B360" s="28">
        <v>1</v>
      </c>
      <c r="C360" s="34" t="s">
        <v>105</v>
      </c>
      <c r="D360" s="34" t="s">
        <v>118</v>
      </c>
      <c r="E360" s="34">
        <v>16</v>
      </c>
      <c r="F360" s="34">
        <v>27</v>
      </c>
      <c r="G360" s="34">
        <v>27</v>
      </c>
      <c r="H360" s="34">
        <v>30</v>
      </c>
      <c r="I360" s="34">
        <v>15</v>
      </c>
      <c r="J360" s="34">
        <v>30</v>
      </c>
      <c r="K360" s="34">
        <v>29</v>
      </c>
      <c r="L360" s="34">
        <v>37</v>
      </c>
      <c r="Q360" s="35">
        <f t="shared" si="11"/>
        <v>211</v>
      </c>
      <c r="R360" s="4" t="s">
        <v>22</v>
      </c>
    </row>
    <row r="361" spans="1:22" x14ac:dyDescent="0.25">
      <c r="A361" s="40">
        <v>46125</v>
      </c>
      <c r="B361" s="28">
        <v>1</v>
      </c>
      <c r="C361" s="34" t="s">
        <v>106</v>
      </c>
      <c r="D361" s="34" t="s">
        <v>119</v>
      </c>
      <c r="E361" s="34">
        <v>12</v>
      </c>
      <c r="F361" s="34">
        <v>21</v>
      </c>
      <c r="G361" s="34">
        <v>21</v>
      </c>
      <c r="H361" s="34">
        <v>22</v>
      </c>
      <c r="I361" s="34">
        <v>17</v>
      </c>
      <c r="J361" s="34">
        <v>23</v>
      </c>
      <c r="K361" s="34">
        <v>17</v>
      </c>
      <c r="L361" s="34">
        <v>20</v>
      </c>
      <c r="Q361" s="35">
        <f t="shared" si="11"/>
        <v>153</v>
      </c>
      <c r="R361" s="4" t="s">
        <v>22</v>
      </c>
    </row>
    <row r="362" spans="1:22" x14ac:dyDescent="0.25">
      <c r="A362" s="40">
        <v>46125</v>
      </c>
      <c r="B362" s="28">
        <v>1</v>
      </c>
      <c r="C362" s="34" t="s">
        <v>107</v>
      </c>
      <c r="D362" s="34" t="s">
        <v>120</v>
      </c>
      <c r="E362" s="34">
        <v>15</v>
      </c>
      <c r="F362" s="34">
        <v>27</v>
      </c>
      <c r="G362" s="34">
        <v>26</v>
      </c>
      <c r="H362" s="34">
        <v>30</v>
      </c>
      <c r="I362" s="34">
        <v>17</v>
      </c>
      <c r="J362" s="34">
        <v>23</v>
      </c>
      <c r="K362" s="34">
        <v>25</v>
      </c>
      <c r="L362" s="34">
        <v>35</v>
      </c>
      <c r="Q362" s="35">
        <f t="shared" si="11"/>
        <v>198</v>
      </c>
      <c r="R362" s="4" t="s">
        <v>22</v>
      </c>
    </row>
    <row r="363" spans="1:22" x14ac:dyDescent="0.25">
      <c r="A363" s="40">
        <v>46125</v>
      </c>
      <c r="B363" s="28">
        <v>1</v>
      </c>
      <c r="C363" s="34" t="s">
        <v>101</v>
      </c>
      <c r="D363" s="34" t="s">
        <v>113</v>
      </c>
      <c r="E363" s="34">
        <v>12</v>
      </c>
      <c r="F363" s="34">
        <v>25</v>
      </c>
      <c r="G363" s="34">
        <v>21</v>
      </c>
      <c r="H363" s="34">
        <v>27</v>
      </c>
      <c r="I363" s="34">
        <v>14</v>
      </c>
      <c r="J363" s="34">
        <v>28</v>
      </c>
      <c r="K363" s="34">
        <v>17</v>
      </c>
      <c r="L363" s="34">
        <v>28</v>
      </c>
      <c r="Q363" s="35">
        <f t="shared" si="11"/>
        <v>172</v>
      </c>
      <c r="R363" s="4" t="s">
        <v>22</v>
      </c>
    </row>
    <row r="364" spans="1:22" x14ac:dyDescent="0.25">
      <c r="A364" s="40">
        <v>46125</v>
      </c>
      <c r="B364" s="28">
        <v>1</v>
      </c>
      <c r="C364" s="34" t="s">
        <v>447</v>
      </c>
      <c r="D364" s="34" t="s">
        <v>395</v>
      </c>
      <c r="E364" s="34">
        <v>13</v>
      </c>
      <c r="F364" s="34">
        <v>24</v>
      </c>
      <c r="G364" s="34">
        <v>25</v>
      </c>
      <c r="H364" s="34">
        <v>22</v>
      </c>
      <c r="I364" s="34">
        <v>14</v>
      </c>
      <c r="J364" s="34">
        <v>10</v>
      </c>
      <c r="K364" s="34">
        <v>13</v>
      </c>
      <c r="L364" s="34">
        <v>23</v>
      </c>
      <c r="Q364" s="35">
        <f t="shared" si="11"/>
        <v>144</v>
      </c>
      <c r="R364" s="4" t="s">
        <v>22</v>
      </c>
    </row>
    <row r="365" spans="1:22" x14ac:dyDescent="0.25">
      <c r="A365" s="40">
        <v>46125</v>
      </c>
      <c r="B365" s="28">
        <v>1</v>
      </c>
      <c r="C365" s="34" t="s">
        <v>362</v>
      </c>
      <c r="D365" s="34" t="s">
        <v>448</v>
      </c>
      <c r="E365" s="34">
        <v>12</v>
      </c>
      <c r="F365" s="34">
        <v>16</v>
      </c>
      <c r="G365" s="34">
        <v>18</v>
      </c>
      <c r="H365" s="34">
        <v>13</v>
      </c>
      <c r="I365" s="34">
        <v>12</v>
      </c>
      <c r="J365" s="34">
        <v>13</v>
      </c>
      <c r="K365" s="34">
        <v>16</v>
      </c>
      <c r="L365" s="34">
        <v>22</v>
      </c>
      <c r="Q365" s="35">
        <f t="shared" si="11"/>
        <v>122</v>
      </c>
      <c r="R365" s="4" t="s">
        <v>22</v>
      </c>
      <c r="V365" t="s">
        <v>324</v>
      </c>
    </row>
    <row r="366" spans="1:22" x14ac:dyDescent="0.25">
      <c r="A366" s="40">
        <v>46125</v>
      </c>
      <c r="B366" s="28">
        <v>1</v>
      </c>
      <c r="C366" s="34" t="s">
        <v>449</v>
      </c>
      <c r="D366" s="34" t="s">
        <v>121</v>
      </c>
      <c r="E366" s="34">
        <v>11</v>
      </c>
      <c r="F366" s="34">
        <v>18</v>
      </c>
      <c r="G366" s="34">
        <v>21</v>
      </c>
      <c r="H366" s="34">
        <v>21</v>
      </c>
      <c r="I366" s="34">
        <v>15</v>
      </c>
      <c r="J366" s="34">
        <v>24</v>
      </c>
      <c r="K366" s="34">
        <v>18</v>
      </c>
      <c r="L366" s="34">
        <v>24</v>
      </c>
      <c r="Q366" s="35">
        <f t="shared" si="11"/>
        <v>152</v>
      </c>
      <c r="R366" s="4" t="s">
        <v>22</v>
      </c>
    </row>
    <row r="367" spans="1:22" x14ac:dyDescent="0.25">
      <c r="A367" s="40">
        <v>46125</v>
      </c>
      <c r="B367" s="28">
        <v>1</v>
      </c>
      <c r="C367" s="34" t="s">
        <v>110</v>
      </c>
      <c r="D367" s="34" t="s">
        <v>123</v>
      </c>
      <c r="E367" s="34">
        <v>15</v>
      </c>
      <c r="F367" s="34">
        <v>25</v>
      </c>
      <c r="G367" s="34">
        <v>21</v>
      </c>
      <c r="H367" s="34">
        <v>23</v>
      </c>
      <c r="I367" s="34">
        <v>16</v>
      </c>
      <c r="J367" s="34">
        <v>20</v>
      </c>
      <c r="K367" s="34">
        <v>18</v>
      </c>
      <c r="L367" s="34">
        <v>27</v>
      </c>
      <c r="Q367" s="35">
        <f t="shared" si="11"/>
        <v>165</v>
      </c>
      <c r="R367" s="4" t="s">
        <v>22</v>
      </c>
    </row>
    <row r="368" spans="1:22" x14ac:dyDescent="0.25">
      <c r="A368" s="40">
        <v>46125</v>
      </c>
      <c r="B368" s="28">
        <v>1</v>
      </c>
      <c r="C368" s="34" t="s">
        <v>109</v>
      </c>
      <c r="D368" s="34" t="s">
        <v>122</v>
      </c>
      <c r="Q368" s="35">
        <f t="shared" si="11"/>
        <v>0</v>
      </c>
      <c r="R368" s="4" t="s">
        <v>22</v>
      </c>
    </row>
    <row r="369" spans="1:18" x14ac:dyDescent="0.25">
      <c r="A369" s="40">
        <v>46125</v>
      </c>
      <c r="B369" s="28">
        <v>1</v>
      </c>
      <c r="C369" s="34" t="s">
        <v>363</v>
      </c>
      <c r="D369" s="34" t="s">
        <v>364</v>
      </c>
      <c r="E369" s="34">
        <v>11</v>
      </c>
      <c r="F369" s="34">
        <v>16</v>
      </c>
      <c r="G369" s="34">
        <v>25</v>
      </c>
      <c r="H369" s="34">
        <v>23</v>
      </c>
      <c r="I369" s="34">
        <v>17</v>
      </c>
      <c r="J369" s="34">
        <v>30</v>
      </c>
      <c r="K369" s="34">
        <v>21</v>
      </c>
      <c r="L369" s="34">
        <v>33</v>
      </c>
      <c r="Q369" s="35">
        <f t="shared" si="11"/>
        <v>176</v>
      </c>
      <c r="R369" s="4" t="s">
        <v>22</v>
      </c>
    </row>
    <row r="370" spans="1:18" x14ac:dyDescent="0.25">
      <c r="A370" s="40">
        <v>46125</v>
      </c>
      <c r="B370" s="28">
        <v>1</v>
      </c>
      <c r="C370" s="34" t="s">
        <v>141</v>
      </c>
      <c r="D370" s="34" t="s">
        <v>142</v>
      </c>
      <c r="Q370" s="35">
        <f t="shared" si="11"/>
        <v>0</v>
      </c>
      <c r="R370" s="4" t="s">
        <v>140</v>
      </c>
    </row>
    <row r="371" spans="1:18" x14ac:dyDescent="0.25">
      <c r="A371" s="40">
        <v>46125</v>
      </c>
      <c r="B371" s="28">
        <v>1</v>
      </c>
      <c r="C371" s="34" t="s">
        <v>136</v>
      </c>
      <c r="D371" s="34" t="s">
        <v>129</v>
      </c>
      <c r="E371" s="34">
        <v>9</v>
      </c>
      <c r="F371" s="34">
        <v>20</v>
      </c>
      <c r="G371" s="34">
        <v>21</v>
      </c>
      <c r="Q371" s="35">
        <f t="shared" si="11"/>
        <v>50</v>
      </c>
      <c r="R371" s="4" t="s">
        <v>140</v>
      </c>
    </row>
    <row r="372" spans="1:18" x14ac:dyDescent="0.25">
      <c r="A372" s="40">
        <v>46125</v>
      </c>
      <c r="B372" s="28">
        <v>1</v>
      </c>
      <c r="C372" s="34" t="s">
        <v>133</v>
      </c>
      <c r="D372" s="34" t="s">
        <v>126</v>
      </c>
      <c r="Q372" s="35">
        <f t="shared" si="11"/>
        <v>0</v>
      </c>
      <c r="R372" s="4" t="s">
        <v>140</v>
      </c>
    </row>
    <row r="373" spans="1:18" x14ac:dyDescent="0.25">
      <c r="A373" s="40">
        <v>46125</v>
      </c>
      <c r="B373" s="28">
        <v>1</v>
      </c>
      <c r="C373" s="34" t="s">
        <v>143</v>
      </c>
      <c r="D373" s="34" t="s">
        <v>144</v>
      </c>
      <c r="Q373" s="35">
        <f t="shared" si="11"/>
        <v>0</v>
      </c>
      <c r="R373" s="4" t="s">
        <v>140</v>
      </c>
    </row>
    <row r="374" spans="1:18" x14ac:dyDescent="0.25">
      <c r="A374" s="40">
        <v>46125</v>
      </c>
      <c r="B374" s="28">
        <v>1</v>
      </c>
      <c r="C374" s="34" t="s">
        <v>138</v>
      </c>
      <c r="D374" s="34" t="s">
        <v>184</v>
      </c>
      <c r="E374" s="34">
        <v>10</v>
      </c>
      <c r="F374" s="34">
        <v>19</v>
      </c>
      <c r="G374" s="34">
        <v>19</v>
      </c>
      <c r="H374" s="34">
        <v>21</v>
      </c>
      <c r="I374" s="34">
        <v>12</v>
      </c>
      <c r="J374" s="34">
        <v>24</v>
      </c>
      <c r="K374" s="34">
        <v>15</v>
      </c>
      <c r="L374" s="34">
        <v>20</v>
      </c>
      <c r="Q374" s="35">
        <f t="shared" si="11"/>
        <v>140</v>
      </c>
      <c r="R374" s="4" t="s">
        <v>140</v>
      </c>
    </row>
    <row r="375" spans="1:18" x14ac:dyDescent="0.25">
      <c r="A375" s="40">
        <v>46125</v>
      </c>
      <c r="B375" s="28">
        <v>1</v>
      </c>
      <c r="C375" s="34" t="s">
        <v>132</v>
      </c>
      <c r="D375" s="34" t="s">
        <v>125</v>
      </c>
      <c r="E375" s="34">
        <v>10</v>
      </c>
      <c r="F375" s="34">
        <v>16</v>
      </c>
      <c r="G375" s="34">
        <v>18</v>
      </c>
      <c r="H375" s="34">
        <v>15</v>
      </c>
      <c r="I375" s="34">
        <v>11</v>
      </c>
      <c r="J375" s="34">
        <v>22</v>
      </c>
      <c r="K375" s="34">
        <v>16</v>
      </c>
      <c r="L375" s="34">
        <v>18</v>
      </c>
      <c r="Q375" s="35">
        <f t="shared" si="11"/>
        <v>126</v>
      </c>
      <c r="R375" s="4" t="s">
        <v>140</v>
      </c>
    </row>
    <row r="376" spans="1:18" x14ac:dyDescent="0.25">
      <c r="A376" s="40">
        <v>46125</v>
      </c>
      <c r="B376" s="28">
        <v>1</v>
      </c>
      <c r="C376" s="34" t="s">
        <v>137</v>
      </c>
      <c r="D376" s="34" t="s">
        <v>130</v>
      </c>
      <c r="E376" s="34">
        <v>10</v>
      </c>
      <c r="F376" s="34">
        <v>15</v>
      </c>
      <c r="G376" s="34">
        <v>20</v>
      </c>
      <c r="H376" s="34">
        <v>16</v>
      </c>
      <c r="I376" s="34">
        <v>14</v>
      </c>
      <c r="J376" s="34">
        <v>16</v>
      </c>
      <c r="K376" s="34">
        <v>17</v>
      </c>
      <c r="L376" s="34">
        <v>22</v>
      </c>
      <c r="Q376" s="35">
        <f t="shared" si="11"/>
        <v>130</v>
      </c>
      <c r="R376" s="4" t="s">
        <v>140</v>
      </c>
    </row>
    <row r="377" spans="1:18" x14ac:dyDescent="0.25">
      <c r="A377" s="40">
        <v>46125</v>
      </c>
      <c r="B377" s="28">
        <v>1</v>
      </c>
      <c r="C377" s="34" t="s">
        <v>135</v>
      </c>
      <c r="D377" s="34" t="s">
        <v>128</v>
      </c>
      <c r="E377" s="34">
        <v>8</v>
      </c>
      <c r="F377" s="34">
        <v>12</v>
      </c>
      <c r="G377" s="34">
        <v>16</v>
      </c>
      <c r="Q377" s="35">
        <f t="shared" si="11"/>
        <v>36</v>
      </c>
      <c r="R377" s="4" t="s">
        <v>140</v>
      </c>
    </row>
    <row r="378" spans="1:18" x14ac:dyDescent="0.25">
      <c r="A378" s="40">
        <v>46125</v>
      </c>
      <c r="B378" s="28">
        <v>1</v>
      </c>
      <c r="C378" s="34" t="s">
        <v>134</v>
      </c>
      <c r="D378" s="34" t="s">
        <v>127</v>
      </c>
      <c r="E378" s="34">
        <v>11</v>
      </c>
      <c r="F378" s="34">
        <v>16</v>
      </c>
      <c r="G378" s="34">
        <v>20</v>
      </c>
      <c r="H378" s="34">
        <v>19</v>
      </c>
      <c r="I378" s="34">
        <v>10</v>
      </c>
      <c r="J378" s="34">
        <v>19</v>
      </c>
      <c r="K378" s="34">
        <v>18</v>
      </c>
      <c r="L378" s="34">
        <v>25</v>
      </c>
      <c r="Q378" s="35">
        <f t="shared" si="11"/>
        <v>138</v>
      </c>
      <c r="R378" s="4" t="s">
        <v>140</v>
      </c>
    </row>
    <row r="379" spans="1:18" x14ac:dyDescent="0.25">
      <c r="A379" s="40">
        <v>46125</v>
      </c>
      <c r="B379" s="28">
        <v>1</v>
      </c>
      <c r="C379" s="34" t="s">
        <v>216</v>
      </c>
      <c r="D379" s="34" t="s">
        <v>215</v>
      </c>
      <c r="E379" s="34">
        <v>9</v>
      </c>
      <c r="F379" s="34">
        <v>16</v>
      </c>
      <c r="G379" s="34">
        <v>15</v>
      </c>
      <c r="H379" s="34">
        <v>17</v>
      </c>
      <c r="I379" s="34">
        <v>12</v>
      </c>
      <c r="J379" s="34">
        <v>13</v>
      </c>
      <c r="K379" s="34">
        <v>19</v>
      </c>
      <c r="L379" s="34">
        <v>21</v>
      </c>
      <c r="Q379" s="35">
        <f t="shared" si="11"/>
        <v>122</v>
      </c>
      <c r="R379" s="4" t="s">
        <v>140</v>
      </c>
    </row>
    <row r="380" spans="1:18" x14ac:dyDescent="0.25">
      <c r="Q380" s="35">
        <f t="shared" si="9"/>
        <v>0</v>
      </c>
    </row>
    <row r="381" spans="1:18" x14ac:dyDescent="0.25">
      <c r="A381" s="40">
        <v>46126</v>
      </c>
      <c r="B381" s="28">
        <v>1</v>
      </c>
      <c r="C381" s="34" t="s">
        <v>100</v>
      </c>
      <c r="D381" s="34" t="s">
        <v>114</v>
      </c>
      <c r="E381" s="34">
        <v>13</v>
      </c>
      <c r="F381" s="34">
        <v>29</v>
      </c>
      <c r="G381" s="34">
        <v>27</v>
      </c>
      <c r="H381" s="34">
        <v>11</v>
      </c>
      <c r="I381" s="34">
        <v>20</v>
      </c>
      <c r="J381" s="34">
        <v>29</v>
      </c>
      <c r="K381" s="34">
        <v>35</v>
      </c>
      <c r="L381" s="34">
        <v>18</v>
      </c>
      <c r="M381" s="34">
        <v>38</v>
      </c>
      <c r="N381" s="34">
        <v>38</v>
      </c>
      <c r="O381" s="34">
        <v>28</v>
      </c>
      <c r="P381" s="34">
        <v>14</v>
      </c>
      <c r="Q381" s="35">
        <f t="shared" si="9"/>
        <v>300</v>
      </c>
      <c r="R381" s="4" t="s">
        <v>22</v>
      </c>
    </row>
    <row r="382" spans="1:18" x14ac:dyDescent="0.25">
      <c r="A382" s="40">
        <v>46126</v>
      </c>
      <c r="B382" s="28">
        <v>1</v>
      </c>
      <c r="C382" s="34" t="s">
        <v>197</v>
      </c>
      <c r="D382" s="34" t="s">
        <v>114</v>
      </c>
      <c r="Q382" s="35">
        <f t="shared" si="9"/>
        <v>0</v>
      </c>
      <c r="R382" s="4" t="s">
        <v>22</v>
      </c>
    </row>
    <row r="383" spans="1:18" x14ac:dyDescent="0.25">
      <c r="A383" s="40">
        <v>46126</v>
      </c>
      <c r="B383" s="28">
        <v>1</v>
      </c>
      <c r="C383" s="34" t="s">
        <v>445</v>
      </c>
      <c r="D383" s="34" t="s">
        <v>446</v>
      </c>
      <c r="E383" s="34">
        <v>16</v>
      </c>
      <c r="F383" s="34">
        <v>14</v>
      </c>
      <c r="G383" s="34">
        <v>15</v>
      </c>
      <c r="H383" s="34">
        <v>15</v>
      </c>
      <c r="I383" s="34">
        <v>16</v>
      </c>
      <c r="J383" s="34">
        <v>21</v>
      </c>
      <c r="K383" s="34">
        <v>27</v>
      </c>
      <c r="L383" s="34">
        <v>7</v>
      </c>
      <c r="M383" s="34">
        <v>19</v>
      </c>
      <c r="N383" s="34">
        <v>25</v>
      </c>
      <c r="O383" s="34">
        <v>17</v>
      </c>
      <c r="P383" s="34">
        <v>10</v>
      </c>
      <c r="Q383" s="35">
        <f t="shared" si="9"/>
        <v>202</v>
      </c>
      <c r="R383" s="4" t="s">
        <v>22</v>
      </c>
    </row>
    <row r="384" spans="1:18" x14ac:dyDescent="0.25">
      <c r="A384" s="40">
        <v>46126</v>
      </c>
      <c r="B384" s="28">
        <v>1</v>
      </c>
      <c r="C384" s="34" t="s">
        <v>111</v>
      </c>
      <c r="D384" s="34" t="s">
        <v>124</v>
      </c>
      <c r="Q384" s="35">
        <f t="shared" si="9"/>
        <v>0</v>
      </c>
      <c r="R384" s="4" t="s">
        <v>22</v>
      </c>
    </row>
    <row r="385" spans="1:22" x14ac:dyDescent="0.25">
      <c r="A385" s="40">
        <v>46126</v>
      </c>
      <c r="B385" s="28">
        <v>1</v>
      </c>
      <c r="C385" s="34" t="s">
        <v>103</v>
      </c>
      <c r="D385" s="34" t="s">
        <v>115</v>
      </c>
      <c r="E385" s="34">
        <v>14</v>
      </c>
      <c r="F385" s="34">
        <v>21</v>
      </c>
      <c r="G385" s="34">
        <v>18</v>
      </c>
      <c r="H385" s="34">
        <v>26</v>
      </c>
      <c r="I385" s="34">
        <v>17</v>
      </c>
      <c r="J385" s="34">
        <v>26</v>
      </c>
      <c r="K385" s="34">
        <v>32</v>
      </c>
      <c r="L385" s="34">
        <v>17</v>
      </c>
      <c r="M385" s="34">
        <v>29</v>
      </c>
      <c r="N385" s="34">
        <v>29</v>
      </c>
      <c r="O385" s="34">
        <v>28</v>
      </c>
      <c r="P385" s="34">
        <v>11</v>
      </c>
      <c r="Q385" s="35">
        <f t="shared" si="9"/>
        <v>268</v>
      </c>
      <c r="R385" s="4" t="s">
        <v>22</v>
      </c>
    </row>
    <row r="386" spans="1:22" x14ac:dyDescent="0.25">
      <c r="A386" s="40">
        <v>46126</v>
      </c>
      <c r="B386" s="28">
        <v>1</v>
      </c>
      <c r="C386" s="34" t="s">
        <v>102</v>
      </c>
      <c r="D386" s="34" t="s">
        <v>116</v>
      </c>
      <c r="E386" s="34">
        <v>20</v>
      </c>
      <c r="F386" s="34">
        <v>21</v>
      </c>
      <c r="G386" s="34">
        <v>18</v>
      </c>
      <c r="H386" s="34">
        <v>23</v>
      </c>
      <c r="I386" s="34">
        <v>19</v>
      </c>
      <c r="J386" s="34">
        <v>19</v>
      </c>
      <c r="K386" s="34">
        <v>31</v>
      </c>
      <c r="L386" s="34">
        <v>15</v>
      </c>
      <c r="M386" s="34">
        <v>30</v>
      </c>
      <c r="N386" s="34">
        <v>28</v>
      </c>
      <c r="O386" s="34">
        <v>23</v>
      </c>
      <c r="P386" s="34">
        <v>6</v>
      </c>
      <c r="Q386" s="35">
        <f t="shared" ref="Q386:Q408" si="12">SUM(E386:P386)</f>
        <v>253</v>
      </c>
      <c r="R386" s="4" t="s">
        <v>22</v>
      </c>
    </row>
    <row r="387" spans="1:22" x14ac:dyDescent="0.25">
      <c r="A387" s="40">
        <v>46126</v>
      </c>
      <c r="B387" s="28">
        <v>1</v>
      </c>
      <c r="C387" s="34" t="s">
        <v>104</v>
      </c>
      <c r="D387" s="34" t="s">
        <v>117</v>
      </c>
      <c r="E387" s="34">
        <v>6</v>
      </c>
      <c r="F387" s="34">
        <v>18</v>
      </c>
      <c r="G387" s="34">
        <v>18</v>
      </c>
      <c r="H387" s="34">
        <v>21</v>
      </c>
      <c r="I387" s="34">
        <v>15</v>
      </c>
      <c r="J387" s="34">
        <v>25</v>
      </c>
      <c r="K387" s="34">
        <v>27</v>
      </c>
      <c r="L387" s="34">
        <v>14</v>
      </c>
      <c r="M387" s="34">
        <v>30</v>
      </c>
      <c r="N387" s="34">
        <v>27</v>
      </c>
      <c r="O387" s="34">
        <v>25</v>
      </c>
      <c r="P387" s="34">
        <v>9</v>
      </c>
      <c r="Q387" s="35">
        <f t="shared" si="12"/>
        <v>235</v>
      </c>
      <c r="R387" s="4" t="s">
        <v>22</v>
      </c>
    </row>
    <row r="388" spans="1:22" x14ac:dyDescent="0.25">
      <c r="A388" s="40">
        <v>46126</v>
      </c>
      <c r="B388" s="28">
        <v>1</v>
      </c>
      <c r="C388" s="34" t="s">
        <v>105</v>
      </c>
      <c r="D388" s="34" t="s">
        <v>118</v>
      </c>
      <c r="E388" s="34">
        <v>7</v>
      </c>
      <c r="F388" s="34">
        <v>30</v>
      </c>
      <c r="G388" s="34">
        <v>31</v>
      </c>
      <c r="H388" s="34">
        <v>22</v>
      </c>
      <c r="I388" s="34">
        <v>14</v>
      </c>
      <c r="J388" s="34">
        <v>27</v>
      </c>
      <c r="K388" s="34">
        <v>36</v>
      </c>
      <c r="L388" s="34">
        <v>17</v>
      </c>
      <c r="M388" s="34">
        <v>34</v>
      </c>
      <c r="N388" s="34">
        <v>36</v>
      </c>
      <c r="O388" s="34">
        <v>22</v>
      </c>
      <c r="P388" s="34">
        <v>10</v>
      </c>
      <c r="Q388" s="35">
        <f t="shared" si="12"/>
        <v>286</v>
      </c>
      <c r="R388" s="4" t="s">
        <v>22</v>
      </c>
    </row>
    <row r="389" spans="1:22" x14ac:dyDescent="0.25">
      <c r="A389" s="40">
        <v>46126</v>
      </c>
      <c r="B389" s="28">
        <v>1</v>
      </c>
      <c r="C389" s="34" t="s">
        <v>106</v>
      </c>
      <c r="D389" s="34" t="s">
        <v>119</v>
      </c>
      <c r="Q389" s="35">
        <f t="shared" si="12"/>
        <v>0</v>
      </c>
      <c r="R389" s="4" t="s">
        <v>22</v>
      </c>
    </row>
    <row r="390" spans="1:22" x14ac:dyDescent="0.25">
      <c r="A390" s="40">
        <v>46126</v>
      </c>
      <c r="B390" s="28">
        <v>1</v>
      </c>
      <c r="C390" s="34" t="s">
        <v>107</v>
      </c>
      <c r="D390" s="34" t="s">
        <v>120</v>
      </c>
      <c r="E390" s="34">
        <v>31</v>
      </c>
      <c r="F390" s="34">
        <v>31</v>
      </c>
      <c r="G390" s="34">
        <v>29</v>
      </c>
      <c r="H390" s="34">
        <v>26</v>
      </c>
      <c r="I390" s="34">
        <v>26</v>
      </c>
      <c r="J390" s="34">
        <v>28</v>
      </c>
      <c r="K390" s="34">
        <v>30</v>
      </c>
      <c r="L390" s="34">
        <v>15</v>
      </c>
      <c r="M390" s="34">
        <v>31</v>
      </c>
      <c r="N390" s="34">
        <v>35</v>
      </c>
      <c r="O390" s="34">
        <v>35</v>
      </c>
      <c r="P390" s="34">
        <v>19</v>
      </c>
      <c r="Q390" s="35">
        <f t="shared" si="12"/>
        <v>336</v>
      </c>
      <c r="R390" s="4" t="s">
        <v>22</v>
      </c>
    </row>
    <row r="391" spans="1:22" x14ac:dyDescent="0.25">
      <c r="A391" s="40">
        <v>46126</v>
      </c>
      <c r="B391" s="28">
        <v>1</v>
      </c>
      <c r="C391" s="34" t="s">
        <v>101</v>
      </c>
      <c r="D391" s="34" t="s">
        <v>113</v>
      </c>
      <c r="E391" s="34">
        <v>20</v>
      </c>
      <c r="F391" s="34">
        <v>25</v>
      </c>
      <c r="G391" s="34">
        <v>25</v>
      </c>
      <c r="H391" s="34">
        <v>23</v>
      </c>
      <c r="I391" s="34">
        <v>17</v>
      </c>
      <c r="J391" s="34">
        <v>23</v>
      </c>
      <c r="K391" s="34">
        <v>31</v>
      </c>
      <c r="L391" s="34">
        <v>15</v>
      </c>
      <c r="M391" s="34">
        <v>27</v>
      </c>
      <c r="N391" s="34">
        <v>34</v>
      </c>
      <c r="O391" s="34">
        <v>32</v>
      </c>
      <c r="P391" s="34">
        <v>14</v>
      </c>
      <c r="Q391" s="35">
        <f t="shared" si="12"/>
        <v>286</v>
      </c>
      <c r="R391" s="4" t="s">
        <v>22</v>
      </c>
    </row>
    <row r="392" spans="1:22" x14ac:dyDescent="0.25">
      <c r="A392" s="40">
        <v>46126</v>
      </c>
      <c r="B392" s="28">
        <v>1</v>
      </c>
      <c r="C392" s="34" t="s">
        <v>447</v>
      </c>
      <c r="D392" s="34" t="s">
        <v>395</v>
      </c>
      <c r="E392" s="34">
        <v>5</v>
      </c>
      <c r="F392" s="34">
        <v>23</v>
      </c>
      <c r="G392" s="34">
        <v>24</v>
      </c>
      <c r="H392" s="34">
        <v>24</v>
      </c>
      <c r="I392" s="34">
        <v>15</v>
      </c>
      <c r="J392" s="34">
        <v>26</v>
      </c>
      <c r="K392" s="34">
        <v>26</v>
      </c>
      <c r="L392" s="34">
        <v>17</v>
      </c>
      <c r="M392" s="34">
        <v>33</v>
      </c>
      <c r="N392" s="34">
        <v>33</v>
      </c>
      <c r="O392" s="34">
        <v>31</v>
      </c>
      <c r="P392" s="34">
        <v>8</v>
      </c>
      <c r="Q392" s="35">
        <f t="shared" si="12"/>
        <v>265</v>
      </c>
      <c r="R392" s="4" t="s">
        <v>22</v>
      </c>
    </row>
    <row r="393" spans="1:22" x14ac:dyDescent="0.25">
      <c r="A393" s="40">
        <v>46126</v>
      </c>
      <c r="B393" s="28">
        <v>1</v>
      </c>
      <c r="C393" s="34" t="s">
        <v>362</v>
      </c>
      <c r="D393" s="34" t="s">
        <v>448</v>
      </c>
      <c r="E393" s="34">
        <v>24</v>
      </c>
      <c r="F393" s="34">
        <v>18</v>
      </c>
      <c r="G393" s="34">
        <v>21</v>
      </c>
      <c r="H393" s="34">
        <v>19</v>
      </c>
      <c r="I393" s="34">
        <v>14</v>
      </c>
      <c r="J393" s="34">
        <v>26</v>
      </c>
      <c r="K393" s="34">
        <v>25</v>
      </c>
      <c r="L393" s="34">
        <v>8</v>
      </c>
      <c r="M393" s="34">
        <v>31</v>
      </c>
      <c r="N393" s="34">
        <v>23</v>
      </c>
      <c r="O393" s="34">
        <v>23</v>
      </c>
      <c r="P393" s="34">
        <v>7</v>
      </c>
      <c r="Q393" s="35">
        <f t="shared" si="12"/>
        <v>239</v>
      </c>
      <c r="R393" s="4" t="s">
        <v>22</v>
      </c>
      <c r="V393" t="s">
        <v>324</v>
      </c>
    </row>
    <row r="394" spans="1:22" x14ac:dyDescent="0.25">
      <c r="A394" s="40">
        <v>46126</v>
      </c>
      <c r="B394" s="28">
        <v>1</v>
      </c>
      <c r="C394" s="34" t="s">
        <v>449</v>
      </c>
      <c r="D394" s="34" t="s">
        <v>121</v>
      </c>
      <c r="Q394" s="35">
        <f t="shared" si="12"/>
        <v>0</v>
      </c>
      <c r="R394" s="4" t="s">
        <v>22</v>
      </c>
    </row>
    <row r="395" spans="1:22" x14ac:dyDescent="0.25">
      <c r="A395" s="40">
        <v>46126</v>
      </c>
      <c r="B395" s="28">
        <v>1</v>
      </c>
      <c r="C395" s="34" t="s">
        <v>110</v>
      </c>
      <c r="D395" s="34" t="s">
        <v>123</v>
      </c>
      <c r="E395" s="34">
        <v>7</v>
      </c>
      <c r="F395" s="34">
        <v>22</v>
      </c>
      <c r="G395" s="34">
        <v>23</v>
      </c>
      <c r="H395" s="34">
        <v>21</v>
      </c>
      <c r="I395" s="34">
        <v>22</v>
      </c>
      <c r="J395" s="34">
        <v>21</v>
      </c>
      <c r="K395" s="34">
        <v>35</v>
      </c>
      <c r="L395" s="34">
        <v>16</v>
      </c>
      <c r="M395" s="34">
        <v>32</v>
      </c>
      <c r="N395" s="34">
        <v>40</v>
      </c>
      <c r="O395" s="34">
        <v>26</v>
      </c>
      <c r="P395" s="34">
        <v>11</v>
      </c>
      <c r="Q395" s="35">
        <f t="shared" si="12"/>
        <v>276</v>
      </c>
      <c r="R395" s="4" t="s">
        <v>22</v>
      </c>
    </row>
    <row r="396" spans="1:22" x14ac:dyDescent="0.25">
      <c r="A396" s="40">
        <v>46126</v>
      </c>
      <c r="B396" s="28">
        <v>1</v>
      </c>
      <c r="C396" s="34" t="s">
        <v>109</v>
      </c>
      <c r="D396" s="34" t="s">
        <v>122</v>
      </c>
      <c r="Q396" s="35">
        <f t="shared" si="12"/>
        <v>0</v>
      </c>
      <c r="R396" s="4" t="s">
        <v>22</v>
      </c>
    </row>
    <row r="397" spans="1:22" x14ac:dyDescent="0.25">
      <c r="A397" s="40">
        <v>46126</v>
      </c>
      <c r="B397" s="28">
        <v>1</v>
      </c>
      <c r="C397" s="34" t="s">
        <v>363</v>
      </c>
      <c r="D397" s="34" t="s">
        <v>364</v>
      </c>
      <c r="E397" s="34">
        <v>18</v>
      </c>
      <c r="F397" s="34">
        <v>25</v>
      </c>
      <c r="G397" s="34">
        <v>23</v>
      </c>
      <c r="H397" s="34">
        <v>30</v>
      </c>
      <c r="I397" s="34">
        <v>21</v>
      </c>
      <c r="J397" s="34">
        <v>27</v>
      </c>
      <c r="K397" s="34">
        <v>34</v>
      </c>
      <c r="L397" s="34">
        <v>15</v>
      </c>
      <c r="M397" s="34">
        <v>36</v>
      </c>
      <c r="N397" s="34">
        <v>33</v>
      </c>
      <c r="O397" s="34">
        <v>25</v>
      </c>
      <c r="P397" s="34">
        <v>14</v>
      </c>
      <c r="Q397" s="35">
        <f t="shared" si="12"/>
        <v>301</v>
      </c>
      <c r="R397" s="4" t="s">
        <v>22</v>
      </c>
    </row>
    <row r="398" spans="1:22" x14ac:dyDescent="0.25">
      <c r="A398" s="40">
        <v>46126</v>
      </c>
      <c r="B398" s="28">
        <v>1</v>
      </c>
      <c r="C398" s="34" t="s">
        <v>484</v>
      </c>
      <c r="D398" s="34" t="s">
        <v>485</v>
      </c>
      <c r="L398" s="34">
        <v>7</v>
      </c>
      <c r="M398" s="34">
        <v>34</v>
      </c>
      <c r="N398" s="34">
        <v>39</v>
      </c>
      <c r="O398" s="34">
        <v>30</v>
      </c>
      <c r="P398" s="34">
        <v>16</v>
      </c>
      <c r="Q398" s="35">
        <f t="shared" si="12"/>
        <v>126</v>
      </c>
      <c r="R398" s="4" t="s">
        <v>22</v>
      </c>
    </row>
    <row r="399" spans="1:22" x14ac:dyDescent="0.25">
      <c r="A399" s="40">
        <v>46126</v>
      </c>
      <c r="B399" s="28">
        <v>1</v>
      </c>
      <c r="C399" s="34" t="s">
        <v>141</v>
      </c>
      <c r="D399" s="34" t="s">
        <v>142</v>
      </c>
      <c r="Q399" s="35">
        <f t="shared" si="12"/>
        <v>0</v>
      </c>
      <c r="R399" s="4" t="s">
        <v>140</v>
      </c>
    </row>
    <row r="400" spans="1:22" x14ac:dyDescent="0.25">
      <c r="A400" s="40">
        <v>46126</v>
      </c>
      <c r="B400" s="28">
        <v>1</v>
      </c>
      <c r="C400" s="34" t="s">
        <v>136</v>
      </c>
      <c r="D400" s="34" t="s">
        <v>129</v>
      </c>
      <c r="Q400" s="35">
        <f t="shared" si="12"/>
        <v>0</v>
      </c>
      <c r="R400" s="4" t="s">
        <v>140</v>
      </c>
    </row>
    <row r="401" spans="1:18" x14ac:dyDescent="0.25">
      <c r="A401" s="40">
        <v>46126</v>
      </c>
      <c r="B401" s="28">
        <v>1</v>
      </c>
      <c r="C401" s="34" t="s">
        <v>133</v>
      </c>
      <c r="D401" s="34" t="s">
        <v>126</v>
      </c>
      <c r="Q401" s="35">
        <f t="shared" si="12"/>
        <v>0</v>
      </c>
      <c r="R401" s="4" t="s">
        <v>140</v>
      </c>
    </row>
    <row r="402" spans="1:18" x14ac:dyDescent="0.25">
      <c r="A402" s="40">
        <v>46126</v>
      </c>
      <c r="B402" s="28">
        <v>1</v>
      </c>
      <c r="C402" s="34" t="s">
        <v>143</v>
      </c>
      <c r="D402" s="34" t="s">
        <v>144</v>
      </c>
      <c r="Q402" s="35">
        <f t="shared" si="12"/>
        <v>0</v>
      </c>
      <c r="R402" s="4" t="s">
        <v>140</v>
      </c>
    </row>
    <row r="403" spans="1:18" x14ac:dyDescent="0.25">
      <c r="A403" s="40">
        <v>46126</v>
      </c>
      <c r="B403" s="28">
        <v>1</v>
      </c>
      <c r="C403" s="34" t="s">
        <v>138</v>
      </c>
      <c r="D403" s="34" t="s">
        <v>184</v>
      </c>
      <c r="E403" s="34">
        <v>11</v>
      </c>
      <c r="F403" s="34">
        <v>24</v>
      </c>
      <c r="G403" s="34">
        <v>21</v>
      </c>
      <c r="H403" s="34">
        <v>19</v>
      </c>
      <c r="I403" s="34">
        <v>15</v>
      </c>
      <c r="J403" s="34">
        <v>27</v>
      </c>
      <c r="K403" s="34">
        <v>31</v>
      </c>
      <c r="L403" s="34">
        <v>11</v>
      </c>
      <c r="M403" s="34">
        <v>29</v>
      </c>
      <c r="N403" s="34">
        <v>27</v>
      </c>
      <c r="O403" s="34">
        <v>22</v>
      </c>
      <c r="P403" s="34">
        <v>14</v>
      </c>
      <c r="Q403" s="35">
        <f t="shared" si="12"/>
        <v>251</v>
      </c>
      <c r="R403" s="4" t="s">
        <v>140</v>
      </c>
    </row>
    <row r="404" spans="1:18" x14ac:dyDescent="0.25">
      <c r="A404" s="40">
        <v>46126</v>
      </c>
      <c r="B404" s="28">
        <v>1</v>
      </c>
      <c r="C404" s="34" t="s">
        <v>132</v>
      </c>
      <c r="D404" s="34" t="s">
        <v>125</v>
      </c>
      <c r="Q404" s="35">
        <f t="shared" si="12"/>
        <v>0</v>
      </c>
      <c r="R404" s="4" t="s">
        <v>140</v>
      </c>
    </row>
    <row r="405" spans="1:18" x14ac:dyDescent="0.25">
      <c r="A405" s="40">
        <v>46126</v>
      </c>
      <c r="B405" s="28">
        <v>1</v>
      </c>
      <c r="C405" s="34" t="s">
        <v>137</v>
      </c>
      <c r="D405" s="34" t="s">
        <v>130</v>
      </c>
      <c r="E405" s="34">
        <v>12</v>
      </c>
      <c r="F405" s="34">
        <v>21</v>
      </c>
      <c r="G405" s="34">
        <v>21</v>
      </c>
      <c r="H405" s="34">
        <v>21</v>
      </c>
      <c r="I405" s="34">
        <v>22</v>
      </c>
      <c r="J405" s="34">
        <v>25</v>
      </c>
      <c r="K405" s="34">
        <v>27</v>
      </c>
      <c r="L405" s="34">
        <v>14</v>
      </c>
      <c r="M405" s="34">
        <v>19</v>
      </c>
      <c r="N405" s="34">
        <v>29</v>
      </c>
      <c r="O405" s="34">
        <v>26</v>
      </c>
      <c r="P405" s="34">
        <v>10</v>
      </c>
      <c r="Q405" s="35">
        <f t="shared" si="12"/>
        <v>247</v>
      </c>
      <c r="R405" s="4" t="s">
        <v>140</v>
      </c>
    </row>
    <row r="406" spans="1:18" x14ac:dyDescent="0.25">
      <c r="A406" s="40">
        <v>46126</v>
      </c>
      <c r="B406" s="28">
        <v>1</v>
      </c>
      <c r="C406" s="34" t="s">
        <v>135</v>
      </c>
      <c r="D406" s="34" t="s">
        <v>128</v>
      </c>
      <c r="E406" s="34">
        <v>25</v>
      </c>
      <c r="F406" s="34">
        <v>25</v>
      </c>
      <c r="G406" s="34">
        <v>23</v>
      </c>
      <c r="H406" s="34">
        <v>22</v>
      </c>
      <c r="I406" s="34">
        <v>19</v>
      </c>
      <c r="J406" s="34">
        <v>31</v>
      </c>
      <c r="K406" s="34">
        <v>31</v>
      </c>
      <c r="L406" s="34">
        <v>13</v>
      </c>
      <c r="M406" s="34">
        <v>27</v>
      </c>
      <c r="N406" s="34">
        <v>26</v>
      </c>
      <c r="O406" s="34">
        <v>28</v>
      </c>
      <c r="P406" s="34">
        <v>16</v>
      </c>
      <c r="Q406" s="35">
        <f t="shared" si="12"/>
        <v>286</v>
      </c>
      <c r="R406" s="4" t="s">
        <v>140</v>
      </c>
    </row>
    <row r="407" spans="1:18" x14ac:dyDescent="0.25">
      <c r="A407" s="40">
        <v>46126</v>
      </c>
      <c r="B407" s="28">
        <v>1</v>
      </c>
      <c r="C407" s="34" t="s">
        <v>134</v>
      </c>
      <c r="D407" s="34" t="s">
        <v>127</v>
      </c>
      <c r="E407" s="34">
        <v>7</v>
      </c>
      <c r="F407" s="34">
        <v>20</v>
      </c>
      <c r="G407" s="34">
        <v>21</v>
      </c>
      <c r="H407" s="34">
        <v>14</v>
      </c>
      <c r="I407" s="34">
        <v>13</v>
      </c>
      <c r="J407" s="34">
        <v>18</v>
      </c>
      <c r="K407" s="34">
        <v>30</v>
      </c>
      <c r="L407" s="34">
        <v>11</v>
      </c>
      <c r="M407" s="34">
        <v>25</v>
      </c>
      <c r="N407" s="34">
        <v>24</v>
      </c>
      <c r="O407" s="34">
        <v>22</v>
      </c>
      <c r="P407" s="34">
        <v>11</v>
      </c>
      <c r="Q407" s="35">
        <f t="shared" si="12"/>
        <v>216</v>
      </c>
      <c r="R407" s="4" t="s">
        <v>140</v>
      </c>
    </row>
    <row r="408" spans="1:18" x14ac:dyDescent="0.25">
      <c r="A408" s="40">
        <v>46126</v>
      </c>
      <c r="B408" s="28">
        <v>1</v>
      </c>
      <c r="C408" s="34" t="s">
        <v>216</v>
      </c>
      <c r="D408" s="34" t="s">
        <v>215</v>
      </c>
      <c r="E408" s="34">
        <v>11</v>
      </c>
      <c r="F408" s="34">
        <v>18</v>
      </c>
      <c r="G408" s="34">
        <v>18</v>
      </c>
      <c r="H408" s="34">
        <v>27</v>
      </c>
      <c r="I408" s="34">
        <v>20</v>
      </c>
      <c r="J408" s="34">
        <v>19</v>
      </c>
      <c r="K408" s="34">
        <v>25</v>
      </c>
      <c r="L408" s="34">
        <v>15</v>
      </c>
      <c r="M408" s="34">
        <v>23</v>
      </c>
      <c r="N408" s="34">
        <v>21</v>
      </c>
      <c r="O408" s="34">
        <v>17</v>
      </c>
      <c r="P408" s="34">
        <v>11</v>
      </c>
      <c r="Q408" s="35">
        <f t="shared" si="12"/>
        <v>225</v>
      </c>
      <c r="R408" s="4" t="s">
        <v>140</v>
      </c>
    </row>
    <row r="409" spans="1:18" x14ac:dyDescent="0.25">
      <c r="Q409" s="35">
        <f t="shared" ref="Q409:Q438" si="13">SUM(E409:P409)</f>
        <v>0</v>
      </c>
    </row>
    <row r="410" spans="1:18" x14ac:dyDescent="0.25">
      <c r="A410" s="40">
        <v>46127</v>
      </c>
      <c r="B410" s="28">
        <v>1</v>
      </c>
      <c r="C410" s="34" t="s">
        <v>100</v>
      </c>
      <c r="D410" s="34" t="s">
        <v>114</v>
      </c>
      <c r="E410" s="34">
        <v>18</v>
      </c>
      <c r="F410" s="34">
        <v>30</v>
      </c>
      <c r="G410" s="34">
        <v>18</v>
      </c>
      <c r="H410" s="34">
        <v>25</v>
      </c>
      <c r="I410" s="34">
        <v>22</v>
      </c>
      <c r="J410" s="34">
        <v>26</v>
      </c>
      <c r="K410" s="34">
        <v>21</v>
      </c>
      <c r="M410" s="34">
        <v>18</v>
      </c>
      <c r="N410" s="34">
        <v>24</v>
      </c>
      <c r="O410" s="34">
        <v>28</v>
      </c>
      <c r="P410" s="34">
        <v>30</v>
      </c>
      <c r="Q410" s="35">
        <f t="shared" si="13"/>
        <v>260</v>
      </c>
      <c r="R410" s="4" t="s">
        <v>22</v>
      </c>
    </row>
    <row r="411" spans="1:18" x14ac:dyDescent="0.25">
      <c r="A411" s="40">
        <v>46127</v>
      </c>
      <c r="B411" s="28">
        <v>1</v>
      </c>
      <c r="C411" s="34" t="s">
        <v>197</v>
      </c>
      <c r="D411" s="34" t="s">
        <v>114</v>
      </c>
      <c r="Q411" s="35">
        <f t="shared" si="13"/>
        <v>0</v>
      </c>
      <c r="R411" s="4" t="s">
        <v>22</v>
      </c>
    </row>
    <row r="412" spans="1:18" x14ac:dyDescent="0.25">
      <c r="A412" s="40">
        <v>46127</v>
      </c>
      <c r="B412" s="28">
        <v>1</v>
      </c>
      <c r="C412" s="34" t="s">
        <v>445</v>
      </c>
      <c r="D412" s="34" t="s">
        <v>446</v>
      </c>
      <c r="E412" s="34">
        <v>7</v>
      </c>
      <c r="F412" s="34">
        <v>20</v>
      </c>
      <c r="G412" s="34">
        <v>14</v>
      </c>
      <c r="H412" s="34">
        <v>9</v>
      </c>
      <c r="I412" s="34">
        <v>12</v>
      </c>
      <c r="J412" s="34">
        <v>12</v>
      </c>
      <c r="K412" s="34">
        <v>14</v>
      </c>
      <c r="M412" s="34">
        <v>9</v>
      </c>
      <c r="N412" s="34">
        <v>12</v>
      </c>
      <c r="O412" s="34">
        <v>10</v>
      </c>
      <c r="P412" s="34">
        <v>17</v>
      </c>
      <c r="Q412" s="35">
        <f t="shared" si="13"/>
        <v>136</v>
      </c>
      <c r="R412" s="4" t="s">
        <v>22</v>
      </c>
    </row>
    <row r="413" spans="1:18" x14ac:dyDescent="0.25">
      <c r="A413" s="40">
        <v>46127</v>
      </c>
      <c r="B413" s="28">
        <v>1</v>
      </c>
      <c r="C413" s="34" t="s">
        <v>111</v>
      </c>
      <c r="D413" s="34" t="s">
        <v>124</v>
      </c>
      <c r="E413" s="34">
        <v>13</v>
      </c>
      <c r="F413" s="34">
        <v>21</v>
      </c>
      <c r="G413" s="34">
        <v>13</v>
      </c>
      <c r="H413" s="34">
        <v>23</v>
      </c>
      <c r="I413" s="34">
        <v>17</v>
      </c>
      <c r="J413" s="34">
        <v>21</v>
      </c>
      <c r="K413" s="34">
        <v>12</v>
      </c>
      <c r="M413" s="34">
        <v>10</v>
      </c>
      <c r="N413" s="34">
        <v>22</v>
      </c>
      <c r="O413" s="34">
        <v>22</v>
      </c>
      <c r="P413" s="34">
        <v>20</v>
      </c>
      <c r="Q413" s="35">
        <f t="shared" si="13"/>
        <v>194</v>
      </c>
      <c r="R413" s="4" t="s">
        <v>22</v>
      </c>
    </row>
    <row r="414" spans="1:18" x14ac:dyDescent="0.25">
      <c r="A414" s="40">
        <v>46127</v>
      </c>
      <c r="B414" s="28">
        <v>1</v>
      </c>
      <c r="C414" s="34" t="s">
        <v>103</v>
      </c>
      <c r="D414" s="34" t="s">
        <v>115</v>
      </c>
      <c r="E414" s="34">
        <v>13</v>
      </c>
      <c r="F414" s="34">
        <v>35</v>
      </c>
      <c r="G414" s="34">
        <v>26</v>
      </c>
      <c r="H414" s="34">
        <v>8</v>
      </c>
      <c r="I414" s="34">
        <v>12</v>
      </c>
      <c r="J414" s="34">
        <v>13</v>
      </c>
      <c r="K414" s="34">
        <v>13</v>
      </c>
      <c r="M414" s="34">
        <v>12</v>
      </c>
      <c r="N414" s="34">
        <v>29</v>
      </c>
      <c r="O414" s="34">
        <v>23</v>
      </c>
      <c r="P414" s="34">
        <v>26</v>
      </c>
      <c r="Q414" s="35">
        <f t="shared" si="13"/>
        <v>210</v>
      </c>
      <c r="R414" s="4" t="s">
        <v>22</v>
      </c>
    </row>
    <row r="415" spans="1:18" x14ac:dyDescent="0.25">
      <c r="A415" s="40">
        <v>46127</v>
      </c>
      <c r="B415" s="28">
        <v>1</v>
      </c>
      <c r="C415" s="34" t="s">
        <v>102</v>
      </c>
      <c r="D415" s="34" t="s">
        <v>116</v>
      </c>
      <c r="E415" s="34">
        <v>10</v>
      </c>
      <c r="F415" s="34">
        <v>28</v>
      </c>
      <c r="G415" s="34">
        <v>19</v>
      </c>
      <c r="H415" s="34">
        <v>18</v>
      </c>
      <c r="I415" s="34">
        <v>15</v>
      </c>
      <c r="J415" s="34">
        <v>18</v>
      </c>
      <c r="K415" s="34">
        <v>17</v>
      </c>
      <c r="M415" s="34">
        <v>12</v>
      </c>
      <c r="N415" s="34">
        <v>24</v>
      </c>
      <c r="O415" s="34">
        <v>18</v>
      </c>
      <c r="P415" s="34">
        <v>25</v>
      </c>
      <c r="Q415" s="35">
        <f t="shared" si="13"/>
        <v>204</v>
      </c>
      <c r="R415" s="4" t="s">
        <v>22</v>
      </c>
    </row>
    <row r="416" spans="1:18" x14ac:dyDescent="0.25">
      <c r="A416" s="40">
        <v>46127</v>
      </c>
      <c r="B416" s="28">
        <v>1</v>
      </c>
      <c r="C416" s="34" t="s">
        <v>104</v>
      </c>
      <c r="D416" s="34" t="s">
        <v>117</v>
      </c>
      <c r="E416" s="34">
        <v>9</v>
      </c>
      <c r="F416" s="34">
        <v>27</v>
      </c>
      <c r="G416" s="34">
        <v>17</v>
      </c>
      <c r="H416" s="34">
        <v>8</v>
      </c>
      <c r="I416" s="34">
        <v>9</v>
      </c>
      <c r="J416" s="34">
        <v>16</v>
      </c>
      <c r="K416" s="34">
        <v>16</v>
      </c>
      <c r="M416" s="34">
        <v>13</v>
      </c>
      <c r="N416" s="34">
        <v>27</v>
      </c>
      <c r="O416" s="34">
        <v>18</v>
      </c>
      <c r="P416" s="34">
        <v>24</v>
      </c>
      <c r="Q416" s="35">
        <f t="shared" si="13"/>
        <v>184</v>
      </c>
      <c r="R416" s="4" t="s">
        <v>22</v>
      </c>
    </row>
    <row r="417" spans="1:22" x14ac:dyDescent="0.25">
      <c r="A417" s="40">
        <v>46127</v>
      </c>
      <c r="B417" s="28">
        <v>1</v>
      </c>
      <c r="C417" s="34" t="s">
        <v>105</v>
      </c>
      <c r="D417" s="34" t="s">
        <v>118</v>
      </c>
      <c r="E417" s="34">
        <v>16</v>
      </c>
      <c r="F417" s="34">
        <v>28</v>
      </c>
      <c r="G417" s="34">
        <v>20</v>
      </c>
      <c r="H417" s="34">
        <v>26</v>
      </c>
      <c r="I417" s="34">
        <v>21</v>
      </c>
      <c r="J417" s="34">
        <v>25</v>
      </c>
      <c r="K417" s="34">
        <v>22</v>
      </c>
      <c r="M417" s="34">
        <v>18</v>
      </c>
      <c r="N417" s="34">
        <v>28</v>
      </c>
      <c r="O417" s="34">
        <v>30</v>
      </c>
      <c r="P417" s="34">
        <v>27</v>
      </c>
      <c r="Q417" s="35">
        <f t="shared" si="13"/>
        <v>261</v>
      </c>
      <c r="R417" s="4" t="s">
        <v>22</v>
      </c>
    </row>
    <row r="418" spans="1:22" x14ac:dyDescent="0.25">
      <c r="A418" s="40">
        <v>46127</v>
      </c>
      <c r="B418" s="28">
        <v>1</v>
      </c>
      <c r="C418" s="34" t="s">
        <v>106</v>
      </c>
      <c r="D418" s="34" t="s">
        <v>119</v>
      </c>
      <c r="E418" s="34">
        <v>17</v>
      </c>
      <c r="F418" s="34">
        <v>26</v>
      </c>
      <c r="G418" s="34">
        <v>22</v>
      </c>
      <c r="H418" s="34">
        <v>25</v>
      </c>
      <c r="I418" s="34">
        <v>18</v>
      </c>
      <c r="J418" s="34">
        <v>19</v>
      </c>
      <c r="K418" s="34">
        <v>22</v>
      </c>
      <c r="M418" s="34">
        <v>16</v>
      </c>
      <c r="N418" s="34">
        <v>28</v>
      </c>
      <c r="O418" s="34">
        <v>26</v>
      </c>
      <c r="P418" s="34">
        <v>26</v>
      </c>
      <c r="Q418" s="35">
        <f t="shared" si="13"/>
        <v>245</v>
      </c>
      <c r="R418" s="4" t="s">
        <v>22</v>
      </c>
    </row>
    <row r="419" spans="1:22" x14ac:dyDescent="0.25">
      <c r="A419" s="40">
        <v>46127</v>
      </c>
      <c r="B419" s="28">
        <v>1</v>
      </c>
      <c r="C419" s="34" t="s">
        <v>107</v>
      </c>
      <c r="D419" s="34" t="s">
        <v>120</v>
      </c>
      <c r="E419" s="34">
        <v>18</v>
      </c>
      <c r="F419" s="34">
        <v>26</v>
      </c>
      <c r="G419" s="34">
        <v>20</v>
      </c>
      <c r="H419" s="34">
        <v>30</v>
      </c>
      <c r="I419" s="34">
        <v>13</v>
      </c>
      <c r="J419" s="34">
        <v>19</v>
      </c>
      <c r="K419" s="34">
        <v>22</v>
      </c>
      <c r="M419" s="34">
        <v>17</v>
      </c>
      <c r="N419" s="34">
        <v>26</v>
      </c>
      <c r="O419" s="34">
        <v>22</v>
      </c>
      <c r="P419" s="34">
        <v>26</v>
      </c>
      <c r="Q419" s="35">
        <f t="shared" si="13"/>
        <v>239</v>
      </c>
      <c r="R419" s="4" t="s">
        <v>22</v>
      </c>
    </row>
    <row r="420" spans="1:22" x14ac:dyDescent="0.25">
      <c r="A420" s="40">
        <v>46127</v>
      </c>
      <c r="B420" s="28">
        <v>1</v>
      </c>
      <c r="C420" s="34" t="s">
        <v>101</v>
      </c>
      <c r="D420" s="34" t="s">
        <v>113</v>
      </c>
      <c r="E420" s="34">
        <v>11</v>
      </c>
      <c r="F420" s="34">
        <v>31</v>
      </c>
      <c r="G420" s="34">
        <v>23</v>
      </c>
      <c r="H420" s="34">
        <v>14</v>
      </c>
      <c r="I420" s="34">
        <v>16</v>
      </c>
      <c r="J420" s="34">
        <v>20</v>
      </c>
      <c r="K420" s="34">
        <v>20</v>
      </c>
      <c r="M420" s="34">
        <v>9</v>
      </c>
      <c r="N420" s="34">
        <v>21</v>
      </c>
      <c r="O420" s="34">
        <v>21</v>
      </c>
      <c r="P420" s="34">
        <v>22</v>
      </c>
      <c r="Q420" s="35">
        <f t="shared" si="13"/>
        <v>208</v>
      </c>
      <c r="R420" s="4" t="s">
        <v>22</v>
      </c>
    </row>
    <row r="421" spans="1:22" x14ac:dyDescent="0.25">
      <c r="A421" s="40">
        <v>46127</v>
      </c>
      <c r="B421" s="28">
        <v>1</v>
      </c>
      <c r="C421" s="34" t="s">
        <v>447</v>
      </c>
      <c r="D421" s="34" t="s">
        <v>395</v>
      </c>
      <c r="E421" s="34">
        <v>11</v>
      </c>
      <c r="F421" s="34">
        <v>24</v>
      </c>
      <c r="G421" s="34">
        <v>17</v>
      </c>
      <c r="H421" s="34">
        <v>19</v>
      </c>
      <c r="I421" s="34">
        <v>14</v>
      </c>
      <c r="J421" s="34">
        <v>18</v>
      </c>
      <c r="K421" s="34">
        <v>24</v>
      </c>
      <c r="M421" s="34">
        <v>10</v>
      </c>
      <c r="N421" s="34">
        <v>24</v>
      </c>
      <c r="O421" s="34">
        <v>26</v>
      </c>
      <c r="P421" s="34">
        <v>25</v>
      </c>
      <c r="Q421" s="35">
        <f t="shared" si="13"/>
        <v>212</v>
      </c>
      <c r="R421" s="4" t="s">
        <v>22</v>
      </c>
    </row>
    <row r="422" spans="1:22" x14ac:dyDescent="0.25">
      <c r="A422" s="40">
        <v>46127</v>
      </c>
      <c r="B422" s="28">
        <v>1</v>
      </c>
      <c r="C422" s="34" t="s">
        <v>362</v>
      </c>
      <c r="D422" s="34" t="s">
        <v>448</v>
      </c>
      <c r="E422" s="34">
        <v>11</v>
      </c>
      <c r="F422" s="34">
        <v>24</v>
      </c>
      <c r="G422" s="34">
        <v>11</v>
      </c>
      <c r="H422" s="34">
        <v>19</v>
      </c>
      <c r="I422" s="34">
        <v>13</v>
      </c>
      <c r="J422" s="34">
        <v>23</v>
      </c>
      <c r="K422" s="34">
        <v>18</v>
      </c>
      <c r="M422" s="34">
        <v>16</v>
      </c>
      <c r="N422" s="34">
        <v>28</v>
      </c>
      <c r="O422" s="34">
        <v>18</v>
      </c>
      <c r="P422" s="34">
        <v>25</v>
      </c>
      <c r="Q422" s="35">
        <f t="shared" si="13"/>
        <v>206</v>
      </c>
      <c r="R422" s="4" t="s">
        <v>22</v>
      </c>
      <c r="V422" t="s">
        <v>324</v>
      </c>
    </row>
    <row r="423" spans="1:22" x14ac:dyDescent="0.25">
      <c r="A423" s="40">
        <v>46127</v>
      </c>
      <c r="B423" s="28">
        <v>1</v>
      </c>
      <c r="C423" s="34" t="s">
        <v>449</v>
      </c>
      <c r="D423" s="34" t="s">
        <v>121</v>
      </c>
      <c r="E423" s="34">
        <v>12</v>
      </c>
      <c r="F423" s="34">
        <v>22</v>
      </c>
      <c r="G423" s="34">
        <v>19</v>
      </c>
      <c r="H423" s="34">
        <v>20</v>
      </c>
      <c r="I423" s="34">
        <v>11</v>
      </c>
      <c r="J423" s="34">
        <v>16</v>
      </c>
      <c r="K423" s="34">
        <v>15</v>
      </c>
      <c r="M423" s="34">
        <v>13</v>
      </c>
      <c r="N423" s="34">
        <v>22</v>
      </c>
      <c r="O423" s="34">
        <v>19</v>
      </c>
      <c r="P423" s="34">
        <v>20</v>
      </c>
      <c r="Q423" s="35">
        <f t="shared" si="13"/>
        <v>189</v>
      </c>
      <c r="R423" s="4" t="s">
        <v>22</v>
      </c>
    </row>
    <row r="424" spans="1:22" x14ac:dyDescent="0.25">
      <c r="A424" s="40">
        <v>46127</v>
      </c>
      <c r="B424" s="28">
        <v>1</v>
      </c>
      <c r="C424" s="34" t="s">
        <v>110</v>
      </c>
      <c r="D424" s="34" t="s">
        <v>123</v>
      </c>
      <c r="F424" s="34">
        <v>28</v>
      </c>
      <c r="G424" s="34">
        <v>20</v>
      </c>
      <c r="H424" s="34">
        <v>16</v>
      </c>
      <c r="I424" s="34">
        <v>12</v>
      </c>
      <c r="J424" s="34">
        <v>17</v>
      </c>
      <c r="K424" s="34">
        <v>18</v>
      </c>
      <c r="M424" s="34">
        <v>8</v>
      </c>
      <c r="N424" s="34">
        <v>25</v>
      </c>
      <c r="O424" s="34">
        <v>23</v>
      </c>
      <c r="P424" s="34">
        <v>20</v>
      </c>
      <c r="Q424" s="35">
        <f t="shared" si="13"/>
        <v>187</v>
      </c>
      <c r="R424" s="4" t="s">
        <v>22</v>
      </c>
    </row>
    <row r="425" spans="1:22" x14ac:dyDescent="0.25">
      <c r="A425" s="40">
        <v>46127</v>
      </c>
      <c r="B425" s="28">
        <v>1</v>
      </c>
      <c r="C425" s="34" t="s">
        <v>109</v>
      </c>
      <c r="D425" s="34" t="s">
        <v>122</v>
      </c>
      <c r="Q425" s="35">
        <f t="shared" si="13"/>
        <v>0</v>
      </c>
      <c r="R425" s="4" t="s">
        <v>22</v>
      </c>
    </row>
    <row r="426" spans="1:22" x14ac:dyDescent="0.25">
      <c r="A426" s="40">
        <v>46127</v>
      </c>
      <c r="B426" s="28">
        <v>1</v>
      </c>
      <c r="C426" s="34" t="s">
        <v>363</v>
      </c>
      <c r="D426" s="34" t="s">
        <v>364</v>
      </c>
      <c r="E426" s="34">
        <v>9</v>
      </c>
      <c r="F426" s="34">
        <v>33</v>
      </c>
      <c r="G426" s="34">
        <v>25</v>
      </c>
      <c r="H426" s="34">
        <v>10</v>
      </c>
      <c r="I426" s="34">
        <v>16</v>
      </c>
      <c r="J426" s="34">
        <v>19</v>
      </c>
      <c r="K426" s="34">
        <v>19</v>
      </c>
      <c r="M426" s="34">
        <v>17</v>
      </c>
      <c r="N426" s="34">
        <v>30</v>
      </c>
      <c r="O426" s="34">
        <v>32</v>
      </c>
      <c r="P426" s="34">
        <v>27</v>
      </c>
      <c r="Q426" s="35">
        <f t="shared" si="13"/>
        <v>237</v>
      </c>
      <c r="R426" s="4" t="s">
        <v>22</v>
      </c>
    </row>
    <row r="427" spans="1:22" x14ac:dyDescent="0.25">
      <c r="A427" s="40">
        <v>46127</v>
      </c>
      <c r="B427" s="28">
        <v>1</v>
      </c>
      <c r="C427" s="34" t="s">
        <v>484</v>
      </c>
      <c r="D427" s="34" t="s">
        <v>485</v>
      </c>
      <c r="E427" s="34">
        <v>10</v>
      </c>
      <c r="F427" s="34">
        <v>29</v>
      </c>
      <c r="G427" s="34">
        <v>20</v>
      </c>
      <c r="H427" s="34">
        <v>21</v>
      </c>
      <c r="I427" s="34">
        <v>14</v>
      </c>
      <c r="J427" s="34">
        <v>18</v>
      </c>
      <c r="K427" s="34">
        <v>18</v>
      </c>
      <c r="M427" s="34">
        <v>12</v>
      </c>
      <c r="N427" s="34">
        <v>29</v>
      </c>
      <c r="O427" s="34">
        <v>27</v>
      </c>
      <c r="P427" s="34">
        <v>27</v>
      </c>
      <c r="Q427" s="35">
        <f t="shared" si="13"/>
        <v>225</v>
      </c>
      <c r="R427" s="4" t="s">
        <v>22</v>
      </c>
    </row>
    <row r="428" spans="1:22" x14ac:dyDescent="0.25">
      <c r="A428" s="40">
        <v>46127</v>
      </c>
      <c r="B428" s="28">
        <v>1</v>
      </c>
      <c r="C428" s="34" t="s">
        <v>141</v>
      </c>
      <c r="D428" s="34" t="s">
        <v>142</v>
      </c>
      <c r="Q428" s="35">
        <f t="shared" si="13"/>
        <v>0</v>
      </c>
      <c r="R428" s="4" t="s">
        <v>140</v>
      </c>
    </row>
    <row r="429" spans="1:22" x14ac:dyDescent="0.25">
      <c r="A429" s="40">
        <v>46127</v>
      </c>
      <c r="B429" s="28">
        <v>1</v>
      </c>
      <c r="C429" s="34" t="s">
        <v>136</v>
      </c>
      <c r="D429" s="34" t="s">
        <v>129</v>
      </c>
      <c r="E429" s="34">
        <v>9</v>
      </c>
      <c r="F429" s="34">
        <v>32</v>
      </c>
      <c r="G429" s="34">
        <v>21</v>
      </c>
      <c r="H429" s="34">
        <v>16</v>
      </c>
      <c r="I429" s="34">
        <v>11</v>
      </c>
      <c r="J429" s="34">
        <v>12</v>
      </c>
      <c r="K429" s="34">
        <v>19</v>
      </c>
      <c r="M429" s="34">
        <v>15</v>
      </c>
      <c r="N429" s="34">
        <v>23</v>
      </c>
      <c r="O429" s="34">
        <v>20</v>
      </c>
      <c r="P429" s="34">
        <v>21</v>
      </c>
      <c r="Q429" s="35">
        <f t="shared" si="13"/>
        <v>199</v>
      </c>
      <c r="R429" s="4" t="s">
        <v>140</v>
      </c>
    </row>
    <row r="430" spans="1:22" x14ac:dyDescent="0.25">
      <c r="A430" s="40">
        <v>46127</v>
      </c>
      <c r="B430" s="28">
        <v>1</v>
      </c>
      <c r="C430" s="34" t="s">
        <v>133</v>
      </c>
      <c r="D430" s="34" t="s">
        <v>126</v>
      </c>
      <c r="Q430" s="35">
        <f t="shared" si="13"/>
        <v>0</v>
      </c>
      <c r="R430" s="4" t="s">
        <v>140</v>
      </c>
    </row>
    <row r="431" spans="1:22" x14ac:dyDescent="0.25">
      <c r="A431" s="40">
        <v>46127</v>
      </c>
      <c r="B431" s="28">
        <v>1</v>
      </c>
      <c r="C431" s="34" t="s">
        <v>143</v>
      </c>
      <c r="D431" s="34" t="s">
        <v>144</v>
      </c>
      <c r="Q431" s="35">
        <f t="shared" si="13"/>
        <v>0</v>
      </c>
      <c r="R431" s="4" t="s">
        <v>140</v>
      </c>
    </row>
    <row r="432" spans="1:22" x14ac:dyDescent="0.25">
      <c r="A432" s="40">
        <v>46127</v>
      </c>
      <c r="B432" s="28">
        <v>1</v>
      </c>
      <c r="C432" s="34" t="s">
        <v>138</v>
      </c>
      <c r="D432" s="34" t="s">
        <v>184</v>
      </c>
      <c r="E432" s="34">
        <v>7</v>
      </c>
      <c r="F432" s="34">
        <v>21</v>
      </c>
      <c r="G432" s="34">
        <v>14</v>
      </c>
      <c r="H432" s="34">
        <v>12</v>
      </c>
      <c r="I432" s="34">
        <v>12</v>
      </c>
      <c r="J432" s="34">
        <v>16</v>
      </c>
      <c r="K432" s="34">
        <v>19</v>
      </c>
      <c r="M432" s="34">
        <v>8</v>
      </c>
      <c r="N432" s="34">
        <v>20</v>
      </c>
      <c r="O432" s="34">
        <v>19</v>
      </c>
      <c r="P432" s="34">
        <v>19</v>
      </c>
      <c r="Q432" s="35">
        <f t="shared" si="13"/>
        <v>167</v>
      </c>
      <c r="R432" s="4" t="s">
        <v>140</v>
      </c>
    </row>
    <row r="433" spans="1:18" x14ac:dyDescent="0.25">
      <c r="A433" s="40">
        <v>46127</v>
      </c>
      <c r="B433" s="28">
        <v>1</v>
      </c>
      <c r="C433" s="34" t="s">
        <v>132</v>
      </c>
      <c r="D433" s="34" t="s">
        <v>125</v>
      </c>
      <c r="E433" s="34">
        <v>10</v>
      </c>
      <c r="F433" s="34">
        <v>24</v>
      </c>
      <c r="G433" s="34">
        <v>18</v>
      </c>
      <c r="H433" s="34">
        <v>8</v>
      </c>
      <c r="I433" s="34">
        <v>1</v>
      </c>
      <c r="J433" s="34">
        <v>9</v>
      </c>
      <c r="K433" s="34">
        <v>21</v>
      </c>
      <c r="M433" s="34">
        <v>13</v>
      </c>
      <c r="N433" s="34">
        <v>18</v>
      </c>
      <c r="O433" s="34">
        <v>17</v>
      </c>
      <c r="P433" s="34">
        <v>20</v>
      </c>
      <c r="Q433" s="35">
        <f t="shared" si="13"/>
        <v>159</v>
      </c>
      <c r="R433" s="4" t="s">
        <v>140</v>
      </c>
    </row>
    <row r="434" spans="1:18" x14ac:dyDescent="0.25">
      <c r="A434" s="40">
        <v>46127</v>
      </c>
      <c r="B434" s="28">
        <v>1</v>
      </c>
      <c r="C434" s="34" t="s">
        <v>137</v>
      </c>
      <c r="D434" s="34" t="s">
        <v>130</v>
      </c>
      <c r="E434" s="34">
        <v>4</v>
      </c>
      <c r="F434" s="34">
        <v>20</v>
      </c>
      <c r="G434" s="34">
        <v>21</v>
      </c>
      <c r="H434" s="34">
        <v>10</v>
      </c>
      <c r="I434" s="34">
        <v>13</v>
      </c>
      <c r="J434" s="34">
        <v>20</v>
      </c>
      <c r="K434" s="34">
        <v>21</v>
      </c>
      <c r="M434" s="34">
        <v>17</v>
      </c>
      <c r="N434" s="34">
        <v>23</v>
      </c>
      <c r="O434" s="34">
        <v>24</v>
      </c>
      <c r="P434" s="34">
        <v>27</v>
      </c>
      <c r="Q434" s="35">
        <f t="shared" si="13"/>
        <v>200</v>
      </c>
      <c r="R434" s="4" t="s">
        <v>140</v>
      </c>
    </row>
    <row r="435" spans="1:18" x14ac:dyDescent="0.25">
      <c r="A435" s="40">
        <v>46127</v>
      </c>
      <c r="B435" s="28">
        <v>1</v>
      </c>
      <c r="C435" s="34" t="s">
        <v>135</v>
      </c>
      <c r="D435" s="34" t="s">
        <v>128</v>
      </c>
      <c r="E435" s="34">
        <v>11</v>
      </c>
      <c r="F435" s="34">
        <v>20</v>
      </c>
      <c r="G435" s="34">
        <v>19</v>
      </c>
      <c r="H435" s="34">
        <v>19</v>
      </c>
      <c r="I435" s="34">
        <v>12</v>
      </c>
      <c r="J435" s="34">
        <v>19</v>
      </c>
      <c r="K435" s="34">
        <v>18</v>
      </c>
      <c r="M435" s="34">
        <v>14</v>
      </c>
      <c r="N435" s="34">
        <v>28</v>
      </c>
      <c r="O435" s="34">
        <v>20</v>
      </c>
      <c r="P435" s="34">
        <v>28</v>
      </c>
      <c r="Q435" s="35">
        <f t="shared" si="13"/>
        <v>208</v>
      </c>
      <c r="R435" s="4" t="s">
        <v>140</v>
      </c>
    </row>
    <row r="436" spans="1:18" x14ac:dyDescent="0.25">
      <c r="A436" s="40">
        <v>46127</v>
      </c>
      <c r="B436" s="28">
        <v>1</v>
      </c>
      <c r="C436" s="34" t="s">
        <v>134</v>
      </c>
      <c r="D436" s="34" t="s">
        <v>127</v>
      </c>
      <c r="E436" s="34">
        <v>10</v>
      </c>
      <c r="F436" s="34">
        <v>22</v>
      </c>
      <c r="G436" s="34">
        <v>14</v>
      </c>
      <c r="H436" s="34">
        <v>15</v>
      </c>
      <c r="I436" s="34">
        <v>17</v>
      </c>
      <c r="J436" s="34">
        <v>17</v>
      </c>
      <c r="K436" s="34">
        <v>9</v>
      </c>
      <c r="M436" s="34">
        <v>6</v>
      </c>
      <c r="N436" s="34">
        <v>20</v>
      </c>
      <c r="O436" s="34">
        <v>21</v>
      </c>
      <c r="P436" s="34">
        <v>22</v>
      </c>
      <c r="Q436" s="35">
        <f t="shared" si="13"/>
        <v>173</v>
      </c>
      <c r="R436" s="4" t="s">
        <v>140</v>
      </c>
    </row>
    <row r="437" spans="1:18" x14ac:dyDescent="0.25">
      <c r="A437" s="40">
        <v>46127</v>
      </c>
      <c r="B437" s="28">
        <v>1</v>
      </c>
      <c r="C437" s="34" t="s">
        <v>216</v>
      </c>
      <c r="D437" s="34" t="s">
        <v>215</v>
      </c>
      <c r="E437" s="34">
        <v>8</v>
      </c>
      <c r="F437" s="34">
        <v>21</v>
      </c>
      <c r="G437" s="34">
        <v>17</v>
      </c>
      <c r="H437" s="34">
        <v>10</v>
      </c>
      <c r="I437" s="34">
        <v>13</v>
      </c>
      <c r="J437" s="34">
        <v>18</v>
      </c>
      <c r="K437" s="34">
        <v>18</v>
      </c>
      <c r="M437" s="34">
        <v>12</v>
      </c>
      <c r="N437" s="34">
        <v>13</v>
      </c>
      <c r="O437" s="34">
        <v>18</v>
      </c>
      <c r="P437" s="34">
        <v>19</v>
      </c>
      <c r="Q437" s="35">
        <f t="shared" si="13"/>
        <v>167</v>
      </c>
      <c r="R437" s="4" t="s">
        <v>140</v>
      </c>
    </row>
    <row r="438" spans="1:18" x14ac:dyDescent="0.25">
      <c r="Q438" s="35">
        <f t="shared" si="13"/>
        <v>0</v>
      </c>
    </row>
    <row r="439" spans="1:18" x14ac:dyDescent="0.25">
      <c r="A439" s="40">
        <v>46128</v>
      </c>
      <c r="B439" s="28">
        <v>1</v>
      </c>
      <c r="C439" s="34" t="s">
        <v>100</v>
      </c>
      <c r="D439" s="34" t="s">
        <v>114</v>
      </c>
      <c r="F439" s="34">
        <v>4</v>
      </c>
      <c r="G439" s="34">
        <v>31</v>
      </c>
      <c r="H439" s="34">
        <v>13</v>
      </c>
      <c r="I439" s="34">
        <v>5</v>
      </c>
      <c r="J439" s="34">
        <v>22</v>
      </c>
      <c r="K439" s="34">
        <v>25</v>
      </c>
      <c r="Q439" s="35">
        <f t="shared" ref="Q439:Q468" si="14">SUM(E439:P439)</f>
        <v>100</v>
      </c>
      <c r="R439" s="4" t="s">
        <v>22</v>
      </c>
    </row>
    <row r="440" spans="1:18" x14ac:dyDescent="0.25">
      <c r="A440" s="40">
        <v>46128</v>
      </c>
      <c r="B440" s="28">
        <v>1</v>
      </c>
      <c r="C440" s="34" t="s">
        <v>197</v>
      </c>
      <c r="D440" s="34" t="s">
        <v>114</v>
      </c>
      <c r="Q440" s="35">
        <f t="shared" si="14"/>
        <v>0</v>
      </c>
      <c r="R440" s="4" t="s">
        <v>22</v>
      </c>
    </row>
    <row r="441" spans="1:18" x14ac:dyDescent="0.25">
      <c r="A441" s="40">
        <v>46128</v>
      </c>
      <c r="B441" s="28">
        <v>1</v>
      </c>
      <c r="C441" s="34" t="s">
        <v>445</v>
      </c>
      <c r="D441" s="34" t="s">
        <v>446</v>
      </c>
      <c r="F441" s="34">
        <v>16</v>
      </c>
      <c r="G441" s="34">
        <v>19</v>
      </c>
      <c r="H441" s="34">
        <v>17</v>
      </c>
      <c r="I441" s="34">
        <v>13</v>
      </c>
      <c r="J441" s="34">
        <v>15</v>
      </c>
      <c r="K441" s="34">
        <v>14</v>
      </c>
      <c r="Q441" s="35">
        <f t="shared" si="14"/>
        <v>94</v>
      </c>
      <c r="R441" s="4" t="s">
        <v>22</v>
      </c>
    </row>
    <row r="442" spans="1:18" x14ac:dyDescent="0.25">
      <c r="A442" s="40">
        <v>46128</v>
      </c>
      <c r="B442" s="28">
        <v>1</v>
      </c>
      <c r="C442" s="34" t="s">
        <v>111</v>
      </c>
      <c r="D442" s="34" t="s">
        <v>124</v>
      </c>
      <c r="Q442" s="35">
        <f t="shared" si="14"/>
        <v>0</v>
      </c>
      <c r="R442" s="4" t="s">
        <v>22</v>
      </c>
    </row>
    <row r="443" spans="1:18" x14ac:dyDescent="0.25">
      <c r="A443" s="40">
        <v>46128</v>
      </c>
      <c r="B443" s="28">
        <v>1</v>
      </c>
      <c r="C443" s="34" t="s">
        <v>103</v>
      </c>
      <c r="D443" s="34" t="s">
        <v>115</v>
      </c>
      <c r="F443" s="34">
        <v>11</v>
      </c>
      <c r="G443" s="34">
        <v>17</v>
      </c>
      <c r="H443" s="34">
        <v>19</v>
      </c>
      <c r="I443" s="34">
        <v>14</v>
      </c>
      <c r="J443" s="34">
        <v>20</v>
      </c>
      <c r="K443" s="34">
        <v>21</v>
      </c>
      <c r="Q443" s="35">
        <f t="shared" si="14"/>
        <v>102</v>
      </c>
      <c r="R443" s="4" t="s">
        <v>22</v>
      </c>
    </row>
    <row r="444" spans="1:18" x14ac:dyDescent="0.25">
      <c r="A444" s="40">
        <v>46128</v>
      </c>
      <c r="B444" s="28">
        <v>1</v>
      </c>
      <c r="C444" s="34" t="s">
        <v>102</v>
      </c>
      <c r="D444" s="34" t="s">
        <v>116</v>
      </c>
      <c r="F444" s="34">
        <v>11</v>
      </c>
      <c r="G444" s="34">
        <v>15</v>
      </c>
      <c r="H444" s="34">
        <v>14</v>
      </c>
      <c r="I444" s="34">
        <v>14</v>
      </c>
      <c r="J444" s="34">
        <v>19</v>
      </c>
      <c r="K444" s="34">
        <v>21</v>
      </c>
      <c r="Q444" s="35">
        <f t="shared" si="14"/>
        <v>94</v>
      </c>
      <c r="R444" s="4" t="s">
        <v>22</v>
      </c>
    </row>
    <row r="445" spans="1:18" x14ac:dyDescent="0.25">
      <c r="A445" s="40">
        <v>46128</v>
      </c>
      <c r="B445" s="28">
        <v>1</v>
      </c>
      <c r="C445" s="34" t="s">
        <v>104</v>
      </c>
      <c r="D445" s="34" t="s">
        <v>117</v>
      </c>
      <c r="F445" s="34">
        <v>9</v>
      </c>
      <c r="G445" s="34">
        <v>18</v>
      </c>
      <c r="H445" s="34">
        <v>19</v>
      </c>
      <c r="I445" s="34">
        <v>13</v>
      </c>
      <c r="J445" s="34">
        <v>16</v>
      </c>
      <c r="K445" s="34">
        <v>21</v>
      </c>
      <c r="Q445" s="35">
        <f t="shared" si="14"/>
        <v>96</v>
      </c>
      <c r="R445" s="4" t="s">
        <v>22</v>
      </c>
    </row>
    <row r="446" spans="1:18" x14ac:dyDescent="0.25">
      <c r="A446" s="40">
        <v>46128</v>
      </c>
      <c r="B446" s="28">
        <v>1</v>
      </c>
      <c r="C446" s="34" t="s">
        <v>105</v>
      </c>
      <c r="D446" s="34" t="s">
        <v>118</v>
      </c>
      <c r="F446" s="34">
        <v>9</v>
      </c>
      <c r="G446" s="34">
        <v>21</v>
      </c>
      <c r="H446" s="34">
        <v>20</v>
      </c>
      <c r="I446" s="34">
        <v>13</v>
      </c>
      <c r="J446" s="34">
        <v>21</v>
      </c>
      <c r="K446" s="34">
        <v>25</v>
      </c>
      <c r="Q446" s="35">
        <f t="shared" si="14"/>
        <v>109</v>
      </c>
      <c r="R446" s="4" t="s">
        <v>22</v>
      </c>
    </row>
    <row r="447" spans="1:18" x14ac:dyDescent="0.25">
      <c r="A447" s="40">
        <v>46128</v>
      </c>
      <c r="B447" s="28">
        <v>1</v>
      </c>
      <c r="C447" s="34" t="s">
        <v>106</v>
      </c>
      <c r="D447" s="34" t="s">
        <v>119</v>
      </c>
      <c r="F447" s="34">
        <v>14</v>
      </c>
      <c r="G447" s="34">
        <v>15</v>
      </c>
      <c r="H447" s="34">
        <v>21</v>
      </c>
      <c r="I447" s="34">
        <v>8</v>
      </c>
      <c r="J447" s="34">
        <v>22</v>
      </c>
      <c r="K447" s="34">
        <v>23</v>
      </c>
      <c r="Q447" s="35">
        <f t="shared" si="14"/>
        <v>103</v>
      </c>
      <c r="R447" s="4" t="s">
        <v>22</v>
      </c>
    </row>
    <row r="448" spans="1:18" x14ac:dyDescent="0.25">
      <c r="A448" s="40">
        <v>46128</v>
      </c>
      <c r="B448" s="28">
        <v>1</v>
      </c>
      <c r="C448" s="34" t="s">
        <v>107</v>
      </c>
      <c r="D448" s="34" t="s">
        <v>120</v>
      </c>
      <c r="F448" s="34">
        <v>18</v>
      </c>
      <c r="G448" s="34">
        <v>16</v>
      </c>
      <c r="H448" s="34">
        <v>18</v>
      </c>
      <c r="I448" s="34">
        <v>14</v>
      </c>
      <c r="J448" s="34">
        <v>24</v>
      </c>
      <c r="K448" s="34">
        <v>24</v>
      </c>
      <c r="Q448" s="35">
        <f t="shared" si="14"/>
        <v>114</v>
      </c>
      <c r="R448" s="4" t="s">
        <v>22</v>
      </c>
    </row>
    <row r="449" spans="1:22" x14ac:dyDescent="0.25">
      <c r="A449" s="40">
        <v>46128</v>
      </c>
      <c r="B449" s="28">
        <v>1</v>
      </c>
      <c r="C449" s="34" t="s">
        <v>101</v>
      </c>
      <c r="D449" s="34" t="s">
        <v>113</v>
      </c>
      <c r="F449" s="34">
        <v>10</v>
      </c>
      <c r="G449" s="34">
        <v>17</v>
      </c>
      <c r="H449" s="34">
        <v>8</v>
      </c>
      <c r="I449" s="34">
        <v>12</v>
      </c>
      <c r="J449" s="34">
        <v>11</v>
      </c>
      <c r="K449" s="34">
        <v>12</v>
      </c>
      <c r="Q449" s="35">
        <f t="shared" si="14"/>
        <v>70</v>
      </c>
      <c r="R449" s="4" t="s">
        <v>22</v>
      </c>
    </row>
    <row r="450" spans="1:22" x14ac:dyDescent="0.25">
      <c r="A450" s="40">
        <v>46128</v>
      </c>
      <c r="B450" s="28">
        <v>1</v>
      </c>
      <c r="C450" s="34" t="s">
        <v>447</v>
      </c>
      <c r="D450" s="34" t="s">
        <v>395</v>
      </c>
      <c r="F450" s="34">
        <v>19</v>
      </c>
      <c r="G450" s="34">
        <v>24</v>
      </c>
      <c r="H450" s="34">
        <v>15</v>
      </c>
      <c r="I450" s="34">
        <v>13</v>
      </c>
      <c r="J450" s="34">
        <v>15</v>
      </c>
      <c r="K450" s="34">
        <v>14</v>
      </c>
      <c r="Q450" s="35">
        <f t="shared" si="14"/>
        <v>100</v>
      </c>
      <c r="R450" s="4" t="s">
        <v>22</v>
      </c>
    </row>
    <row r="451" spans="1:22" x14ac:dyDescent="0.25">
      <c r="A451" s="40">
        <v>46128</v>
      </c>
      <c r="B451" s="28">
        <v>1</v>
      </c>
      <c r="C451" s="34" t="s">
        <v>362</v>
      </c>
      <c r="D451" s="34" t="s">
        <v>448</v>
      </c>
      <c r="F451" s="34">
        <v>1</v>
      </c>
      <c r="G451" s="34">
        <v>7</v>
      </c>
      <c r="H451" s="34">
        <v>11</v>
      </c>
      <c r="I451" s="34">
        <v>11</v>
      </c>
      <c r="J451" s="34">
        <v>14</v>
      </c>
      <c r="K451" s="34">
        <v>20</v>
      </c>
      <c r="Q451" s="35">
        <f t="shared" si="14"/>
        <v>64</v>
      </c>
      <c r="R451" s="4" t="s">
        <v>22</v>
      </c>
      <c r="V451" t="s">
        <v>324</v>
      </c>
    </row>
    <row r="452" spans="1:22" x14ac:dyDescent="0.25">
      <c r="A452" s="40">
        <v>46128</v>
      </c>
      <c r="B452" s="28">
        <v>1</v>
      </c>
      <c r="C452" s="34" t="s">
        <v>449</v>
      </c>
      <c r="D452" s="34" t="s">
        <v>121</v>
      </c>
      <c r="F452" s="34">
        <v>12</v>
      </c>
      <c r="G452" s="34">
        <v>16</v>
      </c>
      <c r="H452" s="34">
        <v>18</v>
      </c>
      <c r="I452" s="34">
        <v>12</v>
      </c>
      <c r="J452" s="34">
        <v>15</v>
      </c>
      <c r="K452" s="34">
        <v>20</v>
      </c>
      <c r="Q452" s="35">
        <f t="shared" si="14"/>
        <v>93</v>
      </c>
      <c r="R452" s="4" t="s">
        <v>22</v>
      </c>
    </row>
    <row r="453" spans="1:22" x14ac:dyDescent="0.25">
      <c r="A453" s="40">
        <v>46128</v>
      </c>
      <c r="B453" s="28">
        <v>1</v>
      </c>
      <c r="C453" s="34" t="s">
        <v>110</v>
      </c>
      <c r="D453" s="34" t="s">
        <v>123</v>
      </c>
      <c r="F453" s="34">
        <v>4</v>
      </c>
      <c r="G453" s="34">
        <v>25</v>
      </c>
      <c r="H453" s="34">
        <v>15</v>
      </c>
      <c r="I453" s="34">
        <v>6</v>
      </c>
      <c r="J453" s="34">
        <v>17</v>
      </c>
      <c r="K453" s="34">
        <v>16</v>
      </c>
      <c r="Q453" s="35">
        <f t="shared" si="14"/>
        <v>83</v>
      </c>
      <c r="R453" s="4" t="s">
        <v>22</v>
      </c>
    </row>
    <row r="454" spans="1:22" x14ac:dyDescent="0.25">
      <c r="A454" s="40">
        <v>46128</v>
      </c>
      <c r="B454" s="28">
        <v>1</v>
      </c>
      <c r="C454" s="34" t="s">
        <v>109</v>
      </c>
      <c r="D454" s="34" t="s">
        <v>122</v>
      </c>
      <c r="F454" s="34">
        <v>9</v>
      </c>
      <c r="G454" s="34">
        <v>18</v>
      </c>
      <c r="H454" s="34">
        <v>20</v>
      </c>
      <c r="I454" s="34">
        <v>17</v>
      </c>
      <c r="J454" s="34">
        <v>20</v>
      </c>
      <c r="K454" s="34">
        <v>16</v>
      </c>
      <c r="Q454" s="35">
        <f t="shared" si="14"/>
        <v>100</v>
      </c>
      <c r="R454" s="4" t="s">
        <v>22</v>
      </c>
    </row>
    <row r="455" spans="1:22" x14ac:dyDescent="0.25">
      <c r="A455" s="40">
        <v>46128</v>
      </c>
      <c r="B455" s="28">
        <v>1</v>
      </c>
      <c r="C455" s="34" t="s">
        <v>363</v>
      </c>
      <c r="D455" s="34" t="s">
        <v>364</v>
      </c>
      <c r="F455" s="34">
        <v>17</v>
      </c>
      <c r="G455" s="34">
        <v>31</v>
      </c>
      <c r="H455" s="34">
        <v>18</v>
      </c>
      <c r="I455" s="34">
        <v>3</v>
      </c>
      <c r="J455" s="34">
        <v>25</v>
      </c>
      <c r="K455" s="34">
        <v>22</v>
      </c>
      <c r="Q455" s="35">
        <f t="shared" si="14"/>
        <v>116</v>
      </c>
      <c r="R455" s="4" t="s">
        <v>22</v>
      </c>
    </row>
    <row r="456" spans="1:22" x14ac:dyDescent="0.25">
      <c r="A456" s="40">
        <v>46128</v>
      </c>
      <c r="B456" s="28">
        <v>1</v>
      </c>
      <c r="C456" s="34" t="s">
        <v>484</v>
      </c>
      <c r="D456" s="34" t="s">
        <v>485</v>
      </c>
      <c r="F456" s="34">
        <v>9</v>
      </c>
      <c r="G456" s="34">
        <v>17</v>
      </c>
      <c r="H456" s="34">
        <v>16</v>
      </c>
      <c r="I456" s="34">
        <v>14</v>
      </c>
      <c r="J456" s="34">
        <v>19</v>
      </c>
      <c r="K456" s="34">
        <v>22</v>
      </c>
      <c r="Q456" s="35">
        <f t="shared" si="14"/>
        <v>97</v>
      </c>
      <c r="R456" s="4" t="s">
        <v>22</v>
      </c>
    </row>
    <row r="457" spans="1:22" x14ac:dyDescent="0.25">
      <c r="A457" s="40">
        <v>46128</v>
      </c>
      <c r="B457" s="28">
        <v>1</v>
      </c>
      <c r="C457" s="34" t="s">
        <v>640</v>
      </c>
      <c r="D457" s="34" t="s">
        <v>108</v>
      </c>
      <c r="F457" s="34">
        <v>3</v>
      </c>
      <c r="G457" s="34">
        <v>18</v>
      </c>
      <c r="H457" s="34">
        <v>8</v>
      </c>
      <c r="I457" s="34">
        <v>11</v>
      </c>
      <c r="J457" s="34">
        <v>16</v>
      </c>
      <c r="K457" s="34">
        <v>8</v>
      </c>
      <c r="Q457" s="35">
        <f t="shared" si="14"/>
        <v>64</v>
      </c>
      <c r="R457" s="4" t="s">
        <v>22</v>
      </c>
    </row>
    <row r="458" spans="1:22" x14ac:dyDescent="0.25">
      <c r="A458" s="40">
        <v>46128</v>
      </c>
      <c r="B458" s="28">
        <v>1</v>
      </c>
      <c r="C458" s="34" t="s">
        <v>641</v>
      </c>
      <c r="D458" s="34" t="s">
        <v>642</v>
      </c>
      <c r="F458" s="34">
        <v>9</v>
      </c>
      <c r="G458" s="34">
        <v>23</v>
      </c>
      <c r="H458" s="34">
        <v>22</v>
      </c>
      <c r="I458" s="34">
        <v>19</v>
      </c>
      <c r="J458" s="34">
        <v>22</v>
      </c>
      <c r="K458" s="34">
        <v>17</v>
      </c>
      <c r="Q458" s="35">
        <f t="shared" si="14"/>
        <v>112</v>
      </c>
      <c r="R458" s="4" t="s">
        <v>22</v>
      </c>
    </row>
    <row r="459" spans="1:22" x14ac:dyDescent="0.25">
      <c r="A459" s="40">
        <v>46128</v>
      </c>
      <c r="B459" s="28">
        <v>1</v>
      </c>
      <c r="C459" s="34" t="s">
        <v>141</v>
      </c>
      <c r="D459" s="34" t="s">
        <v>142</v>
      </c>
      <c r="Q459" s="35">
        <f t="shared" si="14"/>
        <v>0</v>
      </c>
      <c r="R459" s="4" t="s">
        <v>140</v>
      </c>
    </row>
    <row r="460" spans="1:22" x14ac:dyDescent="0.25">
      <c r="A460" s="40">
        <v>46128</v>
      </c>
      <c r="B460" s="28">
        <v>1</v>
      </c>
      <c r="C460" s="34" t="s">
        <v>136</v>
      </c>
      <c r="D460" s="34" t="s">
        <v>129</v>
      </c>
      <c r="Q460" s="35">
        <f t="shared" si="14"/>
        <v>0</v>
      </c>
      <c r="R460" s="4" t="s">
        <v>140</v>
      </c>
    </row>
    <row r="461" spans="1:22" x14ac:dyDescent="0.25">
      <c r="A461" s="40">
        <v>46128</v>
      </c>
      <c r="B461" s="28">
        <v>1</v>
      </c>
      <c r="C461" s="34" t="s">
        <v>133</v>
      </c>
      <c r="D461" s="34" t="s">
        <v>126</v>
      </c>
      <c r="Q461" s="35">
        <f t="shared" si="14"/>
        <v>0</v>
      </c>
      <c r="R461" s="4" t="s">
        <v>140</v>
      </c>
    </row>
    <row r="462" spans="1:22" x14ac:dyDescent="0.25">
      <c r="A462" s="40">
        <v>46128</v>
      </c>
      <c r="B462" s="28">
        <v>1</v>
      </c>
      <c r="C462" s="34" t="s">
        <v>143</v>
      </c>
      <c r="D462" s="34" t="s">
        <v>144</v>
      </c>
      <c r="Q462" s="35">
        <f t="shared" si="14"/>
        <v>0</v>
      </c>
      <c r="R462" s="4" t="s">
        <v>140</v>
      </c>
    </row>
    <row r="463" spans="1:22" x14ac:dyDescent="0.25">
      <c r="A463" s="40">
        <v>46128</v>
      </c>
      <c r="B463" s="28">
        <v>1</v>
      </c>
      <c r="C463" s="34" t="s">
        <v>138</v>
      </c>
      <c r="D463" s="34" t="s">
        <v>184</v>
      </c>
      <c r="F463" s="34">
        <v>8</v>
      </c>
      <c r="G463" s="34">
        <v>16</v>
      </c>
      <c r="H463" s="34">
        <v>14</v>
      </c>
      <c r="I463" s="34">
        <v>9</v>
      </c>
      <c r="J463" s="34">
        <v>15</v>
      </c>
      <c r="K463" s="34">
        <v>16</v>
      </c>
      <c r="Q463" s="35">
        <f t="shared" si="14"/>
        <v>78</v>
      </c>
      <c r="R463" s="4" t="s">
        <v>140</v>
      </c>
    </row>
    <row r="464" spans="1:22" x14ac:dyDescent="0.25">
      <c r="A464" s="40">
        <v>46128</v>
      </c>
      <c r="B464" s="28">
        <v>1</v>
      </c>
      <c r="C464" s="34" t="s">
        <v>132</v>
      </c>
      <c r="D464" s="34" t="s">
        <v>125</v>
      </c>
      <c r="Q464" s="35">
        <f t="shared" si="14"/>
        <v>0</v>
      </c>
      <c r="R464" s="4" t="s">
        <v>140</v>
      </c>
    </row>
    <row r="465" spans="1:18" x14ac:dyDescent="0.25">
      <c r="A465" s="40">
        <v>46128</v>
      </c>
      <c r="B465" s="28">
        <v>1</v>
      </c>
      <c r="C465" s="34" t="s">
        <v>137</v>
      </c>
      <c r="D465" s="34" t="s">
        <v>130</v>
      </c>
      <c r="F465" s="34">
        <v>18</v>
      </c>
      <c r="G465" s="34">
        <v>23</v>
      </c>
      <c r="H465" s="34">
        <v>11</v>
      </c>
      <c r="I465" s="34">
        <v>14</v>
      </c>
      <c r="J465" s="34">
        <v>16</v>
      </c>
      <c r="K465" s="34">
        <v>18</v>
      </c>
      <c r="Q465" s="35">
        <f t="shared" si="14"/>
        <v>100</v>
      </c>
      <c r="R465" s="4" t="s">
        <v>140</v>
      </c>
    </row>
    <row r="466" spans="1:18" x14ac:dyDescent="0.25">
      <c r="A466" s="40">
        <v>46128</v>
      </c>
      <c r="B466" s="28">
        <v>1</v>
      </c>
      <c r="C466" s="34" t="s">
        <v>135</v>
      </c>
      <c r="D466" s="34" t="s">
        <v>128</v>
      </c>
      <c r="F466" s="34">
        <v>13</v>
      </c>
      <c r="G466" s="34">
        <v>11</v>
      </c>
      <c r="H466" s="34">
        <v>16</v>
      </c>
      <c r="I466" s="34">
        <v>13</v>
      </c>
      <c r="J466" s="34">
        <v>21</v>
      </c>
      <c r="K466" s="34">
        <v>24</v>
      </c>
      <c r="Q466" s="35">
        <f t="shared" si="14"/>
        <v>98</v>
      </c>
      <c r="R466" s="4" t="s">
        <v>140</v>
      </c>
    </row>
    <row r="467" spans="1:18" x14ac:dyDescent="0.25">
      <c r="A467" s="40">
        <v>46128</v>
      </c>
      <c r="B467" s="28">
        <v>1</v>
      </c>
      <c r="C467" s="34" t="s">
        <v>134</v>
      </c>
      <c r="D467" s="34" t="s">
        <v>127</v>
      </c>
      <c r="F467" s="34">
        <v>7</v>
      </c>
      <c r="G467" s="34">
        <v>20</v>
      </c>
      <c r="H467" s="34">
        <v>17</v>
      </c>
      <c r="I467" s="34">
        <v>15</v>
      </c>
      <c r="J467" s="34">
        <v>17</v>
      </c>
      <c r="K467" s="34">
        <v>20</v>
      </c>
      <c r="Q467" s="35">
        <f t="shared" si="14"/>
        <v>96</v>
      </c>
      <c r="R467" s="4" t="s">
        <v>140</v>
      </c>
    </row>
    <row r="468" spans="1:18" x14ac:dyDescent="0.25">
      <c r="A468" s="40">
        <v>46128</v>
      </c>
      <c r="B468" s="28">
        <v>1</v>
      </c>
      <c r="C468" s="34" t="s">
        <v>216</v>
      </c>
      <c r="D468" s="34" t="s">
        <v>215</v>
      </c>
      <c r="Q468" s="35">
        <f t="shared" si="14"/>
        <v>0</v>
      </c>
      <c r="R468" s="4" t="s">
        <v>140</v>
      </c>
    </row>
    <row r="469" spans="1:18" x14ac:dyDescent="0.25">
      <c r="A469" s="40">
        <v>46129</v>
      </c>
      <c r="B469" s="28">
        <v>1</v>
      </c>
      <c r="C469" s="34" t="s">
        <v>100</v>
      </c>
      <c r="D469" s="34" t="s">
        <v>114</v>
      </c>
      <c r="E469" s="34">
        <v>18</v>
      </c>
      <c r="F469" s="34">
        <v>32</v>
      </c>
      <c r="G469" s="34">
        <v>30</v>
      </c>
      <c r="H469" s="34">
        <v>24</v>
      </c>
      <c r="I469" s="34">
        <v>18</v>
      </c>
      <c r="J469" s="34">
        <v>35</v>
      </c>
      <c r="K469" s="34">
        <v>27</v>
      </c>
      <c r="L469" s="34">
        <v>12</v>
      </c>
      <c r="M469" s="34">
        <v>26</v>
      </c>
      <c r="N469" s="34">
        <v>34</v>
      </c>
      <c r="O469" s="34">
        <v>22</v>
      </c>
      <c r="P469" s="34">
        <v>28</v>
      </c>
      <c r="Q469" s="35">
        <f t="shared" ref="Q469:Q498" si="15">SUM(E469:P469)</f>
        <v>306</v>
      </c>
      <c r="R469" s="4" t="s">
        <v>22</v>
      </c>
    </row>
    <row r="470" spans="1:18" x14ac:dyDescent="0.25">
      <c r="A470" s="40">
        <v>46129</v>
      </c>
      <c r="B470" s="28">
        <v>1</v>
      </c>
      <c r="C470" s="34" t="s">
        <v>197</v>
      </c>
      <c r="D470" s="34" t="s">
        <v>114</v>
      </c>
      <c r="Q470" s="35">
        <f t="shared" si="15"/>
        <v>0</v>
      </c>
      <c r="R470" s="4" t="s">
        <v>22</v>
      </c>
    </row>
    <row r="471" spans="1:18" x14ac:dyDescent="0.25">
      <c r="A471" s="40">
        <v>46129</v>
      </c>
      <c r="B471" s="28">
        <v>1</v>
      </c>
      <c r="C471" s="34" t="s">
        <v>445</v>
      </c>
      <c r="D471" s="34" t="s">
        <v>446</v>
      </c>
      <c r="E471" s="34">
        <v>10</v>
      </c>
      <c r="F471" s="34">
        <v>17</v>
      </c>
      <c r="G471" s="34">
        <v>14</v>
      </c>
      <c r="H471" s="34">
        <v>18</v>
      </c>
      <c r="I471" s="34">
        <v>14</v>
      </c>
      <c r="J471" s="34">
        <v>19</v>
      </c>
      <c r="K471" s="34">
        <v>11</v>
      </c>
      <c r="L471" s="34">
        <v>4</v>
      </c>
      <c r="M471" s="34">
        <v>12</v>
      </c>
      <c r="N471" s="34">
        <v>15</v>
      </c>
      <c r="O471" s="34">
        <v>16</v>
      </c>
      <c r="P471" s="34">
        <v>20</v>
      </c>
      <c r="Q471" s="35">
        <f t="shared" si="15"/>
        <v>170</v>
      </c>
      <c r="R471" s="4" t="s">
        <v>22</v>
      </c>
    </row>
    <row r="472" spans="1:18" x14ac:dyDescent="0.25">
      <c r="A472" s="40">
        <v>46129</v>
      </c>
      <c r="B472" s="28">
        <v>1</v>
      </c>
      <c r="C472" s="34" t="s">
        <v>111</v>
      </c>
      <c r="D472" s="34" t="s">
        <v>124</v>
      </c>
      <c r="E472" s="34">
        <v>12</v>
      </c>
      <c r="F472" s="34">
        <v>23</v>
      </c>
      <c r="G472" s="34">
        <v>23</v>
      </c>
      <c r="H472" s="34">
        <v>20</v>
      </c>
      <c r="I472" s="34">
        <v>14</v>
      </c>
      <c r="J472" s="34">
        <v>23</v>
      </c>
      <c r="K472" s="34">
        <v>20</v>
      </c>
      <c r="L472" s="34">
        <v>10</v>
      </c>
      <c r="M472" s="34">
        <v>24</v>
      </c>
      <c r="N472" s="34">
        <v>21</v>
      </c>
      <c r="O472" s="34">
        <v>19</v>
      </c>
      <c r="P472" s="34">
        <v>16</v>
      </c>
      <c r="Q472" s="35">
        <f t="shared" si="15"/>
        <v>225</v>
      </c>
      <c r="R472" s="4" t="s">
        <v>22</v>
      </c>
    </row>
    <row r="473" spans="1:18" x14ac:dyDescent="0.25">
      <c r="A473" s="40">
        <v>46129</v>
      </c>
      <c r="B473" s="28">
        <v>1</v>
      </c>
      <c r="C473" s="34" t="s">
        <v>103</v>
      </c>
      <c r="D473" s="34" t="s">
        <v>115</v>
      </c>
      <c r="E473" s="34">
        <v>13</v>
      </c>
      <c r="F473" s="34">
        <v>16</v>
      </c>
      <c r="G473" s="34">
        <v>16</v>
      </c>
      <c r="H473" s="34">
        <v>20</v>
      </c>
      <c r="I473" s="34">
        <v>15</v>
      </c>
      <c r="J473" s="34">
        <v>24</v>
      </c>
      <c r="K473" s="34">
        <v>21</v>
      </c>
      <c r="L473" s="34">
        <v>5</v>
      </c>
      <c r="M473" s="34">
        <v>21</v>
      </c>
      <c r="N473" s="34">
        <v>22</v>
      </c>
      <c r="O473" s="34">
        <v>17</v>
      </c>
      <c r="P473" s="34">
        <v>12</v>
      </c>
      <c r="Q473" s="35">
        <f t="shared" si="15"/>
        <v>202</v>
      </c>
      <c r="R473" s="4" t="s">
        <v>22</v>
      </c>
    </row>
    <row r="474" spans="1:18" x14ac:dyDescent="0.25">
      <c r="A474" s="40">
        <v>46129</v>
      </c>
      <c r="B474" s="28">
        <v>1</v>
      </c>
      <c r="C474" s="34" t="s">
        <v>102</v>
      </c>
      <c r="D474" s="34" t="s">
        <v>116</v>
      </c>
      <c r="E474" s="34">
        <v>10</v>
      </c>
      <c r="F474" s="34">
        <v>20</v>
      </c>
      <c r="G474" s="34">
        <v>21</v>
      </c>
      <c r="H474" s="34">
        <v>20</v>
      </c>
      <c r="I474" s="34">
        <v>17</v>
      </c>
      <c r="J474" s="34">
        <v>25</v>
      </c>
      <c r="K474" s="34">
        <v>24</v>
      </c>
      <c r="L474" s="34">
        <v>12</v>
      </c>
      <c r="M474" s="34">
        <v>20</v>
      </c>
      <c r="N474" s="34">
        <v>18</v>
      </c>
      <c r="O474" s="34">
        <v>18</v>
      </c>
      <c r="P474" s="34">
        <v>7</v>
      </c>
      <c r="Q474" s="35">
        <f t="shared" si="15"/>
        <v>212</v>
      </c>
      <c r="R474" s="4" t="s">
        <v>22</v>
      </c>
    </row>
    <row r="475" spans="1:18" x14ac:dyDescent="0.25">
      <c r="A475" s="40">
        <v>46129</v>
      </c>
      <c r="B475" s="28">
        <v>1</v>
      </c>
      <c r="C475" s="34" t="s">
        <v>104</v>
      </c>
      <c r="D475" s="34" t="s">
        <v>117</v>
      </c>
      <c r="E475" s="34">
        <v>11</v>
      </c>
      <c r="F475" s="34">
        <v>16</v>
      </c>
      <c r="G475" s="34">
        <v>16</v>
      </c>
      <c r="H475" s="34">
        <v>20</v>
      </c>
      <c r="I475" s="34">
        <v>15</v>
      </c>
      <c r="J475" s="34">
        <v>26</v>
      </c>
      <c r="K475" s="34">
        <v>18</v>
      </c>
      <c r="L475" s="34">
        <v>8</v>
      </c>
      <c r="M475" s="34">
        <v>20</v>
      </c>
      <c r="N475" s="34">
        <v>17</v>
      </c>
      <c r="O475" s="34">
        <v>18</v>
      </c>
      <c r="P475" s="34">
        <v>16</v>
      </c>
      <c r="Q475" s="35">
        <f t="shared" si="15"/>
        <v>201</v>
      </c>
      <c r="R475" s="4" t="s">
        <v>22</v>
      </c>
    </row>
    <row r="476" spans="1:18" x14ac:dyDescent="0.25">
      <c r="A476" s="40">
        <v>46129</v>
      </c>
      <c r="B476" s="28">
        <v>1</v>
      </c>
      <c r="C476" s="34" t="s">
        <v>105</v>
      </c>
      <c r="D476" s="34" t="s">
        <v>118</v>
      </c>
      <c r="E476" s="34">
        <v>11</v>
      </c>
      <c r="F476" s="34">
        <v>24</v>
      </c>
      <c r="G476" s="34">
        <v>28</v>
      </c>
      <c r="H476" s="34">
        <v>24</v>
      </c>
      <c r="I476" s="34">
        <v>16</v>
      </c>
      <c r="J476" s="34">
        <v>32</v>
      </c>
      <c r="K476" s="34">
        <v>24</v>
      </c>
      <c r="L476" s="34">
        <v>10</v>
      </c>
      <c r="M476" s="34">
        <v>7</v>
      </c>
      <c r="Q476" s="35">
        <f t="shared" si="15"/>
        <v>176</v>
      </c>
      <c r="R476" s="4" t="s">
        <v>22</v>
      </c>
    </row>
    <row r="477" spans="1:18" x14ac:dyDescent="0.25">
      <c r="A477" s="40">
        <v>46129</v>
      </c>
      <c r="B477" s="28">
        <v>1</v>
      </c>
      <c r="C477" s="34" t="s">
        <v>106</v>
      </c>
      <c r="D477" s="34" t="s">
        <v>119</v>
      </c>
      <c r="E477" s="34">
        <v>12</v>
      </c>
      <c r="F477" s="34">
        <v>17</v>
      </c>
      <c r="G477" s="34">
        <v>25</v>
      </c>
      <c r="H477" s="34">
        <v>18</v>
      </c>
      <c r="I477" s="34">
        <v>15</v>
      </c>
      <c r="J477" s="34">
        <v>16</v>
      </c>
      <c r="K477" s="34">
        <v>23</v>
      </c>
      <c r="L477" s="34">
        <v>11</v>
      </c>
      <c r="M477" s="34">
        <v>25</v>
      </c>
      <c r="N477" s="34">
        <v>19</v>
      </c>
      <c r="O477" s="34">
        <v>10</v>
      </c>
      <c r="P477" s="34">
        <v>13</v>
      </c>
      <c r="Q477" s="35">
        <f t="shared" si="15"/>
        <v>204</v>
      </c>
      <c r="R477" s="4" t="s">
        <v>22</v>
      </c>
    </row>
    <row r="478" spans="1:18" x14ac:dyDescent="0.25">
      <c r="A478" s="40">
        <v>46129</v>
      </c>
      <c r="B478" s="28">
        <v>1</v>
      </c>
      <c r="C478" s="34" t="s">
        <v>107</v>
      </c>
      <c r="D478" s="34" t="s">
        <v>120</v>
      </c>
      <c r="E478" s="34">
        <v>14</v>
      </c>
      <c r="F478" s="34">
        <v>24</v>
      </c>
      <c r="G478" s="34">
        <v>31</v>
      </c>
      <c r="H478" s="34">
        <v>25</v>
      </c>
      <c r="I478" s="34">
        <v>17</v>
      </c>
      <c r="J478" s="34">
        <v>25</v>
      </c>
      <c r="K478" s="34">
        <v>24</v>
      </c>
      <c r="L478" s="34">
        <v>9</v>
      </c>
      <c r="M478" s="34">
        <v>22</v>
      </c>
      <c r="N478" s="34">
        <v>24</v>
      </c>
      <c r="O478" s="34">
        <v>18</v>
      </c>
      <c r="P478" s="34">
        <v>14</v>
      </c>
      <c r="Q478" s="35">
        <f t="shared" si="15"/>
        <v>247</v>
      </c>
      <c r="R478" s="4" t="s">
        <v>22</v>
      </c>
    </row>
    <row r="479" spans="1:18" x14ac:dyDescent="0.25">
      <c r="A479" s="40">
        <v>46129</v>
      </c>
      <c r="B479" s="28">
        <v>1</v>
      </c>
      <c r="C479" s="34" t="s">
        <v>101</v>
      </c>
      <c r="D479" s="34" t="s">
        <v>113</v>
      </c>
      <c r="E479" s="34">
        <v>18</v>
      </c>
      <c r="F479" s="34">
        <v>25</v>
      </c>
      <c r="G479" s="34">
        <v>25</v>
      </c>
      <c r="H479" s="34">
        <v>22</v>
      </c>
      <c r="I479" s="34">
        <v>16</v>
      </c>
      <c r="J479" s="34">
        <v>26</v>
      </c>
      <c r="K479" s="34">
        <v>19</v>
      </c>
      <c r="L479" s="34">
        <v>9</v>
      </c>
      <c r="M479" s="34">
        <v>25</v>
      </c>
      <c r="N479" s="34">
        <v>19</v>
      </c>
      <c r="O479" s="34">
        <v>24</v>
      </c>
      <c r="P479" s="34">
        <v>22</v>
      </c>
      <c r="Q479" s="35">
        <f t="shared" si="15"/>
        <v>250</v>
      </c>
      <c r="R479" s="4" t="s">
        <v>22</v>
      </c>
    </row>
    <row r="480" spans="1:18" x14ac:dyDescent="0.25">
      <c r="A480" s="40">
        <v>46129</v>
      </c>
      <c r="B480" s="28">
        <v>1</v>
      </c>
      <c r="C480" s="34" t="s">
        <v>447</v>
      </c>
      <c r="D480" s="34" t="s">
        <v>395</v>
      </c>
      <c r="Q480" s="35">
        <f t="shared" si="15"/>
        <v>0</v>
      </c>
      <c r="R480" s="4" t="s">
        <v>22</v>
      </c>
    </row>
    <row r="481" spans="1:22" x14ac:dyDescent="0.25">
      <c r="A481" s="40">
        <v>46129</v>
      </c>
      <c r="B481" s="28">
        <v>1</v>
      </c>
      <c r="C481" s="34" t="s">
        <v>362</v>
      </c>
      <c r="D481" s="34" t="s">
        <v>448</v>
      </c>
      <c r="E481" s="34">
        <v>10</v>
      </c>
      <c r="F481" s="34">
        <v>15</v>
      </c>
      <c r="G481" s="34">
        <v>20</v>
      </c>
      <c r="H481" s="34">
        <v>17</v>
      </c>
      <c r="I481" s="34">
        <v>13</v>
      </c>
      <c r="J481" s="34">
        <v>21</v>
      </c>
      <c r="K481" s="34">
        <v>15</v>
      </c>
      <c r="L481" s="34">
        <v>6</v>
      </c>
      <c r="M481" s="34">
        <v>14</v>
      </c>
      <c r="N481" s="34">
        <v>12</v>
      </c>
      <c r="O481" s="34">
        <v>6</v>
      </c>
      <c r="P481" s="34">
        <v>5</v>
      </c>
      <c r="Q481" s="35">
        <f t="shared" si="15"/>
        <v>154</v>
      </c>
      <c r="R481" s="4" t="s">
        <v>22</v>
      </c>
      <c r="V481" t="s">
        <v>324</v>
      </c>
    </row>
    <row r="482" spans="1:22" x14ac:dyDescent="0.25">
      <c r="A482" s="40">
        <v>46129</v>
      </c>
      <c r="B482" s="28">
        <v>1</v>
      </c>
      <c r="C482" s="34" t="s">
        <v>449</v>
      </c>
      <c r="D482" s="34" t="s">
        <v>121</v>
      </c>
      <c r="E482" s="34">
        <v>11</v>
      </c>
      <c r="F482" s="34">
        <v>17</v>
      </c>
      <c r="G482" s="34">
        <v>22</v>
      </c>
      <c r="H482" s="34">
        <v>18</v>
      </c>
      <c r="I482" s="34">
        <v>14</v>
      </c>
      <c r="J482" s="34">
        <v>23</v>
      </c>
      <c r="K482" s="34">
        <v>20</v>
      </c>
      <c r="L482" s="34">
        <v>10</v>
      </c>
      <c r="M482" s="34">
        <v>21</v>
      </c>
      <c r="N482" s="34">
        <v>15</v>
      </c>
      <c r="O482" s="34">
        <v>18</v>
      </c>
      <c r="P482" s="34">
        <v>13</v>
      </c>
      <c r="Q482" s="35">
        <f t="shared" si="15"/>
        <v>202</v>
      </c>
      <c r="R482" s="4" t="s">
        <v>22</v>
      </c>
    </row>
    <row r="483" spans="1:22" x14ac:dyDescent="0.25">
      <c r="A483" s="40">
        <v>46129</v>
      </c>
      <c r="B483" s="28">
        <v>1</v>
      </c>
      <c r="C483" s="34" t="s">
        <v>110</v>
      </c>
      <c r="D483" s="34" t="s">
        <v>123</v>
      </c>
      <c r="E483" s="34">
        <v>17</v>
      </c>
      <c r="F483" s="34">
        <v>31</v>
      </c>
      <c r="G483" s="34">
        <v>26</v>
      </c>
      <c r="H483" s="34">
        <v>25</v>
      </c>
      <c r="I483" s="34">
        <v>22</v>
      </c>
      <c r="J483" s="34">
        <v>32</v>
      </c>
      <c r="K483" s="34">
        <v>24</v>
      </c>
      <c r="L483" s="34">
        <v>12</v>
      </c>
      <c r="M483" s="34">
        <v>23</v>
      </c>
      <c r="N483" s="34">
        <v>29</v>
      </c>
      <c r="O483" s="34">
        <v>30</v>
      </c>
      <c r="P483" s="34">
        <v>26</v>
      </c>
      <c r="Q483" s="35">
        <f t="shared" si="15"/>
        <v>297</v>
      </c>
      <c r="R483" s="4" t="s">
        <v>22</v>
      </c>
    </row>
    <row r="484" spans="1:22" x14ac:dyDescent="0.25">
      <c r="A484" s="40">
        <v>46129</v>
      </c>
      <c r="B484" s="28">
        <v>1</v>
      </c>
      <c r="C484" s="34" t="s">
        <v>109</v>
      </c>
      <c r="D484" s="34" t="s">
        <v>122</v>
      </c>
      <c r="E484" s="34">
        <v>18</v>
      </c>
      <c r="F484" s="34">
        <v>29</v>
      </c>
      <c r="G484" s="34">
        <v>26</v>
      </c>
      <c r="H484" s="34">
        <v>25</v>
      </c>
      <c r="I484" s="34">
        <v>20</v>
      </c>
      <c r="J484" s="34">
        <v>32</v>
      </c>
      <c r="K484" s="34">
        <v>17</v>
      </c>
      <c r="L484" s="34">
        <v>7</v>
      </c>
      <c r="M484" s="34">
        <v>24</v>
      </c>
      <c r="N484" s="34">
        <v>25</v>
      </c>
      <c r="O484" s="34">
        <v>25</v>
      </c>
      <c r="P484" s="34">
        <v>21</v>
      </c>
      <c r="Q484" s="35">
        <f t="shared" si="15"/>
        <v>269</v>
      </c>
      <c r="R484" s="4" t="s">
        <v>22</v>
      </c>
    </row>
    <row r="485" spans="1:22" x14ac:dyDescent="0.25">
      <c r="A485" s="40">
        <v>46129</v>
      </c>
      <c r="B485" s="28">
        <v>1</v>
      </c>
      <c r="C485" s="34" t="s">
        <v>363</v>
      </c>
      <c r="D485" s="34" t="s">
        <v>364</v>
      </c>
      <c r="E485" s="34">
        <v>14</v>
      </c>
      <c r="F485" s="34">
        <v>22</v>
      </c>
      <c r="G485" s="34">
        <v>11</v>
      </c>
      <c r="H485" s="34">
        <v>24</v>
      </c>
      <c r="I485" s="34">
        <v>13</v>
      </c>
      <c r="J485" s="34">
        <v>25</v>
      </c>
      <c r="K485" s="34">
        <v>25</v>
      </c>
      <c r="L485" s="34">
        <v>11</v>
      </c>
      <c r="M485" s="34">
        <v>27</v>
      </c>
      <c r="N485" s="34">
        <v>21</v>
      </c>
      <c r="O485" s="34">
        <v>17</v>
      </c>
      <c r="P485" s="34">
        <v>20</v>
      </c>
      <c r="Q485" s="35">
        <f t="shared" si="15"/>
        <v>230</v>
      </c>
      <c r="R485" s="4" t="s">
        <v>22</v>
      </c>
    </row>
    <row r="486" spans="1:22" x14ac:dyDescent="0.25">
      <c r="A486" s="40">
        <v>46129</v>
      </c>
      <c r="B486" s="28">
        <v>1</v>
      </c>
      <c r="C486" s="34" t="s">
        <v>484</v>
      </c>
      <c r="D486" s="34" t="s">
        <v>485</v>
      </c>
      <c r="E486" s="34">
        <v>11</v>
      </c>
      <c r="F486" s="34">
        <v>22</v>
      </c>
      <c r="G486" s="34">
        <v>23</v>
      </c>
      <c r="H486" s="34">
        <v>22</v>
      </c>
      <c r="I486" s="34">
        <v>20</v>
      </c>
      <c r="J486" s="34">
        <v>26</v>
      </c>
      <c r="K486" s="34">
        <v>31</v>
      </c>
      <c r="L486" s="34">
        <v>12</v>
      </c>
      <c r="M486" s="34">
        <v>28</v>
      </c>
      <c r="N486" s="34">
        <v>28</v>
      </c>
      <c r="O486" s="34">
        <v>17</v>
      </c>
      <c r="P486" s="34">
        <v>5</v>
      </c>
      <c r="Q486" s="35">
        <f t="shared" si="15"/>
        <v>245</v>
      </c>
      <c r="R486" s="4" t="s">
        <v>22</v>
      </c>
    </row>
    <row r="487" spans="1:22" x14ac:dyDescent="0.25">
      <c r="A487" s="40">
        <v>46129</v>
      </c>
      <c r="B487" s="28">
        <v>1</v>
      </c>
      <c r="C487" s="34" t="s">
        <v>640</v>
      </c>
      <c r="D487" s="34" t="s">
        <v>108</v>
      </c>
      <c r="E487" s="34">
        <v>13</v>
      </c>
      <c r="F487" s="34">
        <v>24</v>
      </c>
      <c r="G487" s="34">
        <v>22</v>
      </c>
      <c r="H487" s="34">
        <v>16</v>
      </c>
      <c r="I487" s="34">
        <v>11</v>
      </c>
      <c r="J487" s="34">
        <v>21</v>
      </c>
      <c r="K487" s="34">
        <v>15</v>
      </c>
      <c r="L487" s="34">
        <v>10</v>
      </c>
      <c r="M487" s="34">
        <v>23</v>
      </c>
      <c r="N487" s="34">
        <v>21</v>
      </c>
      <c r="O487" s="34">
        <v>11</v>
      </c>
      <c r="P487" s="34">
        <v>18</v>
      </c>
      <c r="Q487" s="35">
        <f t="shared" si="15"/>
        <v>205</v>
      </c>
      <c r="R487" s="4" t="s">
        <v>22</v>
      </c>
    </row>
    <row r="488" spans="1:22" x14ac:dyDescent="0.25">
      <c r="A488" s="40">
        <v>46129</v>
      </c>
      <c r="B488" s="28">
        <v>1</v>
      </c>
      <c r="C488" s="34" t="s">
        <v>641</v>
      </c>
      <c r="D488" s="34" t="s">
        <v>642</v>
      </c>
      <c r="E488" s="34">
        <v>10</v>
      </c>
      <c r="F488" s="34">
        <v>22</v>
      </c>
      <c r="G488" s="34">
        <v>13</v>
      </c>
      <c r="H488" s="34">
        <v>19</v>
      </c>
      <c r="I488" s="34">
        <v>17</v>
      </c>
      <c r="J488" s="34">
        <v>19</v>
      </c>
      <c r="K488" s="34">
        <v>16</v>
      </c>
      <c r="L488" s="34">
        <v>8</v>
      </c>
      <c r="M488" s="34">
        <v>25</v>
      </c>
      <c r="N488" s="34">
        <v>15</v>
      </c>
      <c r="O488" s="34">
        <v>16</v>
      </c>
      <c r="P488" s="34">
        <v>20</v>
      </c>
      <c r="Q488" s="35">
        <f t="shared" si="15"/>
        <v>200</v>
      </c>
      <c r="R488" s="4" t="s">
        <v>22</v>
      </c>
    </row>
    <row r="489" spans="1:22" x14ac:dyDescent="0.25">
      <c r="A489" s="40">
        <v>46129</v>
      </c>
      <c r="B489" s="28">
        <v>1</v>
      </c>
      <c r="C489" s="34" t="s">
        <v>141</v>
      </c>
      <c r="D489" s="34" t="s">
        <v>142</v>
      </c>
      <c r="Q489" s="35">
        <f t="shared" si="15"/>
        <v>0</v>
      </c>
      <c r="R489" s="4" t="s">
        <v>140</v>
      </c>
    </row>
    <row r="490" spans="1:22" x14ac:dyDescent="0.25">
      <c r="A490" s="40">
        <v>46129</v>
      </c>
      <c r="B490" s="28">
        <v>1</v>
      </c>
      <c r="C490" s="34" t="s">
        <v>136</v>
      </c>
      <c r="D490" s="34" t="s">
        <v>129</v>
      </c>
      <c r="Q490" s="35">
        <f t="shared" si="15"/>
        <v>0</v>
      </c>
      <c r="R490" s="4" t="s">
        <v>140</v>
      </c>
    </row>
    <row r="491" spans="1:22" x14ac:dyDescent="0.25">
      <c r="A491" s="40">
        <v>46129</v>
      </c>
      <c r="B491" s="28">
        <v>1</v>
      </c>
      <c r="C491" s="34" t="s">
        <v>133</v>
      </c>
      <c r="D491" s="34" t="s">
        <v>126</v>
      </c>
      <c r="Q491" s="35">
        <f t="shared" si="15"/>
        <v>0</v>
      </c>
      <c r="R491" s="4" t="s">
        <v>140</v>
      </c>
    </row>
    <row r="492" spans="1:22" x14ac:dyDescent="0.25">
      <c r="A492" s="40">
        <v>46129</v>
      </c>
      <c r="B492" s="28">
        <v>1</v>
      </c>
      <c r="C492" s="34" t="s">
        <v>143</v>
      </c>
      <c r="D492" s="34" t="s">
        <v>144</v>
      </c>
      <c r="Q492" s="35">
        <f t="shared" si="15"/>
        <v>0</v>
      </c>
      <c r="R492" s="4" t="s">
        <v>140</v>
      </c>
    </row>
    <row r="493" spans="1:22" x14ac:dyDescent="0.25">
      <c r="A493" s="40">
        <v>46129</v>
      </c>
      <c r="B493" s="28">
        <v>1</v>
      </c>
      <c r="C493" s="34" t="s">
        <v>138</v>
      </c>
      <c r="D493" s="34" t="s">
        <v>184</v>
      </c>
      <c r="E493" s="34">
        <v>14</v>
      </c>
      <c r="F493" s="34">
        <v>23</v>
      </c>
      <c r="G493" s="34">
        <v>21</v>
      </c>
      <c r="H493" s="34">
        <v>22</v>
      </c>
      <c r="I493" s="34">
        <v>15</v>
      </c>
      <c r="J493" s="34">
        <v>23</v>
      </c>
      <c r="K493" s="34">
        <v>18</v>
      </c>
      <c r="L493" s="34">
        <v>9</v>
      </c>
      <c r="M493" s="34">
        <v>12</v>
      </c>
      <c r="N493" s="34">
        <v>19</v>
      </c>
      <c r="O493" s="34">
        <v>21</v>
      </c>
      <c r="P493" s="34">
        <v>20</v>
      </c>
      <c r="Q493" s="35">
        <f t="shared" si="15"/>
        <v>217</v>
      </c>
      <c r="R493" s="4" t="s">
        <v>140</v>
      </c>
    </row>
    <row r="494" spans="1:22" x14ac:dyDescent="0.25">
      <c r="A494" s="40">
        <v>46129</v>
      </c>
      <c r="B494" s="28">
        <v>1</v>
      </c>
      <c r="C494" s="34" t="s">
        <v>132</v>
      </c>
      <c r="D494" s="34" t="s">
        <v>125</v>
      </c>
      <c r="Q494" s="35">
        <f t="shared" si="15"/>
        <v>0</v>
      </c>
      <c r="R494" s="4" t="s">
        <v>140</v>
      </c>
    </row>
    <row r="495" spans="1:22" x14ac:dyDescent="0.25">
      <c r="A495" s="40">
        <v>46129</v>
      </c>
      <c r="B495" s="28">
        <v>1</v>
      </c>
      <c r="C495" s="34" t="s">
        <v>137</v>
      </c>
      <c r="D495" s="34" t="s">
        <v>130</v>
      </c>
      <c r="E495" s="34">
        <v>11</v>
      </c>
      <c r="F495" s="34">
        <v>22</v>
      </c>
      <c r="G495" s="34">
        <v>14</v>
      </c>
      <c r="H495" s="34">
        <v>20</v>
      </c>
      <c r="I495" s="34">
        <v>14</v>
      </c>
      <c r="J495" s="34">
        <v>29</v>
      </c>
      <c r="K495" s="34">
        <v>22</v>
      </c>
      <c r="L495" s="34">
        <v>10</v>
      </c>
      <c r="M495" s="34">
        <v>22</v>
      </c>
      <c r="N495" s="34">
        <v>25</v>
      </c>
      <c r="O495" s="34">
        <v>22</v>
      </c>
      <c r="P495" s="34">
        <v>22</v>
      </c>
      <c r="Q495" s="35">
        <f t="shared" si="15"/>
        <v>233</v>
      </c>
      <c r="R495" s="4" t="s">
        <v>140</v>
      </c>
    </row>
    <row r="496" spans="1:22" x14ac:dyDescent="0.25">
      <c r="A496" s="40">
        <v>46129</v>
      </c>
      <c r="B496" s="28">
        <v>1</v>
      </c>
      <c r="C496" s="34" t="s">
        <v>135</v>
      </c>
      <c r="D496" s="34" t="s">
        <v>128</v>
      </c>
      <c r="E496" s="34">
        <v>11</v>
      </c>
      <c r="F496" s="34">
        <v>17</v>
      </c>
      <c r="G496" s="34">
        <v>20</v>
      </c>
      <c r="H496" s="34">
        <v>21</v>
      </c>
      <c r="I496" s="34">
        <v>18</v>
      </c>
      <c r="J496" s="34">
        <v>20</v>
      </c>
      <c r="K496" s="34">
        <v>17</v>
      </c>
      <c r="L496" s="34">
        <v>8</v>
      </c>
      <c r="M496" s="34">
        <v>15</v>
      </c>
      <c r="N496" s="34">
        <v>24</v>
      </c>
      <c r="O496" s="34">
        <v>11</v>
      </c>
      <c r="P496" s="34">
        <v>13</v>
      </c>
      <c r="Q496" s="35">
        <f t="shared" si="15"/>
        <v>195</v>
      </c>
      <c r="R496" s="4" t="s">
        <v>140</v>
      </c>
    </row>
    <row r="497" spans="1:18" x14ac:dyDescent="0.25">
      <c r="A497" s="40">
        <v>46129</v>
      </c>
      <c r="B497" s="28">
        <v>1</v>
      </c>
      <c r="C497" s="34" t="s">
        <v>134</v>
      </c>
      <c r="D497" s="34" t="s">
        <v>127</v>
      </c>
      <c r="Q497" s="35">
        <f t="shared" si="15"/>
        <v>0</v>
      </c>
      <c r="R497" s="4" t="s">
        <v>140</v>
      </c>
    </row>
    <row r="498" spans="1:18" x14ac:dyDescent="0.25">
      <c r="A498" s="40">
        <v>46129</v>
      </c>
      <c r="B498" s="28">
        <v>1</v>
      </c>
      <c r="C498" s="34" t="s">
        <v>216</v>
      </c>
      <c r="D498" s="34" t="s">
        <v>215</v>
      </c>
      <c r="E498" s="34">
        <v>9</v>
      </c>
      <c r="F498" s="34">
        <v>18</v>
      </c>
      <c r="G498" s="34">
        <v>13</v>
      </c>
      <c r="H498" s="34">
        <v>17</v>
      </c>
      <c r="I498" s="34">
        <v>12</v>
      </c>
      <c r="J498" s="34">
        <v>24</v>
      </c>
      <c r="K498" s="34">
        <v>19</v>
      </c>
      <c r="L498" s="34">
        <v>9</v>
      </c>
      <c r="M498" s="34">
        <v>22</v>
      </c>
      <c r="N498" s="34">
        <v>20</v>
      </c>
      <c r="O498" s="34">
        <v>18</v>
      </c>
      <c r="P498" s="34">
        <v>18</v>
      </c>
      <c r="Q498" s="35">
        <f t="shared" si="15"/>
        <v>199</v>
      </c>
      <c r="R498" s="4" t="s">
        <v>140</v>
      </c>
    </row>
    <row r="499" spans="1:18" x14ac:dyDescent="0.25">
      <c r="A499" s="40">
        <v>46130</v>
      </c>
      <c r="B499" s="28">
        <v>1</v>
      </c>
      <c r="C499" s="34" t="s">
        <v>100</v>
      </c>
      <c r="D499" s="34" t="s">
        <v>114</v>
      </c>
      <c r="E499" s="34">
        <v>15</v>
      </c>
      <c r="F499" s="34">
        <v>22</v>
      </c>
      <c r="G499" s="34">
        <v>20</v>
      </c>
      <c r="H499" s="34">
        <v>29</v>
      </c>
      <c r="I499" s="34">
        <v>19</v>
      </c>
      <c r="J499" s="34">
        <v>16</v>
      </c>
      <c r="K499" s="34">
        <v>20</v>
      </c>
      <c r="L499" s="34">
        <v>11</v>
      </c>
      <c r="M499" s="34">
        <v>30</v>
      </c>
      <c r="N499" s="34">
        <v>21</v>
      </c>
      <c r="O499" s="34">
        <v>30</v>
      </c>
      <c r="P499" s="34">
        <v>32</v>
      </c>
      <c r="Q499" s="35">
        <f t="shared" ref="Q499:Q521" si="16">SUM(E499:P499)</f>
        <v>265</v>
      </c>
      <c r="R499" s="4" t="s">
        <v>22</v>
      </c>
    </row>
    <row r="500" spans="1:18" x14ac:dyDescent="0.25">
      <c r="A500" s="40">
        <v>46130</v>
      </c>
      <c r="B500" s="28">
        <v>1</v>
      </c>
      <c r="C500" s="34" t="s">
        <v>197</v>
      </c>
      <c r="D500" s="34" t="s">
        <v>114</v>
      </c>
      <c r="Q500" s="35">
        <f t="shared" si="16"/>
        <v>0</v>
      </c>
      <c r="R500" s="4" t="s">
        <v>22</v>
      </c>
    </row>
    <row r="501" spans="1:18" x14ac:dyDescent="0.25">
      <c r="A501" s="40">
        <v>46130</v>
      </c>
      <c r="B501" s="28">
        <v>1</v>
      </c>
      <c r="C501" s="34" t="s">
        <v>445</v>
      </c>
      <c r="D501" s="34" t="s">
        <v>446</v>
      </c>
      <c r="F501" s="34">
        <v>8</v>
      </c>
      <c r="G501" s="34">
        <v>14</v>
      </c>
      <c r="H501" s="34">
        <v>24</v>
      </c>
      <c r="I501" s="34">
        <v>17</v>
      </c>
      <c r="J501" s="34">
        <v>23</v>
      </c>
      <c r="K501" s="34">
        <v>19</v>
      </c>
      <c r="L501" s="34">
        <v>7</v>
      </c>
      <c r="M501" s="34">
        <v>19</v>
      </c>
      <c r="N501" s="34">
        <v>17</v>
      </c>
      <c r="O501" s="34">
        <v>11</v>
      </c>
      <c r="P501" s="34">
        <v>21</v>
      </c>
      <c r="Q501" s="35">
        <f t="shared" si="16"/>
        <v>180</v>
      </c>
      <c r="R501" s="4" t="s">
        <v>22</v>
      </c>
    </row>
    <row r="502" spans="1:18" x14ac:dyDescent="0.25">
      <c r="A502" s="40">
        <v>46130</v>
      </c>
      <c r="B502" s="28">
        <v>1</v>
      </c>
      <c r="C502" s="34" t="s">
        <v>111</v>
      </c>
      <c r="D502" s="34" t="s">
        <v>124</v>
      </c>
      <c r="E502" s="34">
        <v>12</v>
      </c>
      <c r="F502" s="34">
        <v>19</v>
      </c>
      <c r="G502" s="34">
        <v>19</v>
      </c>
      <c r="H502" s="34">
        <v>26</v>
      </c>
      <c r="I502" s="34">
        <v>16</v>
      </c>
      <c r="J502" s="34">
        <v>16</v>
      </c>
      <c r="K502" s="34">
        <v>20</v>
      </c>
      <c r="L502" s="34">
        <v>8</v>
      </c>
      <c r="M502" s="34">
        <v>17</v>
      </c>
      <c r="N502" s="34">
        <v>16</v>
      </c>
      <c r="O502" s="34">
        <v>20</v>
      </c>
      <c r="P502" s="34">
        <v>21</v>
      </c>
      <c r="Q502" s="35">
        <f t="shared" si="16"/>
        <v>210</v>
      </c>
      <c r="R502" s="4" t="s">
        <v>22</v>
      </c>
    </row>
    <row r="503" spans="1:18" x14ac:dyDescent="0.25">
      <c r="A503" s="40">
        <v>46130</v>
      </c>
      <c r="B503" s="28">
        <v>1</v>
      </c>
      <c r="C503" s="34" t="s">
        <v>103</v>
      </c>
      <c r="D503" s="34" t="s">
        <v>115</v>
      </c>
      <c r="E503" s="34">
        <v>15</v>
      </c>
      <c r="F503" s="34">
        <v>22</v>
      </c>
      <c r="G503" s="34">
        <v>26</v>
      </c>
      <c r="H503" s="34">
        <v>31</v>
      </c>
      <c r="I503" s="34">
        <v>14</v>
      </c>
      <c r="J503" s="34">
        <v>24</v>
      </c>
      <c r="K503" s="34">
        <v>22</v>
      </c>
      <c r="L503" s="34">
        <v>7</v>
      </c>
      <c r="M503" s="34">
        <v>24</v>
      </c>
      <c r="N503" s="34">
        <v>24</v>
      </c>
      <c r="O503" s="34">
        <v>25</v>
      </c>
      <c r="P503" s="34">
        <v>29</v>
      </c>
      <c r="Q503" s="35">
        <f t="shared" si="16"/>
        <v>263</v>
      </c>
      <c r="R503" s="4" t="s">
        <v>22</v>
      </c>
    </row>
    <row r="504" spans="1:18" x14ac:dyDescent="0.25">
      <c r="A504" s="40">
        <v>46130</v>
      </c>
      <c r="B504" s="28">
        <v>1</v>
      </c>
      <c r="C504" s="34" t="s">
        <v>102</v>
      </c>
      <c r="D504" s="34" t="s">
        <v>116</v>
      </c>
      <c r="Q504" s="35">
        <f t="shared" si="16"/>
        <v>0</v>
      </c>
      <c r="R504" s="4" t="s">
        <v>22</v>
      </c>
    </row>
    <row r="505" spans="1:18" x14ac:dyDescent="0.25">
      <c r="A505" s="40">
        <v>46130</v>
      </c>
      <c r="B505" s="28">
        <v>1</v>
      </c>
      <c r="C505" s="34" t="s">
        <v>104</v>
      </c>
      <c r="D505" s="34" t="s">
        <v>117</v>
      </c>
      <c r="E505" s="34">
        <v>10</v>
      </c>
      <c r="F505" s="34">
        <v>23</v>
      </c>
      <c r="G505" s="34">
        <v>23</v>
      </c>
      <c r="H505" s="34">
        <v>20</v>
      </c>
      <c r="I505" s="34">
        <v>11</v>
      </c>
      <c r="J505" s="34">
        <v>17</v>
      </c>
      <c r="K505" s="34">
        <v>16</v>
      </c>
      <c r="L505" s="34">
        <v>7</v>
      </c>
      <c r="M505" s="34">
        <v>17</v>
      </c>
      <c r="N505" s="34">
        <v>16</v>
      </c>
      <c r="O505" s="34">
        <v>19</v>
      </c>
      <c r="P505" s="34">
        <v>23</v>
      </c>
      <c r="Q505" s="35">
        <f t="shared" si="16"/>
        <v>202</v>
      </c>
      <c r="R505" s="4" t="s">
        <v>22</v>
      </c>
    </row>
    <row r="506" spans="1:18" x14ac:dyDescent="0.25">
      <c r="A506" s="40">
        <v>46130</v>
      </c>
      <c r="B506" s="28">
        <v>1</v>
      </c>
      <c r="C506" s="34" t="s">
        <v>105</v>
      </c>
      <c r="D506" s="34" t="s">
        <v>118</v>
      </c>
      <c r="G506" s="34">
        <v>16</v>
      </c>
      <c r="H506" s="34">
        <v>29</v>
      </c>
      <c r="I506" s="34">
        <v>19</v>
      </c>
      <c r="J506" s="34">
        <v>22</v>
      </c>
      <c r="K506" s="34">
        <v>22</v>
      </c>
      <c r="L506" s="34">
        <v>7</v>
      </c>
      <c r="M506" s="34">
        <v>18</v>
      </c>
      <c r="N506" s="34">
        <v>19</v>
      </c>
      <c r="O506" s="34">
        <v>24</v>
      </c>
      <c r="P506" s="34">
        <v>30</v>
      </c>
      <c r="Q506" s="35">
        <f t="shared" si="16"/>
        <v>206</v>
      </c>
      <c r="R506" s="4" t="s">
        <v>22</v>
      </c>
    </row>
    <row r="507" spans="1:18" x14ac:dyDescent="0.25">
      <c r="A507" s="40">
        <v>46130</v>
      </c>
      <c r="B507" s="28">
        <v>1</v>
      </c>
      <c r="C507" s="34" t="s">
        <v>106</v>
      </c>
      <c r="D507" s="34" t="s">
        <v>119</v>
      </c>
      <c r="E507" s="34">
        <v>9</v>
      </c>
      <c r="F507" s="34">
        <v>17</v>
      </c>
      <c r="G507" s="34">
        <v>19</v>
      </c>
      <c r="H507" s="34">
        <v>20</v>
      </c>
      <c r="I507" s="34">
        <v>12</v>
      </c>
      <c r="J507" s="34">
        <v>12</v>
      </c>
      <c r="K507" s="34">
        <v>20</v>
      </c>
      <c r="L507" s="34">
        <v>8</v>
      </c>
      <c r="M507" s="34">
        <v>25</v>
      </c>
      <c r="N507" s="34">
        <v>19</v>
      </c>
      <c r="O507" s="34">
        <v>27</v>
      </c>
      <c r="P507" s="34">
        <v>25</v>
      </c>
      <c r="Q507" s="35">
        <f t="shared" si="16"/>
        <v>213</v>
      </c>
      <c r="R507" s="4" t="s">
        <v>22</v>
      </c>
    </row>
    <row r="508" spans="1:18" x14ac:dyDescent="0.25">
      <c r="A508" s="40">
        <v>46130</v>
      </c>
      <c r="B508" s="28">
        <v>1</v>
      </c>
      <c r="C508" s="34" t="s">
        <v>107</v>
      </c>
      <c r="D508" s="34" t="s">
        <v>120</v>
      </c>
      <c r="E508" s="34">
        <v>10</v>
      </c>
      <c r="F508" s="34">
        <v>16</v>
      </c>
      <c r="G508" s="34">
        <v>21</v>
      </c>
      <c r="H508" s="34">
        <v>28</v>
      </c>
      <c r="I508" s="34">
        <v>16</v>
      </c>
      <c r="J508" s="34">
        <v>26</v>
      </c>
      <c r="K508" s="34">
        <v>26</v>
      </c>
      <c r="L508" s="34">
        <v>7</v>
      </c>
      <c r="M508" s="34">
        <v>29</v>
      </c>
      <c r="N508" s="34">
        <v>29</v>
      </c>
      <c r="O508" s="34">
        <v>30</v>
      </c>
      <c r="P508" s="34">
        <v>31</v>
      </c>
      <c r="Q508" s="35">
        <f t="shared" si="16"/>
        <v>269</v>
      </c>
      <c r="R508" s="4" t="s">
        <v>22</v>
      </c>
    </row>
    <row r="509" spans="1:18" x14ac:dyDescent="0.25">
      <c r="A509" s="40">
        <v>46130</v>
      </c>
      <c r="B509" s="28">
        <v>1</v>
      </c>
      <c r="C509" s="34" t="s">
        <v>485</v>
      </c>
      <c r="D509" s="34" t="s">
        <v>738</v>
      </c>
      <c r="E509" s="34">
        <v>16</v>
      </c>
      <c r="F509" s="34">
        <v>29</v>
      </c>
      <c r="G509" s="34">
        <v>26</v>
      </c>
      <c r="H509" s="34">
        <v>29</v>
      </c>
      <c r="I509" s="34">
        <v>14</v>
      </c>
      <c r="J509" s="34">
        <v>23</v>
      </c>
      <c r="K509" s="34">
        <v>22</v>
      </c>
      <c r="L509" s="34">
        <v>9</v>
      </c>
      <c r="M509" s="34">
        <v>26</v>
      </c>
      <c r="N509" s="34">
        <v>22</v>
      </c>
      <c r="O509" s="34">
        <v>28</v>
      </c>
      <c r="P509" s="34">
        <v>26</v>
      </c>
      <c r="Q509" s="35">
        <f t="shared" si="16"/>
        <v>270</v>
      </c>
      <c r="R509" s="4" t="s">
        <v>22</v>
      </c>
    </row>
    <row r="510" spans="1:18" x14ac:dyDescent="0.25">
      <c r="A510" s="40">
        <v>46130</v>
      </c>
      <c r="B510" s="28">
        <v>1</v>
      </c>
      <c r="C510" s="34" t="s">
        <v>101</v>
      </c>
      <c r="D510" s="34" t="s">
        <v>113</v>
      </c>
      <c r="E510" s="34">
        <v>7</v>
      </c>
      <c r="F510" s="34">
        <v>15</v>
      </c>
      <c r="G510" s="34">
        <v>20</v>
      </c>
      <c r="H510" s="34">
        <v>21</v>
      </c>
      <c r="I510" s="34">
        <v>9</v>
      </c>
      <c r="J510" s="34">
        <v>19</v>
      </c>
      <c r="K510" s="34">
        <v>17</v>
      </c>
      <c r="L510" s="34">
        <v>8</v>
      </c>
      <c r="M510" s="34">
        <v>21</v>
      </c>
      <c r="N510" s="34">
        <v>25</v>
      </c>
      <c r="O510" s="34">
        <v>27</v>
      </c>
      <c r="P510" s="34">
        <v>34</v>
      </c>
      <c r="Q510" s="35">
        <f t="shared" si="16"/>
        <v>223</v>
      </c>
      <c r="R510" s="4" t="s">
        <v>22</v>
      </c>
    </row>
    <row r="511" spans="1:18" x14ac:dyDescent="0.25">
      <c r="A511" s="40">
        <v>46130</v>
      </c>
      <c r="B511" s="28">
        <v>1</v>
      </c>
      <c r="C511" s="34" t="s">
        <v>362</v>
      </c>
      <c r="D511" s="34" t="s">
        <v>361</v>
      </c>
      <c r="E511" s="34">
        <v>6</v>
      </c>
      <c r="F511" s="34">
        <v>19</v>
      </c>
      <c r="G511" s="34">
        <v>18</v>
      </c>
      <c r="H511" s="34">
        <v>21</v>
      </c>
      <c r="I511" s="34">
        <v>12</v>
      </c>
      <c r="J511" s="34">
        <v>18</v>
      </c>
      <c r="K511" s="34">
        <v>20</v>
      </c>
      <c r="L511" s="34">
        <v>10</v>
      </c>
      <c r="M511" s="34">
        <v>24</v>
      </c>
      <c r="N511" s="34">
        <v>21</v>
      </c>
      <c r="O511" s="34">
        <v>23</v>
      </c>
      <c r="P511" s="34">
        <v>26</v>
      </c>
      <c r="Q511" s="35">
        <f t="shared" si="16"/>
        <v>218</v>
      </c>
      <c r="R511" s="4" t="s">
        <v>22</v>
      </c>
    </row>
    <row r="512" spans="1:18" x14ac:dyDescent="0.25">
      <c r="A512" s="40">
        <v>46130</v>
      </c>
      <c r="B512" s="28">
        <v>1</v>
      </c>
      <c r="C512" s="34" t="s">
        <v>110</v>
      </c>
      <c r="D512" s="34" t="s">
        <v>123</v>
      </c>
      <c r="E512" s="34">
        <v>9</v>
      </c>
      <c r="F512" s="34">
        <v>21</v>
      </c>
      <c r="G512" s="34">
        <v>22</v>
      </c>
      <c r="H512" s="34">
        <v>23</v>
      </c>
      <c r="I512" s="34">
        <v>11</v>
      </c>
      <c r="J512" s="34">
        <v>15</v>
      </c>
      <c r="K512" s="34">
        <v>22</v>
      </c>
      <c r="L512" s="34">
        <v>9</v>
      </c>
      <c r="M512" s="34">
        <v>28</v>
      </c>
      <c r="N512" s="34">
        <v>24</v>
      </c>
      <c r="O512" s="34">
        <v>26</v>
      </c>
      <c r="P512" s="34">
        <v>29</v>
      </c>
      <c r="Q512" s="35">
        <f t="shared" si="16"/>
        <v>239</v>
      </c>
      <c r="R512" s="4" t="s">
        <v>22</v>
      </c>
    </row>
    <row r="513" spans="1:18" x14ac:dyDescent="0.25">
      <c r="A513" s="40">
        <v>46130</v>
      </c>
      <c r="B513" s="28">
        <v>1</v>
      </c>
      <c r="C513" s="34" t="s">
        <v>109</v>
      </c>
      <c r="D513" s="34" t="s">
        <v>122</v>
      </c>
      <c r="E513" s="34">
        <v>11</v>
      </c>
      <c r="F513" s="34">
        <v>22</v>
      </c>
      <c r="G513" s="34">
        <v>23</v>
      </c>
      <c r="H513" s="34">
        <v>19</v>
      </c>
      <c r="I513" s="34">
        <v>10</v>
      </c>
      <c r="J513" s="34">
        <v>16</v>
      </c>
      <c r="K513" s="34">
        <v>19</v>
      </c>
      <c r="L513" s="34">
        <v>8</v>
      </c>
      <c r="M513" s="34">
        <v>22</v>
      </c>
      <c r="Q513" s="35">
        <f t="shared" si="16"/>
        <v>150</v>
      </c>
      <c r="R513" s="4" t="s">
        <v>22</v>
      </c>
    </row>
    <row r="514" spans="1:18" x14ac:dyDescent="0.25">
      <c r="A514" s="40">
        <v>46130</v>
      </c>
      <c r="B514" s="28">
        <v>1</v>
      </c>
      <c r="C514" s="34" t="s">
        <v>640</v>
      </c>
      <c r="D514" s="34" t="s">
        <v>108</v>
      </c>
      <c r="E514" s="34">
        <v>10</v>
      </c>
      <c r="F514" s="34">
        <v>16</v>
      </c>
      <c r="G514" s="34">
        <v>14</v>
      </c>
      <c r="H514" s="34">
        <v>21</v>
      </c>
      <c r="I514" s="34">
        <v>13</v>
      </c>
      <c r="J514" s="34">
        <v>18</v>
      </c>
      <c r="K514" s="34">
        <v>12</v>
      </c>
      <c r="L514" s="34">
        <v>3</v>
      </c>
      <c r="M514" s="34">
        <v>23</v>
      </c>
      <c r="N514" s="34">
        <v>14</v>
      </c>
      <c r="O514" s="34">
        <v>17</v>
      </c>
      <c r="P514" s="34">
        <v>18</v>
      </c>
      <c r="Q514" s="35">
        <f t="shared" si="16"/>
        <v>179</v>
      </c>
      <c r="R514" s="4" t="s">
        <v>22</v>
      </c>
    </row>
    <row r="515" spans="1:18" x14ac:dyDescent="0.25">
      <c r="A515" s="40">
        <v>46130</v>
      </c>
      <c r="B515" s="28">
        <v>1</v>
      </c>
      <c r="C515" s="34" t="s">
        <v>363</v>
      </c>
      <c r="D515" s="34" t="s">
        <v>364</v>
      </c>
      <c r="E515" s="34">
        <v>11</v>
      </c>
      <c r="F515" s="34">
        <v>23</v>
      </c>
      <c r="G515" s="34">
        <v>29</v>
      </c>
      <c r="H515" s="34">
        <v>31</v>
      </c>
      <c r="I515" s="34">
        <v>19</v>
      </c>
      <c r="J515" s="34">
        <v>24</v>
      </c>
      <c r="K515" s="34">
        <v>27</v>
      </c>
      <c r="L515" s="34">
        <v>9</v>
      </c>
      <c r="M515" s="34">
        <v>33</v>
      </c>
      <c r="N515" s="34">
        <v>25</v>
      </c>
      <c r="O515" s="34">
        <v>18</v>
      </c>
      <c r="P515" s="34">
        <v>24</v>
      </c>
      <c r="Q515" s="35">
        <f t="shared" si="16"/>
        <v>273</v>
      </c>
      <c r="R515" s="4" t="s">
        <v>22</v>
      </c>
    </row>
    <row r="516" spans="1:18" x14ac:dyDescent="0.25">
      <c r="A516" s="40">
        <v>46130</v>
      </c>
      <c r="B516" s="28">
        <v>1</v>
      </c>
      <c r="C516" s="34" t="s">
        <v>395</v>
      </c>
      <c r="D516" s="34" t="s">
        <v>396</v>
      </c>
      <c r="E516" s="34">
        <v>5</v>
      </c>
      <c r="F516" s="34">
        <v>15</v>
      </c>
      <c r="G516" s="34">
        <v>20</v>
      </c>
      <c r="H516" s="34">
        <v>18</v>
      </c>
      <c r="I516" s="34">
        <v>11</v>
      </c>
      <c r="J516" s="34">
        <v>13</v>
      </c>
      <c r="K516" s="34">
        <v>18</v>
      </c>
      <c r="L516" s="34">
        <v>8</v>
      </c>
      <c r="M516" s="34">
        <v>17</v>
      </c>
      <c r="N516" s="34">
        <v>22</v>
      </c>
      <c r="O516" s="34">
        <v>3</v>
      </c>
      <c r="Q516" s="35">
        <f t="shared" si="16"/>
        <v>150</v>
      </c>
      <c r="R516" s="4" t="s">
        <v>22</v>
      </c>
    </row>
    <row r="517" spans="1:18" x14ac:dyDescent="0.25">
      <c r="A517" s="40">
        <v>46130</v>
      </c>
      <c r="B517" s="28">
        <v>1</v>
      </c>
      <c r="C517" s="34" t="s">
        <v>641</v>
      </c>
      <c r="D517" s="34" t="s">
        <v>642</v>
      </c>
      <c r="Q517" s="35">
        <f t="shared" si="16"/>
        <v>0</v>
      </c>
      <c r="R517" s="4" t="s">
        <v>22</v>
      </c>
    </row>
    <row r="518" spans="1:18" x14ac:dyDescent="0.25">
      <c r="A518" s="40">
        <v>46130</v>
      </c>
      <c r="B518" s="28">
        <v>1</v>
      </c>
      <c r="C518" s="34" t="s">
        <v>215</v>
      </c>
      <c r="D518" s="34" t="s">
        <v>739</v>
      </c>
      <c r="E518" s="34">
        <v>2</v>
      </c>
      <c r="F518" s="34">
        <v>10</v>
      </c>
      <c r="G518" s="34">
        <v>15</v>
      </c>
      <c r="H518" s="34">
        <v>18</v>
      </c>
      <c r="I518" s="34">
        <v>13</v>
      </c>
      <c r="J518" s="34">
        <v>14</v>
      </c>
      <c r="K518" s="34">
        <v>21</v>
      </c>
      <c r="L518" s="34">
        <v>11</v>
      </c>
      <c r="M518" s="34">
        <v>21</v>
      </c>
      <c r="N518" s="34">
        <v>17</v>
      </c>
      <c r="O518" s="34">
        <v>18</v>
      </c>
      <c r="P518" s="34">
        <v>19</v>
      </c>
      <c r="Q518" s="35">
        <f t="shared" si="16"/>
        <v>179</v>
      </c>
      <c r="R518" s="4" t="s">
        <v>140</v>
      </c>
    </row>
    <row r="519" spans="1:18" x14ac:dyDescent="0.25">
      <c r="A519" s="40">
        <v>46130</v>
      </c>
      <c r="B519" s="28">
        <v>1</v>
      </c>
      <c r="C519" s="34" t="s">
        <v>137</v>
      </c>
      <c r="D519" s="34" t="s">
        <v>130</v>
      </c>
      <c r="E519" s="34">
        <v>2</v>
      </c>
      <c r="F519" s="34">
        <v>15</v>
      </c>
      <c r="G519" s="34">
        <v>19</v>
      </c>
      <c r="H519" s="34">
        <v>18</v>
      </c>
      <c r="I519" s="34">
        <v>13</v>
      </c>
      <c r="J519" s="34">
        <v>17</v>
      </c>
      <c r="K519" s="34">
        <v>23</v>
      </c>
      <c r="L519" s="34">
        <v>11</v>
      </c>
      <c r="M519" s="34">
        <v>24</v>
      </c>
      <c r="N519" s="34">
        <v>14</v>
      </c>
      <c r="O519" s="34">
        <v>20</v>
      </c>
      <c r="P519" s="34">
        <v>21</v>
      </c>
      <c r="Q519" s="35">
        <f t="shared" si="16"/>
        <v>197</v>
      </c>
      <c r="R519" s="4" t="s">
        <v>140</v>
      </c>
    </row>
    <row r="520" spans="1:18" x14ac:dyDescent="0.25">
      <c r="A520" s="40">
        <v>46130</v>
      </c>
      <c r="B520" s="28">
        <v>1</v>
      </c>
      <c r="C520" s="34" t="s">
        <v>135</v>
      </c>
      <c r="D520" s="34" t="s">
        <v>128</v>
      </c>
      <c r="E520" s="34">
        <v>9</v>
      </c>
      <c r="F520" s="34">
        <v>15</v>
      </c>
      <c r="G520" s="34">
        <v>23</v>
      </c>
      <c r="H520" s="34">
        <v>17</v>
      </c>
      <c r="I520" s="34">
        <v>8</v>
      </c>
      <c r="J520" s="34">
        <v>14</v>
      </c>
      <c r="K520" s="34">
        <v>20</v>
      </c>
      <c r="L520" s="34">
        <v>8</v>
      </c>
      <c r="M520" s="34">
        <v>28</v>
      </c>
      <c r="N520" s="34">
        <v>22</v>
      </c>
      <c r="O520" s="34">
        <v>19</v>
      </c>
      <c r="P520" s="34">
        <v>26</v>
      </c>
      <c r="Q520" s="35">
        <f t="shared" si="16"/>
        <v>209</v>
      </c>
      <c r="R520" s="4" t="s">
        <v>140</v>
      </c>
    </row>
    <row r="521" spans="1:18" x14ac:dyDescent="0.25">
      <c r="A521" s="40">
        <v>46130</v>
      </c>
      <c r="B521" s="28">
        <v>1</v>
      </c>
      <c r="C521" s="34" t="s">
        <v>134</v>
      </c>
      <c r="D521" s="34" t="s">
        <v>127</v>
      </c>
      <c r="E521" s="34">
        <v>10</v>
      </c>
      <c r="F521" s="34">
        <v>20</v>
      </c>
      <c r="G521" s="34">
        <v>18</v>
      </c>
      <c r="H521" s="34">
        <v>24</v>
      </c>
      <c r="I521" s="34">
        <v>14</v>
      </c>
      <c r="J521" s="34">
        <v>22</v>
      </c>
      <c r="K521" s="34">
        <v>11</v>
      </c>
      <c r="L521" s="34">
        <v>3</v>
      </c>
      <c r="M521" s="34">
        <v>16</v>
      </c>
      <c r="N521" s="34">
        <v>12</v>
      </c>
      <c r="O521" s="34">
        <v>18</v>
      </c>
      <c r="P521" s="34">
        <v>22</v>
      </c>
      <c r="Q521" s="35">
        <f t="shared" si="16"/>
        <v>190</v>
      </c>
      <c r="R521" s="4" t="s">
        <v>140</v>
      </c>
    </row>
    <row r="522" spans="1:18" x14ac:dyDescent="0.25">
      <c r="A522" s="40">
        <v>46132</v>
      </c>
      <c r="B522" s="28">
        <v>1</v>
      </c>
      <c r="C522" s="34" t="s">
        <v>100</v>
      </c>
      <c r="D522" s="34" t="s">
        <v>114</v>
      </c>
      <c r="E522" s="34">
        <v>18</v>
      </c>
      <c r="F522" s="34">
        <v>32</v>
      </c>
      <c r="G522" s="34">
        <v>32</v>
      </c>
      <c r="H522" s="34">
        <v>18</v>
      </c>
      <c r="I522" s="34">
        <v>27</v>
      </c>
      <c r="J522" s="34">
        <v>33</v>
      </c>
      <c r="K522" s="34">
        <v>32</v>
      </c>
      <c r="L522" s="34">
        <v>16</v>
      </c>
      <c r="M522" s="34">
        <v>34</v>
      </c>
      <c r="N522" s="34">
        <v>34</v>
      </c>
      <c r="O522" s="34">
        <v>26</v>
      </c>
      <c r="P522" s="34">
        <v>30</v>
      </c>
      <c r="Q522" s="35">
        <f t="shared" ref="Q522:Q546" si="17">SUM(E522:P522)</f>
        <v>332</v>
      </c>
      <c r="R522" s="4" t="s">
        <v>22</v>
      </c>
    </row>
    <row r="523" spans="1:18" x14ac:dyDescent="0.25">
      <c r="A523" s="40">
        <v>46132</v>
      </c>
      <c r="B523" s="28">
        <v>1</v>
      </c>
      <c r="C523" s="34" t="s">
        <v>197</v>
      </c>
      <c r="D523" s="34" t="s">
        <v>114</v>
      </c>
      <c r="Q523" s="35">
        <f t="shared" si="17"/>
        <v>0</v>
      </c>
      <c r="R523" s="4" t="s">
        <v>22</v>
      </c>
    </row>
    <row r="524" spans="1:18" x14ac:dyDescent="0.25">
      <c r="A524" s="40">
        <v>46132</v>
      </c>
      <c r="B524" s="28">
        <v>1</v>
      </c>
      <c r="C524" s="34" t="s">
        <v>445</v>
      </c>
      <c r="D524" s="34" t="s">
        <v>446</v>
      </c>
      <c r="Q524" s="35">
        <f t="shared" si="17"/>
        <v>0</v>
      </c>
      <c r="R524" s="4" t="s">
        <v>22</v>
      </c>
    </row>
    <row r="525" spans="1:18" x14ac:dyDescent="0.25">
      <c r="A525" s="40">
        <v>46132</v>
      </c>
      <c r="B525" s="28">
        <v>1</v>
      </c>
      <c r="C525" s="34" t="s">
        <v>111</v>
      </c>
      <c r="D525" s="34" t="s">
        <v>124</v>
      </c>
      <c r="E525" s="34">
        <v>8</v>
      </c>
      <c r="F525" s="34">
        <v>18</v>
      </c>
      <c r="G525" s="34">
        <v>24</v>
      </c>
      <c r="H525" s="34">
        <v>12</v>
      </c>
      <c r="I525" s="34">
        <v>21</v>
      </c>
      <c r="J525" s="34">
        <v>24</v>
      </c>
      <c r="K525" s="34">
        <v>21</v>
      </c>
      <c r="L525" s="34">
        <v>1</v>
      </c>
      <c r="M525" s="34">
        <v>20</v>
      </c>
      <c r="N525" s="34">
        <v>23</v>
      </c>
      <c r="O525" s="34">
        <v>22</v>
      </c>
      <c r="P525" s="34">
        <v>27</v>
      </c>
      <c r="Q525" s="35">
        <f t="shared" si="17"/>
        <v>221</v>
      </c>
      <c r="R525" s="4" t="s">
        <v>22</v>
      </c>
    </row>
    <row r="526" spans="1:18" x14ac:dyDescent="0.25">
      <c r="A526" s="40">
        <v>46132</v>
      </c>
      <c r="B526" s="28">
        <v>1</v>
      </c>
      <c r="C526" s="34" t="s">
        <v>103</v>
      </c>
      <c r="D526" s="34" t="s">
        <v>115</v>
      </c>
      <c r="E526" s="34">
        <v>17</v>
      </c>
      <c r="F526" s="34">
        <v>26</v>
      </c>
      <c r="G526" s="34">
        <v>28</v>
      </c>
      <c r="H526" s="34">
        <v>16</v>
      </c>
      <c r="I526" s="34">
        <v>28</v>
      </c>
      <c r="J526" s="34">
        <v>32</v>
      </c>
      <c r="K526" s="34">
        <v>28</v>
      </c>
      <c r="L526" s="34">
        <v>13</v>
      </c>
      <c r="M526" s="34">
        <v>27</v>
      </c>
      <c r="N526" s="34">
        <v>24</v>
      </c>
      <c r="O526" s="34">
        <v>27</v>
      </c>
      <c r="P526" s="34">
        <v>27</v>
      </c>
      <c r="Q526" s="35">
        <f t="shared" si="17"/>
        <v>293</v>
      </c>
      <c r="R526" s="4" t="s">
        <v>22</v>
      </c>
    </row>
    <row r="527" spans="1:18" x14ac:dyDescent="0.25">
      <c r="A527" s="40">
        <v>46132</v>
      </c>
      <c r="B527" s="28">
        <v>1</v>
      </c>
      <c r="C527" s="34" t="s">
        <v>102</v>
      </c>
      <c r="D527" s="34" t="s">
        <v>116</v>
      </c>
      <c r="E527" s="34">
        <v>15</v>
      </c>
      <c r="F527" s="34">
        <v>20</v>
      </c>
      <c r="G527" s="34">
        <v>24</v>
      </c>
      <c r="H527" s="34">
        <v>10</v>
      </c>
      <c r="I527" s="34">
        <v>26</v>
      </c>
      <c r="J527" s="34">
        <v>19</v>
      </c>
      <c r="K527" s="34">
        <v>25</v>
      </c>
      <c r="L527" s="34">
        <v>12</v>
      </c>
      <c r="M527" s="34">
        <v>26</v>
      </c>
      <c r="N527" s="34">
        <v>23</v>
      </c>
      <c r="O527" s="34">
        <v>25</v>
      </c>
      <c r="P527" s="34">
        <v>26</v>
      </c>
      <c r="Q527" s="35">
        <f t="shared" si="17"/>
        <v>251</v>
      </c>
      <c r="R527" s="4" t="s">
        <v>22</v>
      </c>
    </row>
    <row r="528" spans="1:18" x14ac:dyDescent="0.25">
      <c r="A528" s="40">
        <v>46132</v>
      </c>
      <c r="B528" s="28">
        <v>1</v>
      </c>
      <c r="C528" s="34" t="s">
        <v>104</v>
      </c>
      <c r="D528" s="34" t="s">
        <v>117</v>
      </c>
      <c r="E528" s="34">
        <v>10</v>
      </c>
      <c r="F528" s="34">
        <v>21</v>
      </c>
      <c r="G528" s="34">
        <v>24</v>
      </c>
      <c r="H528" s="34">
        <v>11</v>
      </c>
      <c r="I528" s="34">
        <v>24</v>
      </c>
      <c r="J528" s="34">
        <v>24</v>
      </c>
      <c r="K528" s="34">
        <v>24</v>
      </c>
      <c r="L528" s="34">
        <v>12</v>
      </c>
      <c r="M528" s="34">
        <v>24</v>
      </c>
      <c r="N528" s="34">
        <v>26</v>
      </c>
      <c r="O528" s="34">
        <v>26</v>
      </c>
      <c r="P528" s="34">
        <v>24</v>
      </c>
      <c r="Q528" s="35">
        <f t="shared" si="17"/>
        <v>250</v>
      </c>
      <c r="R528" s="4" t="s">
        <v>22</v>
      </c>
    </row>
    <row r="529" spans="1:18" x14ac:dyDescent="0.25">
      <c r="A529" s="40">
        <v>46132</v>
      </c>
      <c r="B529" s="28">
        <v>1</v>
      </c>
      <c r="C529" s="34" t="s">
        <v>105</v>
      </c>
      <c r="D529" s="34" t="s">
        <v>118</v>
      </c>
      <c r="E529" s="34">
        <v>4</v>
      </c>
      <c r="F529" s="34">
        <v>20</v>
      </c>
      <c r="G529" s="34">
        <v>29</v>
      </c>
      <c r="H529" s="34">
        <v>14</v>
      </c>
      <c r="I529" s="34">
        <v>33</v>
      </c>
      <c r="J529" s="34">
        <v>26</v>
      </c>
      <c r="K529" s="34">
        <v>28</v>
      </c>
      <c r="L529" s="34">
        <v>17</v>
      </c>
      <c r="M529" s="34">
        <v>30</v>
      </c>
      <c r="N529" s="34">
        <v>28</v>
      </c>
      <c r="O529" s="34">
        <v>37</v>
      </c>
      <c r="P529" s="34">
        <v>33</v>
      </c>
      <c r="Q529" s="35">
        <f t="shared" si="17"/>
        <v>299</v>
      </c>
      <c r="R529" s="4" t="s">
        <v>22</v>
      </c>
    </row>
    <row r="530" spans="1:18" x14ac:dyDescent="0.25">
      <c r="A530" s="40">
        <v>46132</v>
      </c>
      <c r="B530" s="28">
        <v>1</v>
      </c>
      <c r="C530" s="34" t="s">
        <v>106</v>
      </c>
      <c r="D530" s="34" t="s">
        <v>119</v>
      </c>
      <c r="Q530" s="35">
        <f t="shared" si="17"/>
        <v>0</v>
      </c>
      <c r="R530" s="4" t="s">
        <v>22</v>
      </c>
    </row>
    <row r="531" spans="1:18" x14ac:dyDescent="0.25">
      <c r="A531" s="40">
        <v>46132</v>
      </c>
      <c r="B531" s="28">
        <v>1</v>
      </c>
      <c r="C531" s="34" t="s">
        <v>107</v>
      </c>
      <c r="D531" s="34" t="s">
        <v>120</v>
      </c>
      <c r="E531" s="34">
        <v>20</v>
      </c>
      <c r="F531" s="34">
        <v>30</v>
      </c>
      <c r="G531" s="34">
        <v>34</v>
      </c>
      <c r="H531" s="34">
        <v>17</v>
      </c>
      <c r="I531" s="34">
        <v>32</v>
      </c>
      <c r="J531" s="34">
        <v>35</v>
      </c>
      <c r="K531" s="34">
        <v>34</v>
      </c>
      <c r="L531" s="34">
        <v>15</v>
      </c>
      <c r="M531" s="34">
        <v>36</v>
      </c>
      <c r="N531" s="34">
        <v>30</v>
      </c>
      <c r="O531" s="34">
        <v>29</v>
      </c>
      <c r="P531" s="34">
        <v>29</v>
      </c>
      <c r="Q531" s="35">
        <f t="shared" si="17"/>
        <v>341</v>
      </c>
      <c r="R531" s="4" t="s">
        <v>22</v>
      </c>
    </row>
    <row r="532" spans="1:18" x14ac:dyDescent="0.25">
      <c r="A532" s="40">
        <v>46132</v>
      </c>
      <c r="B532" s="28">
        <v>1</v>
      </c>
      <c r="C532" s="34" t="s">
        <v>485</v>
      </c>
      <c r="D532" s="34" t="s">
        <v>738</v>
      </c>
      <c r="E532" s="34">
        <v>12</v>
      </c>
      <c r="F532" s="34">
        <v>25</v>
      </c>
      <c r="G532" s="34">
        <v>28</v>
      </c>
      <c r="H532" s="34">
        <v>14</v>
      </c>
      <c r="I532" s="34">
        <v>31</v>
      </c>
      <c r="J532" s="34">
        <v>30</v>
      </c>
      <c r="K532" s="34">
        <v>27</v>
      </c>
      <c r="L532" s="34">
        <v>15</v>
      </c>
      <c r="M532" s="34">
        <v>31</v>
      </c>
      <c r="N532" s="34">
        <v>27</v>
      </c>
      <c r="O532" s="34">
        <v>25</v>
      </c>
      <c r="P532" s="34">
        <v>28</v>
      </c>
      <c r="Q532" s="35">
        <f t="shared" si="17"/>
        <v>293</v>
      </c>
      <c r="R532" s="4" t="s">
        <v>22</v>
      </c>
    </row>
    <row r="533" spans="1:18" x14ac:dyDescent="0.25">
      <c r="A533" s="40">
        <v>46132</v>
      </c>
      <c r="B533" s="28">
        <v>1</v>
      </c>
      <c r="C533" s="34" t="s">
        <v>101</v>
      </c>
      <c r="D533" s="34" t="s">
        <v>113</v>
      </c>
      <c r="E533" s="34">
        <v>18</v>
      </c>
      <c r="F533" s="34">
        <v>26</v>
      </c>
      <c r="G533" s="34">
        <v>27</v>
      </c>
      <c r="H533" s="34">
        <v>12</v>
      </c>
      <c r="I533" s="34">
        <v>23</v>
      </c>
      <c r="J533" s="34">
        <v>27</v>
      </c>
      <c r="K533" s="34">
        <v>25</v>
      </c>
      <c r="L533" s="34">
        <v>12</v>
      </c>
      <c r="M533" s="34">
        <v>26</v>
      </c>
      <c r="N533" s="34">
        <v>28</v>
      </c>
      <c r="O533" s="34">
        <v>25</v>
      </c>
      <c r="P533" s="34">
        <v>31</v>
      </c>
      <c r="Q533" s="35">
        <f t="shared" si="17"/>
        <v>280</v>
      </c>
      <c r="R533" s="4" t="s">
        <v>22</v>
      </c>
    </row>
    <row r="534" spans="1:18" x14ac:dyDescent="0.25">
      <c r="A534" s="40">
        <v>46132</v>
      </c>
      <c r="B534" s="28">
        <v>1</v>
      </c>
      <c r="C534" s="34" t="s">
        <v>362</v>
      </c>
      <c r="D534" s="34" t="s">
        <v>361</v>
      </c>
      <c r="E534" s="34">
        <v>10</v>
      </c>
      <c r="F534" s="34">
        <v>22</v>
      </c>
      <c r="G534" s="34">
        <v>19</v>
      </c>
      <c r="H534" s="34">
        <v>10</v>
      </c>
      <c r="I534" s="34">
        <v>22</v>
      </c>
      <c r="J534" s="34">
        <v>26</v>
      </c>
      <c r="K534" s="34">
        <v>31</v>
      </c>
      <c r="L534" s="34">
        <v>11</v>
      </c>
      <c r="M534" s="34">
        <v>30</v>
      </c>
      <c r="N534" s="34">
        <v>16</v>
      </c>
      <c r="Q534" s="35">
        <f t="shared" si="17"/>
        <v>197</v>
      </c>
      <c r="R534" s="4" t="s">
        <v>22</v>
      </c>
    </row>
    <row r="535" spans="1:18" x14ac:dyDescent="0.25">
      <c r="A535" s="40">
        <v>46132</v>
      </c>
      <c r="B535" s="28">
        <v>1</v>
      </c>
      <c r="C535" s="34" t="s">
        <v>749</v>
      </c>
      <c r="D535" s="34" t="s">
        <v>121</v>
      </c>
      <c r="E535" s="34">
        <v>9</v>
      </c>
      <c r="F535" s="34">
        <v>25</v>
      </c>
      <c r="G535" s="34">
        <v>25</v>
      </c>
      <c r="H535" s="34">
        <v>15</v>
      </c>
      <c r="I535" s="34">
        <v>26</v>
      </c>
      <c r="J535" s="34">
        <v>25</v>
      </c>
      <c r="K535" s="34">
        <v>27</v>
      </c>
      <c r="L535" s="34">
        <v>13</v>
      </c>
      <c r="M535" s="34">
        <v>25</v>
      </c>
      <c r="N535" s="34">
        <v>24</v>
      </c>
      <c r="O535" s="34">
        <v>21</v>
      </c>
      <c r="P535" s="34">
        <v>24</v>
      </c>
      <c r="Q535" s="35">
        <f t="shared" si="17"/>
        <v>259</v>
      </c>
      <c r="R535" s="4" t="s">
        <v>22</v>
      </c>
    </row>
    <row r="536" spans="1:18" x14ac:dyDescent="0.25">
      <c r="A536" s="40">
        <v>46132</v>
      </c>
      <c r="B536" s="28">
        <v>1</v>
      </c>
      <c r="C536" s="34" t="s">
        <v>110</v>
      </c>
      <c r="D536" s="34" t="s">
        <v>123</v>
      </c>
      <c r="E536" s="34">
        <v>13</v>
      </c>
      <c r="F536" s="34">
        <v>31</v>
      </c>
      <c r="G536" s="34">
        <v>30</v>
      </c>
      <c r="H536" s="34">
        <v>13</v>
      </c>
      <c r="I536" s="34">
        <v>24</v>
      </c>
      <c r="J536" s="34">
        <v>27</v>
      </c>
      <c r="K536" s="34">
        <v>29</v>
      </c>
      <c r="L536" s="34">
        <v>15</v>
      </c>
      <c r="M536" s="34">
        <v>30</v>
      </c>
      <c r="N536" s="34">
        <v>36</v>
      </c>
      <c r="O536" s="34">
        <v>35</v>
      </c>
      <c r="P536" s="34">
        <v>33</v>
      </c>
      <c r="Q536" s="35">
        <f t="shared" si="17"/>
        <v>316</v>
      </c>
      <c r="R536" s="4" t="s">
        <v>22</v>
      </c>
    </row>
    <row r="537" spans="1:18" x14ac:dyDescent="0.25">
      <c r="A537" s="40">
        <v>46132</v>
      </c>
      <c r="B537" s="28">
        <v>1</v>
      </c>
      <c r="C537" s="34" t="s">
        <v>109</v>
      </c>
      <c r="D537" s="34" t="s">
        <v>122</v>
      </c>
      <c r="Q537" s="35">
        <f t="shared" si="17"/>
        <v>0</v>
      </c>
      <c r="R537" s="4" t="s">
        <v>22</v>
      </c>
    </row>
    <row r="538" spans="1:18" x14ac:dyDescent="0.25">
      <c r="A538" s="40">
        <v>46132</v>
      </c>
      <c r="B538" s="28">
        <v>1</v>
      </c>
      <c r="C538" s="34" t="s">
        <v>640</v>
      </c>
      <c r="D538" s="34" t="s">
        <v>108</v>
      </c>
      <c r="E538" s="34">
        <v>5</v>
      </c>
      <c r="F538" s="34">
        <v>17</v>
      </c>
      <c r="G538" s="34">
        <v>21</v>
      </c>
      <c r="H538" s="34">
        <v>11</v>
      </c>
      <c r="I538" s="34">
        <v>19</v>
      </c>
      <c r="J538" s="34">
        <v>17</v>
      </c>
      <c r="K538" s="34">
        <v>22</v>
      </c>
      <c r="L538" s="34">
        <v>19</v>
      </c>
      <c r="M538" s="34">
        <v>22</v>
      </c>
      <c r="N538" s="34">
        <v>19</v>
      </c>
      <c r="O538" s="34">
        <v>16</v>
      </c>
      <c r="P538" s="34">
        <v>21</v>
      </c>
      <c r="Q538" s="35">
        <f t="shared" si="17"/>
        <v>209</v>
      </c>
      <c r="R538" s="4" t="s">
        <v>22</v>
      </c>
    </row>
    <row r="539" spans="1:18" x14ac:dyDescent="0.25">
      <c r="A539" s="40">
        <v>46132</v>
      </c>
      <c r="B539" s="28">
        <v>1</v>
      </c>
      <c r="C539" s="34" t="s">
        <v>363</v>
      </c>
      <c r="D539" s="34" t="s">
        <v>364</v>
      </c>
      <c r="E539" s="34">
        <v>6</v>
      </c>
      <c r="F539" s="34">
        <v>26</v>
      </c>
      <c r="G539" s="34">
        <v>29</v>
      </c>
      <c r="H539" s="34">
        <v>16</v>
      </c>
      <c r="I539" s="34">
        <v>31</v>
      </c>
      <c r="J539" s="34">
        <v>30</v>
      </c>
      <c r="K539" s="34">
        <v>25</v>
      </c>
      <c r="L539" s="34">
        <v>14</v>
      </c>
      <c r="M539" s="34">
        <v>31</v>
      </c>
      <c r="N539" s="34">
        <v>29</v>
      </c>
      <c r="O539" s="34">
        <v>24</v>
      </c>
      <c r="P539" s="34">
        <v>27</v>
      </c>
      <c r="Q539" s="35">
        <f t="shared" si="17"/>
        <v>288</v>
      </c>
      <c r="R539" s="4" t="s">
        <v>22</v>
      </c>
    </row>
    <row r="540" spans="1:18" x14ac:dyDescent="0.25">
      <c r="A540" s="40">
        <v>46132</v>
      </c>
      <c r="B540" s="28">
        <v>1</v>
      </c>
      <c r="C540" s="34" t="s">
        <v>395</v>
      </c>
      <c r="D540" s="34" t="s">
        <v>396</v>
      </c>
      <c r="Q540" s="35">
        <f t="shared" si="17"/>
        <v>0</v>
      </c>
      <c r="R540" s="4" t="s">
        <v>22</v>
      </c>
    </row>
    <row r="541" spans="1:18" x14ac:dyDescent="0.25">
      <c r="A541" s="40">
        <v>46132</v>
      </c>
      <c r="B541" s="28">
        <v>1</v>
      </c>
      <c r="C541" s="34" t="s">
        <v>641</v>
      </c>
      <c r="D541" s="34" t="s">
        <v>642</v>
      </c>
      <c r="Q541" s="35">
        <f t="shared" si="17"/>
        <v>0</v>
      </c>
      <c r="R541" s="4" t="s">
        <v>22</v>
      </c>
    </row>
    <row r="542" spans="1:18" x14ac:dyDescent="0.25">
      <c r="A542" s="40">
        <v>46132</v>
      </c>
      <c r="B542" s="28">
        <v>1</v>
      </c>
      <c r="C542" s="34" t="s">
        <v>215</v>
      </c>
      <c r="D542" s="34" t="s">
        <v>739</v>
      </c>
      <c r="E542" s="34">
        <v>14</v>
      </c>
      <c r="F542" s="34">
        <v>17</v>
      </c>
      <c r="G542" s="34">
        <v>23</v>
      </c>
      <c r="H542" s="34">
        <v>12</v>
      </c>
      <c r="I542" s="34">
        <v>24</v>
      </c>
      <c r="J542" s="34">
        <v>23</v>
      </c>
      <c r="K542" s="34">
        <v>22</v>
      </c>
      <c r="L542" s="34">
        <v>14</v>
      </c>
      <c r="M542" s="34">
        <v>21</v>
      </c>
      <c r="N542" s="34">
        <v>24</v>
      </c>
      <c r="O542" s="34">
        <v>22</v>
      </c>
      <c r="P542" s="34">
        <v>20</v>
      </c>
      <c r="Q542" s="35">
        <f t="shared" si="17"/>
        <v>236</v>
      </c>
      <c r="R542" s="4" t="s">
        <v>140</v>
      </c>
    </row>
    <row r="543" spans="1:18" x14ac:dyDescent="0.25">
      <c r="A543" s="40">
        <v>46132</v>
      </c>
      <c r="B543" s="28">
        <v>1</v>
      </c>
      <c r="C543" s="34" t="s">
        <v>184</v>
      </c>
      <c r="D543" s="34" t="s">
        <v>750</v>
      </c>
      <c r="E543" s="34">
        <v>14</v>
      </c>
      <c r="F543" s="34">
        <v>23</v>
      </c>
      <c r="G543" s="34">
        <v>24</v>
      </c>
      <c r="H543" s="34">
        <v>8</v>
      </c>
      <c r="I543" s="34">
        <v>21</v>
      </c>
      <c r="J543" s="34">
        <v>19</v>
      </c>
      <c r="K543" s="34">
        <v>29</v>
      </c>
      <c r="L543" s="34">
        <v>10</v>
      </c>
      <c r="M543" s="34">
        <v>25</v>
      </c>
      <c r="N543" s="34">
        <v>27</v>
      </c>
      <c r="O543" s="34">
        <v>27</v>
      </c>
      <c r="P543" s="34">
        <v>29</v>
      </c>
      <c r="Q543" s="35">
        <f t="shared" si="17"/>
        <v>256</v>
      </c>
      <c r="R543" s="4" t="s">
        <v>140</v>
      </c>
    </row>
    <row r="544" spans="1:18" x14ac:dyDescent="0.25">
      <c r="A544" s="40">
        <v>46132</v>
      </c>
      <c r="B544" s="28">
        <v>1</v>
      </c>
      <c r="C544" s="34" t="s">
        <v>137</v>
      </c>
      <c r="D544" s="34" t="s">
        <v>130</v>
      </c>
      <c r="E544" s="34">
        <v>13</v>
      </c>
      <c r="F544" s="34">
        <v>18</v>
      </c>
      <c r="G544" s="34">
        <v>26</v>
      </c>
      <c r="H544" s="34">
        <v>12</v>
      </c>
      <c r="I544" s="34">
        <v>24</v>
      </c>
      <c r="J544" s="34">
        <v>26</v>
      </c>
      <c r="K544" s="34">
        <v>23</v>
      </c>
      <c r="L544" s="34">
        <v>15</v>
      </c>
      <c r="M544" s="34">
        <v>25</v>
      </c>
      <c r="N544" s="34">
        <v>24</v>
      </c>
      <c r="O544" s="34">
        <v>24</v>
      </c>
      <c r="P544" s="34">
        <v>25</v>
      </c>
      <c r="Q544" s="35">
        <f t="shared" si="17"/>
        <v>255</v>
      </c>
      <c r="R544" s="4" t="s">
        <v>140</v>
      </c>
    </row>
    <row r="545" spans="1:18" x14ac:dyDescent="0.25">
      <c r="A545" s="40">
        <v>46132</v>
      </c>
      <c r="B545" s="28">
        <v>1</v>
      </c>
      <c r="C545" s="34" t="s">
        <v>135</v>
      </c>
      <c r="D545" s="34" t="s">
        <v>128</v>
      </c>
      <c r="Q545" s="35">
        <f t="shared" si="17"/>
        <v>0</v>
      </c>
      <c r="R545" s="4" t="s">
        <v>140</v>
      </c>
    </row>
    <row r="546" spans="1:18" x14ac:dyDescent="0.25">
      <c r="A546" s="40">
        <v>46132</v>
      </c>
      <c r="B546" s="28">
        <v>1</v>
      </c>
      <c r="C546" s="34" t="s">
        <v>134</v>
      </c>
      <c r="D546" s="34" t="s">
        <v>127</v>
      </c>
      <c r="Q546" s="35">
        <f t="shared" si="17"/>
        <v>0</v>
      </c>
      <c r="R546" s="4" t="s">
        <v>140</v>
      </c>
    </row>
    <row r="547" spans="1:18" x14ac:dyDescent="0.25">
      <c r="A547" s="40">
        <v>46133</v>
      </c>
      <c r="B547" s="28">
        <v>1</v>
      </c>
      <c r="C547" s="34" t="s">
        <v>100</v>
      </c>
      <c r="D547" s="34" t="s">
        <v>114</v>
      </c>
      <c r="E547" s="34">
        <v>16</v>
      </c>
      <c r="F547" s="34">
        <v>19</v>
      </c>
      <c r="G547" s="34">
        <v>22</v>
      </c>
      <c r="H547" s="34">
        <v>17</v>
      </c>
      <c r="I547" s="34">
        <v>35</v>
      </c>
      <c r="J547" s="34">
        <v>31</v>
      </c>
      <c r="K547" s="34">
        <v>26</v>
      </c>
      <c r="L547" s="34">
        <v>11</v>
      </c>
      <c r="M547" s="34">
        <v>24</v>
      </c>
      <c r="N547" s="34">
        <v>27</v>
      </c>
      <c r="O547" s="34">
        <v>21</v>
      </c>
      <c r="P547" s="34">
        <v>1</v>
      </c>
      <c r="Q547" s="35">
        <f t="shared" ref="Q547:Q572" si="18">SUM(E547:P547)</f>
        <v>250</v>
      </c>
      <c r="R547" s="4" t="s">
        <v>22</v>
      </c>
    </row>
    <row r="548" spans="1:18" x14ac:dyDescent="0.25">
      <c r="A548" s="40">
        <v>46133</v>
      </c>
      <c r="B548" s="28">
        <v>1</v>
      </c>
      <c r="C548" s="34" t="s">
        <v>197</v>
      </c>
      <c r="D548" s="34" t="s">
        <v>114</v>
      </c>
      <c r="Q548" s="35">
        <f t="shared" si="18"/>
        <v>0</v>
      </c>
      <c r="R548" s="4" t="s">
        <v>22</v>
      </c>
    </row>
    <row r="549" spans="1:18" x14ac:dyDescent="0.25">
      <c r="A549" s="40">
        <v>46133</v>
      </c>
      <c r="B549" s="28">
        <v>1</v>
      </c>
      <c r="C549" s="34" t="s">
        <v>445</v>
      </c>
      <c r="D549" s="34" t="s">
        <v>446</v>
      </c>
      <c r="E549" s="34">
        <v>4</v>
      </c>
      <c r="F549" s="34">
        <v>4</v>
      </c>
      <c r="G549" s="34">
        <v>4</v>
      </c>
      <c r="H549" s="34">
        <v>12</v>
      </c>
      <c r="I549" s="34">
        <v>25</v>
      </c>
      <c r="J549" s="34">
        <v>21</v>
      </c>
      <c r="K549" s="34">
        <v>23</v>
      </c>
      <c r="L549" s="34">
        <v>7</v>
      </c>
      <c r="M549" s="34">
        <v>13</v>
      </c>
      <c r="N549" s="34">
        <v>16</v>
      </c>
      <c r="O549" s="34">
        <v>13</v>
      </c>
      <c r="P549" s="34">
        <v>9</v>
      </c>
      <c r="Q549" s="35">
        <f t="shared" si="18"/>
        <v>151</v>
      </c>
      <c r="R549" s="4" t="s">
        <v>22</v>
      </c>
    </row>
    <row r="550" spans="1:18" x14ac:dyDescent="0.25">
      <c r="A550" s="40">
        <v>46133</v>
      </c>
      <c r="B550" s="28">
        <v>1</v>
      </c>
      <c r="C550" s="34" t="s">
        <v>111</v>
      </c>
      <c r="D550" s="34" t="s">
        <v>124</v>
      </c>
      <c r="E550" s="34">
        <v>6</v>
      </c>
      <c r="F550" s="34">
        <v>18</v>
      </c>
      <c r="G550" s="34">
        <v>22</v>
      </c>
      <c r="H550" s="34">
        <v>14</v>
      </c>
      <c r="I550" s="34">
        <v>26</v>
      </c>
      <c r="J550" s="34">
        <v>23</v>
      </c>
      <c r="K550" s="34">
        <v>19</v>
      </c>
      <c r="L550" s="34">
        <v>11</v>
      </c>
      <c r="M550" s="34">
        <v>20</v>
      </c>
      <c r="N550" s="34">
        <v>22</v>
      </c>
      <c r="O550" s="34">
        <v>19</v>
      </c>
      <c r="P550" s="34">
        <v>14</v>
      </c>
      <c r="Q550" s="35">
        <f t="shared" si="18"/>
        <v>214</v>
      </c>
      <c r="R550" s="4" t="s">
        <v>22</v>
      </c>
    </row>
    <row r="551" spans="1:18" x14ac:dyDescent="0.25">
      <c r="A551" s="40">
        <v>46133</v>
      </c>
      <c r="B551" s="28">
        <v>1</v>
      </c>
      <c r="C551" s="34" t="s">
        <v>103</v>
      </c>
      <c r="D551" s="34" t="s">
        <v>115</v>
      </c>
      <c r="E551" s="34">
        <v>15</v>
      </c>
      <c r="F551" s="34">
        <v>22</v>
      </c>
      <c r="G551" s="34">
        <v>28</v>
      </c>
      <c r="H551" s="34">
        <v>16</v>
      </c>
      <c r="I551" s="34">
        <v>23</v>
      </c>
      <c r="J551" s="34">
        <v>26</v>
      </c>
      <c r="K551" s="34">
        <v>26</v>
      </c>
      <c r="L551" s="34">
        <v>14</v>
      </c>
      <c r="M551" s="34">
        <v>22</v>
      </c>
      <c r="N551" s="34">
        <v>30</v>
      </c>
      <c r="O551" s="34">
        <v>30</v>
      </c>
      <c r="P551" s="34">
        <v>18</v>
      </c>
      <c r="Q551" s="35">
        <f t="shared" si="18"/>
        <v>270</v>
      </c>
      <c r="R551" s="4" t="s">
        <v>22</v>
      </c>
    </row>
    <row r="552" spans="1:18" x14ac:dyDescent="0.25">
      <c r="A552" s="40">
        <v>46133</v>
      </c>
      <c r="B552" s="28">
        <v>1</v>
      </c>
      <c r="C552" s="34" t="s">
        <v>102</v>
      </c>
      <c r="D552" s="34" t="s">
        <v>116</v>
      </c>
      <c r="E552" s="34">
        <v>14</v>
      </c>
      <c r="F552" s="34">
        <v>23</v>
      </c>
      <c r="G552" s="34">
        <v>27</v>
      </c>
      <c r="H552" s="34">
        <v>12</v>
      </c>
      <c r="I552" s="34">
        <v>24</v>
      </c>
      <c r="J552" s="34">
        <v>21</v>
      </c>
      <c r="K552" s="34">
        <v>23</v>
      </c>
      <c r="L552" s="34">
        <v>12</v>
      </c>
      <c r="M552" s="34">
        <v>23</v>
      </c>
      <c r="N552" s="34">
        <v>26</v>
      </c>
      <c r="O552" s="34">
        <v>21</v>
      </c>
      <c r="P552" s="34">
        <v>16</v>
      </c>
      <c r="Q552" s="35">
        <f t="shared" si="18"/>
        <v>242</v>
      </c>
      <c r="R552" s="4" t="s">
        <v>22</v>
      </c>
    </row>
    <row r="553" spans="1:18" x14ac:dyDescent="0.25">
      <c r="A553" s="40">
        <v>46133</v>
      </c>
      <c r="B553" s="28">
        <v>1</v>
      </c>
      <c r="C553" s="34" t="s">
        <v>104</v>
      </c>
      <c r="D553" s="34" t="s">
        <v>117</v>
      </c>
      <c r="E553" s="34">
        <v>13</v>
      </c>
      <c r="F553" s="34">
        <v>23</v>
      </c>
      <c r="G553" s="34">
        <v>23</v>
      </c>
      <c r="H553" s="34">
        <v>11</v>
      </c>
      <c r="I553" s="34">
        <v>19</v>
      </c>
      <c r="J553" s="34">
        <v>19</v>
      </c>
      <c r="K553" s="34">
        <v>25</v>
      </c>
      <c r="L553" s="34">
        <v>10</v>
      </c>
      <c r="M553" s="34">
        <v>27</v>
      </c>
      <c r="N553" s="34">
        <v>30</v>
      </c>
      <c r="O553" s="34">
        <v>25</v>
      </c>
      <c r="P553" s="34">
        <v>16</v>
      </c>
      <c r="Q553" s="35">
        <f t="shared" si="18"/>
        <v>241</v>
      </c>
      <c r="R553" s="4" t="s">
        <v>22</v>
      </c>
    </row>
    <row r="554" spans="1:18" x14ac:dyDescent="0.25">
      <c r="A554" s="40">
        <v>46133</v>
      </c>
      <c r="B554" s="28">
        <v>1</v>
      </c>
      <c r="C554" s="34" t="s">
        <v>105</v>
      </c>
      <c r="D554" s="34" t="s">
        <v>118</v>
      </c>
      <c r="E554" s="34">
        <v>19</v>
      </c>
      <c r="F554" s="34">
        <v>26</v>
      </c>
      <c r="G554" s="34">
        <v>27</v>
      </c>
      <c r="H554" s="34">
        <v>21</v>
      </c>
      <c r="I554" s="34">
        <v>30</v>
      </c>
      <c r="J554" s="34">
        <v>28</v>
      </c>
      <c r="K554" s="34">
        <v>25</v>
      </c>
      <c r="L554" s="34">
        <v>8</v>
      </c>
      <c r="M554" s="34">
        <v>23</v>
      </c>
      <c r="N554" s="34">
        <v>25</v>
      </c>
      <c r="O554" s="34">
        <v>20</v>
      </c>
      <c r="P554" s="34">
        <v>16</v>
      </c>
      <c r="Q554" s="35">
        <f t="shared" si="18"/>
        <v>268</v>
      </c>
      <c r="R554" s="4" t="s">
        <v>22</v>
      </c>
    </row>
    <row r="555" spans="1:18" x14ac:dyDescent="0.25">
      <c r="A555" s="40">
        <v>46133</v>
      </c>
      <c r="B555" s="28">
        <v>1</v>
      </c>
      <c r="C555" s="34" t="s">
        <v>757</v>
      </c>
      <c r="D555" s="34" t="s">
        <v>641</v>
      </c>
      <c r="E555" s="34">
        <v>13</v>
      </c>
      <c r="F555" s="34">
        <v>11</v>
      </c>
      <c r="G555" s="34">
        <v>26</v>
      </c>
      <c r="H555" s="34">
        <v>15</v>
      </c>
      <c r="I555" s="34">
        <v>30</v>
      </c>
      <c r="J555" s="34">
        <v>24</v>
      </c>
      <c r="K555" s="34">
        <v>27</v>
      </c>
      <c r="L555" s="34">
        <v>8</v>
      </c>
      <c r="M555" s="34">
        <v>24</v>
      </c>
      <c r="N555" s="34">
        <v>23</v>
      </c>
      <c r="O555" s="34">
        <v>22</v>
      </c>
      <c r="P555" s="34">
        <v>3</v>
      </c>
      <c r="Q555" s="35">
        <f t="shared" si="18"/>
        <v>226</v>
      </c>
      <c r="R555" s="4" t="s">
        <v>22</v>
      </c>
    </row>
    <row r="556" spans="1:18" x14ac:dyDescent="0.25">
      <c r="A556" s="40">
        <v>46133</v>
      </c>
      <c r="B556" s="28">
        <v>1</v>
      </c>
      <c r="C556" s="34" t="s">
        <v>106</v>
      </c>
      <c r="D556" s="34" t="s">
        <v>119</v>
      </c>
      <c r="E556" s="34">
        <v>14</v>
      </c>
      <c r="F556" s="34">
        <v>18</v>
      </c>
      <c r="G556" s="34">
        <v>23</v>
      </c>
      <c r="H556" s="34">
        <v>13</v>
      </c>
      <c r="I556" s="34">
        <v>32</v>
      </c>
      <c r="J556" s="34">
        <v>26</v>
      </c>
      <c r="K556" s="34">
        <v>27</v>
      </c>
      <c r="L556" s="34">
        <v>14</v>
      </c>
      <c r="M556" s="34">
        <v>26</v>
      </c>
      <c r="N556" s="34">
        <v>22</v>
      </c>
      <c r="O556" s="34">
        <v>25</v>
      </c>
      <c r="P556" s="34">
        <v>10</v>
      </c>
      <c r="Q556" s="35">
        <f t="shared" si="18"/>
        <v>250</v>
      </c>
      <c r="R556" s="4" t="s">
        <v>22</v>
      </c>
    </row>
    <row r="557" spans="1:18" x14ac:dyDescent="0.25">
      <c r="A557" s="40">
        <v>46133</v>
      </c>
      <c r="B557" s="28">
        <v>1</v>
      </c>
      <c r="C557" s="34" t="s">
        <v>107</v>
      </c>
      <c r="D557" s="34" t="s">
        <v>120</v>
      </c>
      <c r="E557" s="34">
        <v>15</v>
      </c>
      <c r="F557" s="34">
        <v>19</v>
      </c>
      <c r="G557" s="34">
        <v>21</v>
      </c>
      <c r="H557" s="34">
        <v>15</v>
      </c>
      <c r="I557" s="34">
        <v>38</v>
      </c>
      <c r="J557" s="34">
        <v>34</v>
      </c>
      <c r="K557" s="34">
        <v>35</v>
      </c>
      <c r="L557" s="34">
        <v>15</v>
      </c>
      <c r="M557" s="34">
        <v>29</v>
      </c>
      <c r="N557" s="34">
        <v>33</v>
      </c>
      <c r="O557" s="34">
        <v>30</v>
      </c>
      <c r="P557" s="34">
        <v>19</v>
      </c>
      <c r="Q557" s="35">
        <f t="shared" si="18"/>
        <v>303</v>
      </c>
      <c r="R557" s="4" t="s">
        <v>22</v>
      </c>
    </row>
    <row r="558" spans="1:18" x14ac:dyDescent="0.25">
      <c r="A558" s="40">
        <v>46133</v>
      </c>
      <c r="B558" s="28">
        <v>1</v>
      </c>
      <c r="C558" s="34" t="s">
        <v>485</v>
      </c>
      <c r="D558" s="34" t="s">
        <v>738</v>
      </c>
      <c r="Q558" s="35">
        <f t="shared" si="18"/>
        <v>0</v>
      </c>
      <c r="R558" s="4" t="s">
        <v>22</v>
      </c>
    </row>
    <row r="559" spans="1:18" x14ac:dyDescent="0.25">
      <c r="A559" s="40">
        <v>46133</v>
      </c>
      <c r="B559" s="28">
        <v>1</v>
      </c>
      <c r="C559" s="34" t="s">
        <v>101</v>
      </c>
      <c r="D559" s="34" t="s">
        <v>113</v>
      </c>
      <c r="E559" s="34">
        <v>16</v>
      </c>
      <c r="F559" s="34">
        <v>15</v>
      </c>
      <c r="G559" s="34">
        <v>25</v>
      </c>
      <c r="H559" s="34">
        <v>15</v>
      </c>
      <c r="I559" s="34">
        <v>27</v>
      </c>
      <c r="J559" s="34">
        <v>24</v>
      </c>
      <c r="K559" s="34">
        <v>30</v>
      </c>
      <c r="L559" s="34">
        <v>14</v>
      </c>
      <c r="M559" s="34">
        <v>26</v>
      </c>
      <c r="N559" s="34">
        <v>31</v>
      </c>
      <c r="O559" s="34">
        <v>25</v>
      </c>
      <c r="P559" s="34">
        <v>18</v>
      </c>
      <c r="Q559" s="35">
        <f t="shared" si="18"/>
        <v>266</v>
      </c>
      <c r="R559" s="4" t="s">
        <v>22</v>
      </c>
    </row>
    <row r="560" spans="1:18" x14ac:dyDescent="0.25">
      <c r="A560" s="40">
        <v>46133</v>
      </c>
      <c r="B560" s="28">
        <v>1</v>
      </c>
      <c r="C560" s="34" t="s">
        <v>362</v>
      </c>
      <c r="D560" s="34" t="s">
        <v>361</v>
      </c>
      <c r="Q560" s="35">
        <f t="shared" si="18"/>
        <v>0</v>
      </c>
      <c r="R560" s="4" t="s">
        <v>22</v>
      </c>
    </row>
    <row r="561" spans="1:18" x14ac:dyDescent="0.25">
      <c r="A561" s="40">
        <v>46133</v>
      </c>
      <c r="B561" s="28">
        <v>1</v>
      </c>
      <c r="C561" s="34" t="s">
        <v>749</v>
      </c>
      <c r="D561" s="34" t="s">
        <v>121</v>
      </c>
      <c r="E561" s="34">
        <v>13</v>
      </c>
      <c r="F561" s="34">
        <v>17</v>
      </c>
      <c r="G561" s="34">
        <v>18</v>
      </c>
      <c r="H561" s="34">
        <v>13</v>
      </c>
      <c r="I561" s="34">
        <v>27</v>
      </c>
      <c r="J561" s="34">
        <v>24</v>
      </c>
      <c r="K561" s="34">
        <v>24</v>
      </c>
      <c r="L561" s="34">
        <v>12</v>
      </c>
      <c r="M561" s="34">
        <v>22</v>
      </c>
      <c r="N561" s="34">
        <v>25</v>
      </c>
      <c r="O561" s="34">
        <v>20</v>
      </c>
      <c r="P561" s="34">
        <v>5</v>
      </c>
      <c r="Q561" s="35">
        <f t="shared" si="18"/>
        <v>220</v>
      </c>
      <c r="R561" s="4" t="s">
        <v>22</v>
      </c>
    </row>
    <row r="562" spans="1:18" x14ac:dyDescent="0.25">
      <c r="A562" s="40">
        <v>46133</v>
      </c>
      <c r="B562" s="28">
        <v>1</v>
      </c>
      <c r="C562" s="34" t="s">
        <v>110</v>
      </c>
      <c r="D562" s="34" t="s">
        <v>123</v>
      </c>
      <c r="E562" s="34">
        <v>16</v>
      </c>
      <c r="F562" s="34">
        <v>15</v>
      </c>
      <c r="G562" s="34">
        <v>17</v>
      </c>
      <c r="H562" s="34">
        <v>16</v>
      </c>
      <c r="I562" s="34">
        <v>30</v>
      </c>
      <c r="J562" s="34">
        <v>28</v>
      </c>
      <c r="K562" s="34">
        <v>32</v>
      </c>
      <c r="L562" s="34">
        <v>14</v>
      </c>
      <c r="M562" s="34">
        <v>32</v>
      </c>
      <c r="N562" s="34">
        <v>32</v>
      </c>
      <c r="O562" s="34">
        <v>29</v>
      </c>
      <c r="P562" s="34">
        <v>19</v>
      </c>
      <c r="Q562" s="35">
        <f t="shared" si="18"/>
        <v>280</v>
      </c>
      <c r="R562" s="4" t="s">
        <v>22</v>
      </c>
    </row>
    <row r="563" spans="1:18" x14ac:dyDescent="0.25">
      <c r="A563" s="40">
        <v>46133</v>
      </c>
      <c r="B563" s="28">
        <v>1</v>
      </c>
      <c r="C563" s="34" t="s">
        <v>109</v>
      </c>
      <c r="D563" s="34" t="s">
        <v>122</v>
      </c>
      <c r="Q563" s="35">
        <f t="shared" si="18"/>
        <v>0</v>
      </c>
      <c r="R563" s="4" t="s">
        <v>22</v>
      </c>
    </row>
    <row r="564" spans="1:18" x14ac:dyDescent="0.25">
      <c r="A564" s="40">
        <v>46133</v>
      </c>
      <c r="B564" s="28">
        <v>1</v>
      </c>
      <c r="C564" s="34" t="s">
        <v>640</v>
      </c>
      <c r="D564" s="34" t="s">
        <v>108</v>
      </c>
      <c r="E564" s="34">
        <v>14</v>
      </c>
      <c r="F564" s="34">
        <v>13</v>
      </c>
      <c r="G564" s="34">
        <v>14</v>
      </c>
      <c r="H564" s="34">
        <v>11</v>
      </c>
      <c r="I564" s="34">
        <v>24</v>
      </c>
      <c r="J564" s="34">
        <v>24</v>
      </c>
      <c r="K564" s="34">
        <v>14</v>
      </c>
      <c r="L564" s="34">
        <v>6</v>
      </c>
      <c r="M564" s="34">
        <v>16</v>
      </c>
      <c r="N564" s="34">
        <v>19</v>
      </c>
      <c r="O564" s="34">
        <v>16</v>
      </c>
      <c r="P564" s="34">
        <v>15</v>
      </c>
      <c r="Q564" s="35">
        <f t="shared" si="18"/>
        <v>186</v>
      </c>
      <c r="R564" s="4" t="s">
        <v>22</v>
      </c>
    </row>
    <row r="565" spans="1:18" x14ac:dyDescent="0.25">
      <c r="A565" s="40">
        <v>46133</v>
      </c>
      <c r="B565" s="28">
        <v>1</v>
      </c>
      <c r="C565" s="34" t="s">
        <v>363</v>
      </c>
      <c r="D565" s="34" t="s">
        <v>364</v>
      </c>
      <c r="E565" s="34">
        <v>18</v>
      </c>
      <c r="F565" s="34">
        <v>15</v>
      </c>
      <c r="G565" s="34">
        <v>17</v>
      </c>
      <c r="H565" s="34">
        <v>15</v>
      </c>
      <c r="I565" s="34">
        <v>38</v>
      </c>
      <c r="J565" s="34">
        <v>31</v>
      </c>
      <c r="K565" s="34">
        <v>33</v>
      </c>
      <c r="L565" s="34">
        <v>12</v>
      </c>
      <c r="M565" s="34">
        <v>29</v>
      </c>
      <c r="N565" s="34">
        <v>23</v>
      </c>
      <c r="O565" s="34">
        <v>21</v>
      </c>
      <c r="P565" s="34">
        <v>6</v>
      </c>
      <c r="Q565" s="35">
        <f t="shared" si="18"/>
        <v>258</v>
      </c>
      <c r="R565" s="4" t="s">
        <v>22</v>
      </c>
    </row>
    <row r="566" spans="1:18" x14ac:dyDescent="0.25">
      <c r="A566" s="40">
        <v>46133</v>
      </c>
      <c r="B566" s="28">
        <v>1</v>
      </c>
      <c r="C566" s="34" t="s">
        <v>395</v>
      </c>
      <c r="D566" s="34" t="s">
        <v>396</v>
      </c>
      <c r="Q566" s="35">
        <f t="shared" si="18"/>
        <v>0</v>
      </c>
      <c r="R566" s="4" t="s">
        <v>22</v>
      </c>
    </row>
    <row r="567" spans="1:18" x14ac:dyDescent="0.25">
      <c r="A567" s="40">
        <v>46133</v>
      </c>
      <c r="B567" s="28">
        <v>1</v>
      </c>
      <c r="C567" s="34" t="s">
        <v>641</v>
      </c>
      <c r="D567" s="34" t="s">
        <v>642</v>
      </c>
      <c r="Q567" s="35">
        <f t="shared" si="18"/>
        <v>0</v>
      </c>
      <c r="R567" s="4" t="s">
        <v>22</v>
      </c>
    </row>
    <row r="568" spans="1:18" x14ac:dyDescent="0.25">
      <c r="A568" s="40">
        <v>46133</v>
      </c>
      <c r="B568" s="28">
        <v>1</v>
      </c>
      <c r="C568" s="34" t="s">
        <v>215</v>
      </c>
      <c r="D568" s="34" t="s">
        <v>739</v>
      </c>
      <c r="E568" s="34">
        <v>11</v>
      </c>
      <c r="F568" s="34">
        <v>6</v>
      </c>
      <c r="G568" s="34">
        <v>4</v>
      </c>
      <c r="H568" s="34">
        <v>9</v>
      </c>
      <c r="I568" s="34">
        <v>21</v>
      </c>
      <c r="J568" s="34">
        <v>20</v>
      </c>
      <c r="K568" s="34">
        <v>23</v>
      </c>
      <c r="L568" s="34">
        <v>10</v>
      </c>
      <c r="M568" s="34">
        <v>19</v>
      </c>
      <c r="N568" s="34">
        <v>18</v>
      </c>
      <c r="O568" s="34">
        <v>15</v>
      </c>
      <c r="P568" s="34">
        <v>17</v>
      </c>
      <c r="Q568" s="35">
        <f t="shared" si="18"/>
        <v>173</v>
      </c>
      <c r="R568" s="4" t="s">
        <v>140</v>
      </c>
    </row>
    <row r="569" spans="1:18" x14ac:dyDescent="0.25">
      <c r="A569" s="40">
        <v>46133</v>
      </c>
      <c r="B569" s="28">
        <v>1</v>
      </c>
      <c r="C569" s="34" t="s">
        <v>184</v>
      </c>
      <c r="D569" s="34" t="s">
        <v>750</v>
      </c>
      <c r="E569" s="34">
        <v>9</v>
      </c>
      <c r="F569" s="34">
        <v>13</v>
      </c>
      <c r="G569" s="34">
        <v>14</v>
      </c>
      <c r="H569" s="34">
        <v>12</v>
      </c>
      <c r="I569" s="34">
        <v>23</v>
      </c>
      <c r="J569" s="34">
        <v>23</v>
      </c>
      <c r="K569" s="34">
        <v>33</v>
      </c>
      <c r="L569" s="34">
        <v>12</v>
      </c>
      <c r="M569" s="34">
        <v>22</v>
      </c>
      <c r="N569" s="34">
        <v>31</v>
      </c>
      <c r="O569" s="34">
        <v>25</v>
      </c>
      <c r="P569" s="34">
        <v>22</v>
      </c>
      <c r="Q569" s="35">
        <f t="shared" si="18"/>
        <v>239</v>
      </c>
      <c r="R569" s="4" t="s">
        <v>140</v>
      </c>
    </row>
    <row r="570" spans="1:18" x14ac:dyDescent="0.25">
      <c r="A570" s="40">
        <v>46133</v>
      </c>
      <c r="B570" s="28">
        <v>1</v>
      </c>
      <c r="C570" s="34" t="s">
        <v>137</v>
      </c>
      <c r="D570" s="34" t="s">
        <v>130</v>
      </c>
      <c r="E570" s="34">
        <v>11</v>
      </c>
      <c r="F570" s="34">
        <v>10</v>
      </c>
      <c r="G570" s="34">
        <v>12</v>
      </c>
      <c r="H570" s="34">
        <v>13</v>
      </c>
      <c r="I570" s="34">
        <v>23</v>
      </c>
      <c r="J570" s="34">
        <v>20</v>
      </c>
      <c r="K570" s="34">
        <v>27</v>
      </c>
      <c r="L570" s="34">
        <v>14</v>
      </c>
      <c r="M570" s="34">
        <v>21</v>
      </c>
      <c r="N570" s="34">
        <v>23</v>
      </c>
      <c r="O570" s="34">
        <v>20</v>
      </c>
      <c r="P570" s="34">
        <v>11</v>
      </c>
      <c r="Q570" s="35">
        <f t="shared" si="18"/>
        <v>205</v>
      </c>
      <c r="R570" s="4" t="s">
        <v>140</v>
      </c>
    </row>
    <row r="571" spans="1:18" x14ac:dyDescent="0.25">
      <c r="A571" s="40">
        <v>46133</v>
      </c>
      <c r="B571" s="28">
        <v>1</v>
      </c>
      <c r="C571" s="34" t="s">
        <v>135</v>
      </c>
      <c r="D571" s="34" t="s">
        <v>128</v>
      </c>
      <c r="E571" s="34">
        <v>16</v>
      </c>
      <c r="F571" s="34">
        <v>19</v>
      </c>
      <c r="G571" s="34">
        <v>15</v>
      </c>
      <c r="H571" s="34">
        <v>10</v>
      </c>
      <c r="I571" s="34">
        <v>33</v>
      </c>
      <c r="J571" s="34">
        <v>29</v>
      </c>
      <c r="K571" s="34">
        <v>31</v>
      </c>
      <c r="L571" s="34">
        <v>12</v>
      </c>
      <c r="M571" s="34">
        <v>24</v>
      </c>
      <c r="N571" s="34">
        <v>22</v>
      </c>
      <c r="O571" s="34">
        <v>24</v>
      </c>
      <c r="P571" s="34">
        <v>15</v>
      </c>
      <c r="Q571" s="35">
        <f t="shared" si="18"/>
        <v>250</v>
      </c>
      <c r="R571" s="4" t="s">
        <v>140</v>
      </c>
    </row>
    <row r="572" spans="1:18" x14ac:dyDescent="0.25">
      <c r="A572" s="40">
        <v>46133</v>
      </c>
      <c r="B572" s="28">
        <v>1</v>
      </c>
      <c r="C572" s="34" t="s">
        <v>134</v>
      </c>
      <c r="D572" s="34" t="s">
        <v>127</v>
      </c>
      <c r="E572" s="34">
        <v>7</v>
      </c>
      <c r="F572" s="34">
        <v>18</v>
      </c>
      <c r="G572" s="34">
        <v>21</v>
      </c>
      <c r="H572" s="34">
        <v>13</v>
      </c>
      <c r="I572" s="34">
        <v>25</v>
      </c>
      <c r="J572" s="34">
        <v>23</v>
      </c>
      <c r="K572" s="34">
        <v>19</v>
      </c>
      <c r="L572" s="34">
        <v>3</v>
      </c>
      <c r="M572" s="34">
        <v>21</v>
      </c>
      <c r="N572" s="34">
        <v>23</v>
      </c>
      <c r="O572" s="34">
        <v>20</v>
      </c>
      <c r="P572" s="34">
        <v>11</v>
      </c>
      <c r="Q572" s="35">
        <f t="shared" si="18"/>
        <v>204</v>
      </c>
      <c r="R572" s="4" t="s">
        <v>140</v>
      </c>
    </row>
    <row r="574" spans="1:18" x14ac:dyDescent="0.25">
      <c r="A574" s="40">
        <v>46134</v>
      </c>
      <c r="B574" s="28">
        <v>1</v>
      </c>
      <c r="C574" s="34" t="s">
        <v>100</v>
      </c>
      <c r="D574" s="34" t="s">
        <v>114</v>
      </c>
      <c r="E574" s="34">
        <v>10</v>
      </c>
      <c r="F574" s="34">
        <v>23</v>
      </c>
      <c r="G574" s="34">
        <v>17</v>
      </c>
      <c r="H574" s="34">
        <v>6</v>
      </c>
      <c r="I574" s="34">
        <v>14</v>
      </c>
      <c r="J574" s="34">
        <v>18</v>
      </c>
      <c r="K574" s="34">
        <v>25</v>
      </c>
      <c r="L574" s="34">
        <v>14</v>
      </c>
      <c r="M574" s="34">
        <v>20</v>
      </c>
      <c r="N574" s="34">
        <v>24</v>
      </c>
      <c r="O574" s="34">
        <v>18</v>
      </c>
      <c r="P574" s="34">
        <v>24</v>
      </c>
      <c r="Q574" s="35">
        <f t="shared" ref="Q574:Q599" si="19">SUM(E574:P574)</f>
        <v>213</v>
      </c>
      <c r="R574" s="4" t="s">
        <v>22</v>
      </c>
    </row>
    <row r="575" spans="1:18" x14ac:dyDescent="0.25">
      <c r="A575" s="40">
        <v>46134</v>
      </c>
      <c r="B575" s="28">
        <v>1</v>
      </c>
      <c r="C575" s="34" t="s">
        <v>197</v>
      </c>
      <c r="D575" s="34" t="s">
        <v>114</v>
      </c>
      <c r="Q575" s="35">
        <f t="shared" si="19"/>
        <v>0</v>
      </c>
      <c r="R575" s="4" t="s">
        <v>22</v>
      </c>
    </row>
    <row r="576" spans="1:18" x14ac:dyDescent="0.25">
      <c r="A576" s="40">
        <v>46134</v>
      </c>
      <c r="B576" s="28">
        <v>1</v>
      </c>
      <c r="C576" s="34" t="s">
        <v>445</v>
      </c>
      <c r="D576" s="34" t="s">
        <v>446</v>
      </c>
      <c r="E576" s="34">
        <v>12</v>
      </c>
      <c r="F576" s="34">
        <v>18</v>
      </c>
      <c r="G576" s="34">
        <v>18</v>
      </c>
      <c r="H576" s="34">
        <v>3</v>
      </c>
      <c r="I576" s="34">
        <v>7</v>
      </c>
      <c r="J576" s="34">
        <v>7</v>
      </c>
      <c r="K576" s="34">
        <v>17</v>
      </c>
      <c r="L576" s="34">
        <v>6</v>
      </c>
      <c r="M576" s="34">
        <v>14</v>
      </c>
      <c r="N576" s="34">
        <v>13</v>
      </c>
      <c r="O576" s="34">
        <v>12</v>
      </c>
      <c r="P576" s="34">
        <v>15</v>
      </c>
      <c r="Q576" s="35">
        <f t="shared" si="19"/>
        <v>142</v>
      </c>
      <c r="R576" s="4" t="s">
        <v>22</v>
      </c>
    </row>
    <row r="577" spans="1:18" x14ac:dyDescent="0.25">
      <c r="A577" s="40">
        <v>46134</v>
      </c>
      <c r="B577" s="28">
        <v>1</v>
      </c>
      <c r="C577" s="34" t="s">
        <v>111</v>
      </c>
      <c r="D577" s="34" t="s">
        <v>124</v>
      </c>
      <c r="E577" s="34">
        <v>6</v>
      </c>
      <c r="F577" s="34">
        <v>15</v>
      </c>
      <c r="G577" s="34">
        <v>11</v>
      </c>
      <c r="H577" s="34">
        <v>9</v>
      </c>
      <c r="I577" s="34">
        <v>15</v>
      </c>
      <c r="J577" s="34">
        <v>15</v>
      </c>
      <c r="K577" s="34">
        <v>28</v>
      </c>
      <c r="L577" s="34">
        <v>1</v>
      </c>
      <c r="Q577" s="35">
        <f t="shared" si="19"/>
        <v>100</v>
      </c>
      <c r="R577" s="4" t="s">
        <v>22</v>
      </c>
    </row>
    <row r="578" spans="1:18" x14ac:dyDescent="0.25">
      <c r="A578" s="40">
        <v>46134</v>
      </c>
      <c r="B578" s="28">
        <v>1</v>
      </c>
      <c r="C578" s="34" t="s">
        <v>103</v>
      </c>
      <c r="D578" s="34" t="s">
        <v>115</v>
      </c>
      <c r="E578" s="34">
        <v>12</v>
      </c>
      <c r="F578" s="34">
        <v>20</v>
      </c>
      <c r="G578" s="34">
        <v>18</v>
      </c>
      <c r="H578" s="34">
        <v>14</v>
      </c>
      <c r="I578" s="34">
        <v>21</v>
      </c>
      <c r="J578" s="34">
        <v>22</v>
      </c>
      <c r="K578" s="34">
        <v>26</v>
      </c>
      <c r="L578" s="34">
        <v>10</v>
      </c>
      <c r="M578" s="34">
        <v>20</v>
      </c>
      <c r="N578" s="34">
        <v>16</v>
      </c>
      <c r="O578" s="34">
        <v>16</v>
      </c>
      <c r="P578" s="34">
        <v>23</v>
      </c>
      <c r="Q578" s="35">
        <f t="shared" si="19"/>
        <v>218</v>
      </c>
      <c r="R578" s="4" t="s">
        <v>22</v>
      </c>
    </row>
    <row r="579" spans="1:18" x14ac:dyDescent="0.25">
      <c r="A579" s="40">
        <v>46134</v>
      </c>
      <c r="B579" s="28">
        <v>1</v>
      </c>
      <c r="C579" s="34" t="s">
        <v>102</v>
      </c>
      <c r="D579" s="34" t="s">
        <v>116</v>
      </c>
      <c r="E579" s="34">
        <v>10</v>
      </c>
      <c r="F579" s="34">
        <v>18</v>
      </c>
      <c r="G579" s="34">
        <v>17</v>
      </c>
      <c r="H579" s="34">
        <v>14</v>
      </c>
      <c r="I579" s="34">
        <v>20</v>
      </c>
      <c r="J579" s="34">
        <v>21</v>
      </c>
      <c r="Q579" s="35">
        <f t="shared" si="19"/>
        <v>100</v>
      </c>
      <c r="R579" s="4" t="s">
        <v>22</v>
      </c>
    </row>
    <row r="580" spans="1:18" x14ac:dyDescent="0.25">
      <c r="A580" s="40">
        <v>46134</v>
      </c>
      <c r="B580" s="28">
        <v>1</v>
      </c>
      <c r="C580" s="34" t="s">
        <v>104</v>
      </c>
      <c r="D580" s="34" t="s">
        <v>117</v>
      </c>
      <c r="E580" s="34">
        <v>8</v>
      </c>
      <c r="F580" s="34">
        <v>17</v>
      </c>
      <c r="G580" s="34">
        <v>18</v>
      </c>
      <c r="H580" s="34">
        <v>12</v>
      </c>
      <c r="I580" s="34">
        <v>19</v>
      </c>
      <c r="J580" s="34">
        <v>21</v>
      </c>
      <c r="K580" s="34">
        <v>26</v>
      </c>
      <c r="L580" s="34">
        <v>8</v>
      </c>
      <c r="M580" s="34">
        <v>23</v>
      </c>
      <c r="N580" s="34">
        <v>19</v>
      </c>
      <c r="O580" s="34">
        <v>17</v>
      </c>
      <c r="P580" s="34">
        <v>19</v>
      </c>
      <c r="Q580" s="35">
        <f t="shared" si="19"/>
        <v>207</v>
      </c>
      <c r="R580" s="4" t="s">
        <v>22</v>
      </c>
    </row>
    <row r="581" spans="1:18" x14ac:dyDescent="0.25">
      <c r="A581" s="40">
        <v>46134</v>
      </c>
      <c r="B581" s="28">
        <v>1</v>
      </c>
      <c r="C581" s="34" t="s">
        <v>105</v>
      </c>
      <c r="D581" s="34" t="s">
        <v>118</v>
      </c>
      <c r="E581" s="34">
        <v>11</v>
      </c>
      <c r="F581" s="34">
        <v>23</v>
      </c>
      <c r="G581" s="34">
        <v>18</v>
      </c>
      <c r="H581" s="34">
        <v>8</v>
      </c>
      <c r="I581" s="34">
        <v>13</v>
      </c>
      <c r="J581" s="34">
        <v>23</v>
      </c>
      <c r="K581" s="34">
        <v>23</v>
      </c>
      <c r="L581" s="34">
        <v>16</v>
      </c>
      <c r="M581" s="34">
        <v>18</v>
      </c>
      <c r="N581" s="34">
        <v>20</v>
      </c>
      <c r="O581" s="34">
        <v>13</v>
      </c>
      <c r="P581" s="34">
        <v>24</v>
      </c>
      <c r="Q581" s="35">
        <f t="shared" si="19"/>
        <v>210</v>
      </c>
      <c r="R581" s="4" t="s">
        <v>22</v>
      </c>
    </row>
    <row r="582" spans="1:18" x14ac:dyDescent="0.25">
      <c r="A582" s="40">
        <v>46134</v>
      </c>
      <c r="B582" s="28">
        <v>1</v>
      </c>
      <c r="C582" s="34" t="s">
        <v>757</v>
      </c>
      <c r="D582" s="34" t="s">
        <v>641</v>
      </c>
      <c r="E582" s="34">
        <v>11</v>
      </c>
      <c r="F582" s="34">
        <v>18</v>
      </c>
      <c r="G582" s="34">
        <v>16</v>
      </c>
      <c r="H582" s="34">
        <v>4</v>
      </c>
      <c r="I582" s="34">
        <v>9</v>
      </c>
      <c r="J582" s="34">
        <v>13</v>
      </c>
      <c r="K582" s="34">
        <v>23</v>
      </c>
      <c r="L582" s="34">
        <v>7</v>
      </c>
      <c r="M582" s="34">
        <v>12</v>
      </c>
      <c r="N582" s="34">
        <v>21</v>
      </c>
      <c r="O582" s="34">
        <v>18</v>
      </c>
      <c r="P582" s="34">
        <v>6</v>
      </c>
      <c r="Q582" s="35">
        <f t="shared" si="19"/>
        <v>158</v>
      </c>
      <c r="R582" s="4" t="s">
        <v>22</v>
      </c>
    </row>
    <row r="583" spans="1:18" x14ac:dyDescent="0.25">
      <c r="A583" s="40">
        <v>46134</v>
      </c>
      <c r="B583" s="28">
        <v>1</v>
      </c>
      <c r="C583" s="34" t="s">
        <v>106</v>
      </c>
      <c r="D583" s="34" t="s">
        <v>119</v>
      </c>
      <c r="E583" s="34">
        <v>10</v>
      </c>
      <c r="F583" s="34">
        <v>13</v>
      </c>
      <c r="G583" s="34">
        <v>15</v>
      </c>
      <c r="H583" s="34">
        <v>15</v>
      </c>
      <c r="I583" s="34">
        <v>17</v>
      </c>
      <c r="J583" s="34">
        <v>18</v>
      </c>
      <c r="K583" s="34">
        <v>16</v>
      </c>
      <c r="L583" s="34">
        <v>6</v>
      </c>
      <c r="M583" s="34">
        <v>9</v>
      </c>
      <c r="N583" s="34">
        <v>29</v>
      </c>
      <c r="O583" s="34">
        <v>22</v>
      </c>
      <c r="P583" s="34">
        <v>24</v>
      </c>
      <c r="Q583" s="35">
        <f t="shared" si="19"/>
        <v>194</v>
      </c>
      <c r="R583" s="4" t="s">
        <v>22</v>
      </c>
    </row>
    <row r="584" spans="1:18" x14ac:dyDescent="0.25">
      <c r="A584" s="40">
        <v>46134</v>
      </c>
      <c r="B584" s="28">
        <v>1</v>
      </c>
      <c r="C584" s="34" t="s">
        <v>107</v>
      </c>
      <c r="D584" s="34" t="s">
        <v>120</v>
      </c>
      <c r="E584" s="34">
        <v>14</v>
      </c>
      <c r="F584" s="34">
        <v>16</v>
      </c>
      <c r="G584" s="34">
        <v>22</v>
      </c>
      <c r="H584" s="34">
        <v>10</v>
      </c>
      <c r="I584" s="34">
        <v>15</v>
      </c>
      <c r="J584" s="34">
        <v>15</v>
      </c>
      <c r="K584" s="34">
        <v>20</v>
      </c>
      <c r="L584" s="34">
        <v>12</v>
      </c>
      <c r="M584" s="34">
        <v>14</v>
      </c>
      <c r="N584" s="34">
        <v>30</v>
      </c>
      <c r="O584" s="34">
        <v>22</v>
      </c>
      <c r="P584" s="34">
        <v>30</v>
      </c>
      <c r="Q584" s="35">
        <f t="shared" si="19"/>
        <v>220</v>
      </c>
      <c r="R584" s="4" t="s">
        <v>22</v>
      </c>
    </row>
    <row r="585" spans="1:18" x14ac:dyDescent="0.25">
      <c r="A585" s="40">
        <v>46134</v>
      </c>
      <c r="B585" s="28">
        <v>1</v>
      </c>
      <c r="C585" s="34" t="s">
        <v>485</v>
      </c>
      <c r="D585" s="34" t="s">
        <v>738</v>
      </c>
      <c r="L585" s="34">
        <v>8</v>
      </c>
      <c r="M585" s="34">
        <v>18</v>
      </c>
      <c r="N585" s="34">
        <v>23</v>
      </c>
      <c r="O585" s="34">
        <v>22</v>
      </c>
      <c r="P585" s="34">
        <v>25</v>
      </c>
      <c r="Q585" s="35">
        <f t="shared" si="19"/>
        <v>96</v>
      </c>
      <c r="R585" s="4" t="s">
        <v>22</v>
      </c>
    </row>
    <row r="586" spans="1:18" x14ac:dyDescent="0.25">
      <c r="A586" s="40">
        <v>46134</v>
      </c>
      <c r="B586" s="28">
        <v>1</v>
      </c>
      <c r="C586" s="34" t="s">
        <v>101</v>
      </c>
      <c r="D586" s="34" t="s">
        <v>113</v>
      </c>
      <c r="E586" s="34">
        <v>13</v>
      </c>
      <c r="F586" s="34">
        <v>19</v>
      </c>
      <c r="G586" s="34">
        <v>23</v>
      </c>
      <c r="H586" s="34">
        <v>18</v>
      </c>
      <c r="I586" s="34">
        <v>27</v>
      </c>
      <c r="J586" s="34">
        <v>19</v>
      </c>
      <c r="K586" s="34">
        <v>24</v>
      </c>
      <c r="L586" s="34">
        <v>9</v>
      </c>
      <c r="M586" s="34">
        <v>13</v>
      </c>
      <c r="N586" s="34">
        <v>17</v>
      </c>
      <c r="O586" s="34">
        <v>15</v>
      </c>
      <c r="P586" s="34">
        <v>2</v>
      </c>
      <c r="Q586" s="35">
        <f t="shared" si="19"/>
        <v>199</v>
      </c>
      <c r="R586" s="4" t="s">
        <v>22</v>
      </c>
    </row>
    <row r="587" spans="1:18" x14ac:dyDescent="0.25">
      <c r="A587" s="40">
        <v>46134</v>
      </c>
      <c r="B587" s="28">
        <v>1</v>
      </c>
      <c r="C587" s="34" t="s">
        <v>362</v>
      </c>
      <c r="D587" s="34" t="s">
        <v>361</v>
      </c>
      <c r="E587" s="34">
        <v>8</v>
      </c>
      <c r="F587" s="34">
        <v>12</v>
      </c>
      <c r="G587" s="34">
        <v>8</v>
      </c>
      <c r="H587" s="34">
        <v>10</v>
      </c>
      <c r="I587" s="34">
        <v>15</v>
      </c>
      <c r="J587" s="34">
        <v>17</v>
      </c>
      <c r="K587" s="34">
        <v>16</v>
      </c>
      <c r="L587" s="34">
        <v>2</v>
      </c>
      <c r="M587" s="34">
        <v>5</v>
      </c>
      <c r="N587" s="34">
        <v>23</v>
      </c>
      <c r="O587" s="34">
        <v>16</v>
      </c>
      <c r="P587" s="34">
        <v>18</v>
      </c>
      <c r="Q587" s="35">
        <f t="shared" si="19"/>
        <v>150</v>
      </c>
      <c r="R587" s="4" t="s">
        <v>22</v>
      </c>
    </row>
    <row r="588" spans="1:18" x14ac:dyDescent="0.25">
      <c r="A588" s="40">
        <v>46134</v>
      </c>
      <c r="B588" s="28">
        <v>1</v>
      </c>
      <c r="C588" s="34" t="s">
        <v>749</v>
      </c>
      <c r="D588" s="34" t="s">
        <v>121</v>
      </c>
      <c r="E588" s="34">
        <v>9</v>
      </c>
      <c r="F588" s="34">
        <v>17</v>
      </c>
      <c r="G588" s="34">
        <v>17</v>
      </c>
      <c r="H588" s="34">
        <v>13</v>
      </c>
      <c r="I588" s="34">
        <v>16</v>
      </c>
      <c r="J588" s="34">
        <v>17</v>
      </c>
      <c r="K588" s="34">
        <v>19</v>
      </c>
      <c r="L588" s="34">
        <v>9</v>
      </c>
      <c r="M588" s="34">
        <v>14</v>
      </c>
      <c r="N588" s="34">
        <v>21</v>
      </c>
      <c r="O588" s="34">
        <v>19</v>
      </c>
      <c r="P588" s="34">
        <v>20</v>
      </c>
      <c r="Q588" s="35">
        <f t="shared" si="19"/>
        <v>191</v>
      </c>
      <c r="R588" s="4" t="s">
        <v>22</v>
      </c>
    </row>
    <row r="589" spans="1:18" x14ac:dyDescent="0.25">
      <c r="A589" s="40">
        <v>46134</v>
      </c>
      <c r="B589" s="28">
        <v>1</v>
      </c>
      <c r="C589" s="34" t="s">
        <v>110</v>
      </c>
      <c r="D589" s="34" t="s">
        <v>123</v>
      </c>
      <c r="E589" s="34">
        <v>15</v>
      </c>
      <c r="F589" s="34">
        <v>19</v>
      </c>
      <c r="G589" s="34">
        <v>18</v>
      </c>
      <c r="H589" s="34">
        <v>14</v>
      </c>
      <c r="I589" s="34">
        <v>21</v>
      </c>
      <c r="J589" s="34">
        <v>13</v>
      </c>
      <c r="K589" s="34">
        <v>27</v>
      </c>
      <c r="L589" s="34">
        <v>10</v>
      </c>
      <c r="M589" s="34">
        <v>16</v>
      </c>
      <c r="N589" s="34">
        <v>7</v>
      </c>
      <c r="O589" s="34">
        <v>13</v>
      </c>
      <c r="P589" s="34">
        <v>20</v>
      </c>
      <c r="Q589" s="35">
        <f t="shared" si="19"/>
        <v>193</v>
      </c>
      <c r="R589" s="4" t="s">
        <v>22</v>
      </c>
    </row>
    <row r="590" spans="1:18" x14ac:dyDescent="0.25">
      <c r="A590" s="40">
        <v>46134</v>
      </c>
      <c r="B590" s="28">
        <v>1</v>
      </c>
      <c r="C590" s="34" t="s">
        <v>109</v>
      </c>
      <c r="D590" s="34" t="s">
        <v>122</v>
      </c>
      <c r="E590" s="34">
        <v>15</v>
      </c>
      <c r="F590" s="34">
        <v>23</v>
      </c>
      <c r="G590" s="34">
        <v>22</v>
      </c>
      <c r="H590" s="34">
        <v>16</v>
      </c>
      <c r="I590" s="34">
        <v>24</v>
      </c>
      <c r="J590" s="34">
        <v>18</v>
      </c>
      <c r="K590" s="34">
        <v>25</v>
      </c>
      <c r="L590" s="34">
        <v>7</v>
      </c>
      <c r="M590" s="34">
        <v>17</v>
      </c>
      <c r="N590" s="34">
        <v>9</v>
      </c>
      <c r="O590" s="34">
        <v>13</v>
      </c>
      <c r="P590" s="34">
        <v>25</v>
      </c>
      <c r="Q590" s="35">
        <f t="shared" si="19"/>
        <v>214</v>
      </c>
      <c r="R590" s="4" t="s">
        <v>22</v>
      </c>
    </row>
    <row r="591" spans="1:18" x14ac:dyDescent="0.25">
      <c r="A591" s="40">
        <v>46134</v>
      </c>
      <c r="B591" s="28">
        <v>1</v>
      </c>
      <c r="C591" s="34" t="s">
        <v>640</v>
      </c>
      <c r="D591" s="34" t="s">
        <v>108</v>
      </c>
      <c r="E591" s="34">
        <v>11</v>
      </c>
      <c r="F591" s="34">
        <v>15</v>
      </c>
      <c r="G591" s="34">
        <v>14</v>
      </c>
      <c r="H591" s="34">
        <v>7</v>
      </c>
      <c r="I591" s="34">
        <v>11</v>
      </c>
      <c r="J591" s="34">
        <v>14</v>
      </c>
      <c r="K591" s="34">
        <v>18</v>
      </c>
      <c r="L591" s="34">
        <v>5</v>
      </c>
      <c r="M591" s="34">
        <v>11</v>
      </c>
      <c r="N591" s="34">
        <v>16</v>
      </c>
      <c r="O591" s="34">
        <v>16</v>
      </c>
      <c r="P591" s="34">
        <v>15</v>
      </c>
      <c r="Q591" s="35">
        <f t="shared" si="19"/>
        <v>153</v>
      </c>
      <c r="R591" s="4" t="s">
        <v>22</v>
      </c>
    </row>
    <row r="592" spans="1:18" x14ac:dyDescent="0.25">
      <c r="A592" s="40">
        <v>46134</v>
      </c>
      <c r="B592" s="28">
        <v>1</v>
      </c>
      <c r="C592" s="34" t="s">
        <v>363</v>
      </c>
      <c r="D592" s="34" t="s">
        <v>364</v>
      </c>
      <c r="E592" s="34">
        <v>16</v>
      </c>
      <c r="F592" s="34">
        <v>18</v>
      </c>
      <c r="G592" s="34">
        <v>16</v>
      </c>
      <c r="H592" s="34">
        <v>10</v>
      </c>
      <c r="I592" s="34">
        <v>13</v>
      </c>
      <c r="J592" s="34">
        <v>14</v>
      </c>
      <c r="K592" s="34">
        <v>22</v>
      </c>
      <c r="L592" s="34">
        <v>7</v>
      </c>
      <c r="M592" s="34">
        <v>16</v>
      </c>
      <c r="N592" s="34">
        <v>27</v>
      </c>
      <c r="O592" s="34">
        <v>22</v>
      </c>
      <c r="P592" s="34">
        <v>25</v>
      </c>
      <c r="Q592" s="35">
        <f t="shared" si="19"/>
        <v>206</v>
      </c>
      <c r="R592" s="4" t="s">
        <v>22</v>
      </c>
    </row>
    <row r="593" spans="1:18" x14ac:dyDescent="0.25">
      <c r="A593" s="40">
        <v>46134</v>
      </c>
      <c r="B593" s="28">
        <v>1</v>
      </c>
      <c r="C593" s="34" t="s">
        <v>395</v>
      </c>
      <c r="D593" s="34" t="s">
        <v>396</v>
      </c>
      <c r="E593" s="34">
        <v>16</v>
      </c>
      <c r="F593" s="34">
        <v>27</v>
      </c>
      <c r="G593" s="34">
        <v>21</v>
      </c>
      <c r="H593" s="34">
        <v>13</v>
      </c>
      <c r="I593" s="34">
        <v>17</v>
      </c>
      <c r="J593" s="34">
        <v>12</v>
      </c>
      <c r="K593" s="34">
        <v>29</v>
      </c>
      <c r="L593" s="34">
        <v>12</v>
      </c>
      <c r="M593" s="34">
        <v>16</v>
      </c>
      <c r="N593" s="34">
        <v>22</v>
      </c>
      <c r="O593" s="34">
        <v>11</v>
      </c>
      <c r="P593" s="34">
        <v>24</v>
      </c>
      <c r="Q593" s="35">
        <f t="shared" si="19"/>
        <v>220</v>
      </c>
      <c r="R593" s="4" t="s">
        <v>22</v>
      </c>
    </row>
    <row r="594" spans="1:18" x14ac:dyDescent="0.25">
      <c r="A594" s="40">
        <v>46134</v>
      </c>
      <c r="B594" s="28">
        <v>1</v>
      </c>
      <c r="C594" s="34" t="s">
        <v>641</v>
      </c>
      <c r="D594" s="34" t="s">
        <v>642</v>
      </c>
      <c r="Q594" s="35">
        <f t="shared" si="19"/>
        <v>0</v>
      </c>
      <c r="R594" s="4" t="s">
        <v>22</v>
      </c>
    </row>
    <row r="595" spans="1:18" x14ac:dyDescent="0.25">
      <c r="A595" s="40">
        <v>46134</v>
      </c>
      <c r="B595" s="28">
        <v>1</v>
      </c>
      <c r="C595" s="34" t="s">
        <v>215</v>
      </c>
      <c r="D595" s="34" t="s">
        <v>739</v>
      </c>
      <c r="E595" s="34">
        <v>13</v>
      </c>
      <c r="F595" s="34">
        <v>19</v>
      </c>
      <c r="G595" s="34">
        <v>18</v>
      </c>
      <c r="H595" s="34">
        <v>7</v>
      </c>
      <c r="I595" s="34">
        <v>16</v>
      </c>
      <c r="J595" s="34">
        <v>13</v>
      </c>
      <c r="K595" s="34">
        <v>16</v>
      </c>
      <c r="L595" s="34">
        <v>6</v>
      </c>
      <c r="M595" s="34">
        <v>10</v>
      </c>
      <c r="N595" s="34">
        <v>18</v>
      </c>
      <c r="O595" s="34">
        <v>16</v>
      </c>
      <c r="P595" s="34">
        <v>18</v>
      </c>
      <c r="Q595" s="35">
        <f t="shared" si="19"/>
        <v>170</v>
      </c>
      <c r="R595" s="4" t="s">
        <v>140</v>
      </c>
    </row>
    <row r="596" spans="1:18" x14ac:dyDescent="0.25">
      <c r="A596" s="40">
        <v>46134</v>
      </c>
      <c r="B596" s="28">
        <v>1</v>
      </c>
      <c r="C596" s="34" t="s">
        <v>184</v>
      </c>
      <c r="D596" s="34" t="s">
        <v>750</v>
      </c>
      <c r="E596" s="34">
        <v>13</v>
      </c>
      <c r="F596" s="34">
        <v>20</v>
      </c>
      <c r="G596" s="34">
        <v>20</v>
      </c>
      <c r="H596" s="34">
        <v>11</v>
      </c>
      <c r="I596" s="34">
        <v>10</v>
      </c>
      <c r="J596" s="34">
        <v>9</v>
      </c>
      <c r="K596" s="34">
        <v>21</v>
      </c>
      <c r="L596" s="34">
        <v>8</v>
      </c>
      <c r="M596" s="34">
        <v>12</v>
      </c>
      <c r="N596" s="34">
        <v>19</v>
      </c>
      <c r="O596" s="34">
        <v>11</v>
      </c>
      <c r="P596" s="34">
        <v>19</v>
      </c>
      <c r="Q596" s="35">
        <f t="shared" si="19"/>
        <v>173</v>
      </c>
      <c r="R596" s="4" t="s">
        <v>140</v>
      </c>
    </row>
    <row r="597" spans="1:18" x14ac:dyDescent="0.25">
      <c r="A597" s="40">
        <v>46134</v>
      </c>
      <c r="B597" s="28">
        <v>1</v>
      </c>
      <c r="C597" s="34" t="s">
        <v>137</v>
      </c>
      <c r="D597" s="34" t="s">
        <v>130</v>
      </c>
      <c r="E597" s="34">
        <v>16</v>
      </c>
      <c r="F597" s="34">
        <v>22</v>
      </c>
      <c r="G597" s="34">
        <v>18</v>
      </c>
      <c r="H597" s="34">
        <v>11</v>
      </c>
      <c r="I597" s="34">
        <v>15</v>
      </c>
      <c r="J597" s="34">
        <v>14</v>
      </c>
      <c r="K597" s="34">
        <v>21</v>
      </c>
      <c r="L597" s="34">
        <v>7</v>
      </c>
      <c r="M597" s="34">
        <v>11</v>
      </c>
      <c r="N597" s="34">
        <v>21</v>
      </c>
      <c r="O597" s="34">
        <v>19</v>
      </c>
      <c r="P597" s="34">
        <v>22</v>
      </c>
      <c r="Q597" s="35">
        <f t="shared" si="19"/>
        <v>197</v>
      </c>
      <c r="R597" s="4" t="s">
        <v>140</v>
      </c>
    </row>
    <row r="598" spans="1:18" x14ac:dyDescent="0.25">
      <c r="A598" s="40">
        <v>46134</v>
      </c>
      <c r="B598" s="28">
        <v>1</v>
      </c>
      <c r="C598" s="34" t="s">
        <v>135</v>
      </c>
      <c r="D598" s="34" t="s">
        <v>128</v>
      </c>
      <c r="E598" s="34">
        <v>10</v>
      </c>
      <c r="F598" s="34">
        <v>20</v>
      </c>
      <c r="G598" s="34">
        <v>19</v>
      </c>
      <c r="H598" s="34">
        <v>6</v>
      </c>
      <c r="I598" s="34">
        <v>17</v>
      </c>
      <c r="J598" s="34">
        <v>16</v>
      </c>
      <c r="K598" s="34">
        <v>15</v>
      </c>
      <c r="L598" s="34">
        <v>5</v>
      </c>
      <c r="M598" s="34">
        <v>5</v>
      </c>
      <c r="N598" s="34">
        <v>31</v>
      </c>
      <c r="O598" s="34">
        <v>19</v>
      </c>
      <c r="P598" s="34">
        <v>25</v>
      </c>
      <c r="Q598" s="35">
        <f t="shared" si="19"/>
        <v>188</v>
      </c>
      <c r="R598" s="4" t="s">
        <v>140</v>
      </c>
    </row>
    <row r="599" spans="1:18" x14ac:dyDescent="0.25">
      <c r="A599" s="40">
        <v>46134</v>
      </c>
      <c r="B599" s="28">
        <v>1</v>
      </c>
      <c r="C599" s="34" t="s">
        <v>134</v>
      </c>
      <c r="D599" s="34" t="s">
        <v>127</v>
      </c>
      <c r="E599" s="34">
        <v>5</v>
      </c>
      <c r="F599" s="34">
        <v>13</v>
      </c>
      <c r="G599" s="34">
        <v>9</v>
      </c>
      <c r="H599" s="34">
        <v>9</v>
      </c>
      <c r="I599" s="34">
        <v>16</v>
      </c>
      <c r="J599" s="34">
        <v>15</v>
      </c>
      <c r="K599" s="34">
        <v>25</v>
      </c>
      <c r="L599" s="34">
        <v>10</v>
      </c>
      <c r="M599" s="34">
        <v>24</v>
      </c>
      <c r="N599" s="34">
        <v>16</v>
      </c>
      <c r="O599" s="34">
        <v>14</v>
      </c>
      <c r="P599" s="34">
        <v>17</v>
      </c>
      <c r="Q599" s="35">
        <f t="shared" si="19"/>
        <v>173</v>
      </c>
      <c r="R599" s="4" t="s">
        <v>140</v>
      </c>
    </row>
    <row r="601" spans="1:18" x14ac:dyDescent="0.25">
      <c r="A601" s="40">
        <v>46135</v>
      </c>
      <c r="B601" s="28">
        <v>1</v>
      </c>
      <c r="C601" s="34" t="s">
        <v>100</v>
      </c>
      <c r="D601" s="34" t="s">
        <v>114</v>
      </c>
      <c r="E601" s="34">
        <v>14</v>
      </c>
      <c r="F601" s="34">
        <v>14</v>
      </c>
      <c r="G601" s="34">
        <v>11</v>
      </c>
      <c r="H601" s="34">
        <v>11</v>
      </c>
      <c r="I601" s="34">
        <v>9</v>
      </c>
      <c r="J601" s="34">
        <v>10</v>
      </c>
      <c r="K601" s="34">
        <v>14</v>
      </c>
      <c r="L601" s="34">
        <v>17</v>
      </c>
      <c r="Q601" s="35">
        <f t="shared" ref="Q601:Q626" si="20">SUM(E601:P601)</f>
        <v>100</v>
      </c>
      <c r="R601" s="4" t="s">
        <v>22</v>
      </c>
    </row>
    <row r="602" spans="1:18" x14ac:dyDescent="0.25">
      <c r="A602" s="40">
        <v>46135</v>
      </c>
      <c r="B602" s="28">
        <v>1</v>
      </c>
      <c r="C602" s="34" t="s">
        <v>197</v>
      </c>
      <c r="D602" s="34" t="s">
        <v>114</v>
      </c>
      <c r="Q602" s="35">
        <f t="shared" si="20"/>
        <v>0</v>
      </c>
      <c r="R602" s="4" t="s">
        <v>22</v>
      </c>
    </row>
    <row r="603" spans="1:18" x14ac:dyDescent="0.25">
      <c r="A603" s="40">
        <v>46135</v>
      </c>
      <c r="B603" s="28">
        <v>1</v>
      </c>
      <c r="C603" s="34" t="s">
        <v>445</v>
      </c>
      <c r="D603" s="34" t="s">
        <v>446</v>
      </c>
      <c r="E603" s="34">
        <v>13</v>
      </c>
      <c r="F603" s="34">
        <v>19</v>
      </c>
      <c r="G603" s="34">
        <v>18</v>
      </c>
      <c r="H603" s="34">
        <v>18</v>
      </c>
      <c r="I603" s="34">
        <v>6</v>
      </c>
      <c r="J603" s="34">
        <v>19</v>
      </c>
      <c r="K603" s="34">
        <v>10</v>
      </c>
      <c r="L603" s="34">
        <v>8</v>
      </c>
      <c r="M603" s="34">
        <v>9</v>
      </c>
      <c r="N603" s="34">
        <v>18</v>
      </c>
      <c r="O603" s="34">
        <v>22</v>
      </c>
      <c r="P603" s="34">
        <v>10</v>
      </c>
      <c r="Q603" s="35">
        <f t="shared" si="20"/>
        <v>170</v>
      </c>
      <c r="R603" s="4" t="s">
        <v>22</v>
      </c>
    </row>
    <row r="604" spans="1:18" x14ac:dyDescent="0.25">
      <c r="A604" s="40">
        <v>46135</v>
      </c>
      <c r="B604" s="28">
        <v>1</v>
      </c>
      <c r="C604" s="34" t="s">
        <v>111</v>
      </c>
      <c r="D604" s="34" t="s">
        <v>124</v>
      </c>
      <c r="E604" s="34">
        <v>14</v>
      </c>
      <c r="F604" s="34">
        <v>16</v>
      </c>
      <c r="G604" s="34">
        <v>18</v>
      </c>
      <c r="H604" s="34">
        <v>8</v>
      </c>
      <c r="I604" s="34">
        <v>8</v>
      </c>
      <c r="J604" s="34">
        <v>8</v>
      </c>
      <c r="K604" s="34">
        <v>12</v>
      </c>
      <c r="L604" s="34">
        <v>17</v>
      </c>
      <c r="M604" s="34">
        <v>19</v>
      </c>
      <c r="N604" s="34">
        <v>20</v>
      </c>
      <c r="O604" s="34">
        <v>22</v>
      </c>
      <c r="P604" s="34">
        <v>12</v>
      </c>
      <c r="Q604" s="35">
        <f t="shared" si="20"/>
        <v>174</v>
      </c>
      <c r="R604" s="4" t="s">
        <v>22</v>
      </c>
    </row>
    <row r="605" spans="1:18" x14ac:dyDescent="0.25">
      <c r="A605" s="40">
        <v>46135</v>
      </c>
      <c r="B605" s="28">
        <v>1</v>
      </c>
      <c r="C605" s="34" t="s">
        <v>103</v>
      </c>
      <c r="D605" s="34" t="s">
        <v>115</v>
      </c>
      <c r="E605" s="34">
        <v>8</v>
      </c>
      <c r="F605" s="34">
        <v>12</v>
      </c>
      <c r="G605" s="34">
        <v>13</v>
      </c>
      <c r="H605" s="34">
        <v>16</v>
      </c>
      <c r="I605" s="34">
        <v>5</v>
      </c>
      <c r="J605" s="34">
        <v>15</v>
      </c>
      <c r="K605" s="34">
        <v>20</v>
      </c>
      <c r="L605" s="34">
        <v>23</v>
      </c>
      <c r="M605" s="34">
        <v>19</v>
      </c>
      <c r="N605" s="34">
        <v>17</v>
      </c>
      <c r="O605" s="34">
        <v>20</v>
      </c>
      <c r="P605" s="34">
        <v>12</v>
      </c>
      <c r="Q605" s="35">
        <f t="shared" si="20"/>
        <v>180</v>
      </c>
      <c r="R605" s="4" t="s">
        <v>22</v>
      </c>
    </row>
    <row r="606" spans="1:18" x14ac:dyDescent="0.25">
      <c r="A606" s="40">
        <v>46135</v>
      </c>
      <c r="B606" s="28">
        <v>1</v>
      </c>
      <c r="C606" s="34" t="s">
        <v>102</v>
      </c>
      <c r="D606" s="34" t="s">
        <v>116</v>
      </c>
      <c r="E606" s="34">
        <v>11</v>
      </c>
      <c r="F606" s="34">
        <v>12</v>
      </c>
      <c r="G606" s="34">
        <v>14</v>
      </c>
      <c r="H606" s="34">
        <v>11</v>
      </c>
      <c r="I606" s="34">
        <v>9</v>
      </c>
      <c r="J606" s="34">
        <v>13</v>
      </c>
      <c r="K606" s="34">
        <v>19</v>
      </c>
      <c r="L606" s="34">
        <v>21</v>
      </c>
      <c r="M606" s="34">
        <v>16</v>
      </c>
      <c r="N606" s="34">
        <v>16</v>
      </c>
      <c r="O606" s="34">
        <v>22</v>
      </c>
      <c r="P606" s="34">
        <v>10</v>
      </c>
      <c r="Q606" s="35">
        <f t="shared" si="20"/>
        <v>174</v>
      </c>
      <c r="R606" s="4" t="s">
        <v>22</v>
      </c>
    </row>
    <row r="607" spans="1:18" x14ac:dyDescent="0.25">
      <c r="A607" s="40">
        <v>46135</v>
      </c>
      <c r="B607" s="28">
        <v>1</v>
      </c>
      <c r="C607" s="34" t="s">
        <v>104</v>
      </c>
      <c r="D607" s="34" t="s">
        <v>117</v>
      </c>
      <c r="E607" s="34">
        <v>5</v>
      </c>
      <c r="F607" s="34">
        <v>12</v>
      </c>
      <c r="G607" s="34">
        <v>13</v>
      </c>
      <c r="H607" s="34">
        <v>12</v>
      </c>
      <c r="I607" s="34">
        <v>6</v>
      </c>
      <c r="J607" s="34">
        <v>11</v>
      </c>
      <c r="K607" s="34">
        <v>22</v>
      </c>
      <c r="L607" s="34">
        <v>21</v>
      </c>
      <c r="M607" s="34">
        <v>16</v>
      </c>
      <c r="N607" s="34">
        <v>13</v>
      </c>
      <c r="O607" s="34">
        <v>19</v>
      </c>
      <c r="P607" s="34">
        <v>12</v>
      </c>
      <c r="Q607" s="35">
        <f t="shared" si="20"/>
        <v>162</v>
      </c>
      <c r="R607" s="4" t="s">
        <v>22</v>
      </c>
    </row>
    <row r="608" spans="1:18" x14ac:dyDescent="0.25">
      <c r="A608" s="40">
        <v>46135</v>
      </c>
      <c r="B608" s="28">
        <v>1</v>
      </c>
      <c r="C608" s="34" t="s">
        <v>105</v>
      </c>
      <c r="D608" s="34" t="s">
        <v>118</v>
      </c>
      <c r="E608" s="34">
        <v>13</v>
      </c>
      <c r="F608" s="34">
        <v>14</v>
      </c>
      <c r="G608" s="34">
        <v>19</v>
      </c>
      <c r="H608" s="34">
        <v>5</v>
      </c>
      <c r="I608" s="34">
        <v>3</v>
      </c>
      <c r="J608" s="34">
        <v>7</v>
      </c>
      <c r="K608" s="34">
        <v>14</v>
      </c>
      <c r="L608" s="34">
        <v>25</v>
      </c>
      <c r="M608" s="34">
        <v>21</v>
      </c>
      <c r="N608" s="34">
        <v>20</v>
      </c>
      <c r="O608" s="34">
        <v>27</v>
      </c>
      <c r="P608" s="34">
        <v>12</v>
      </c>
      <c r="Q608" s="35">
        <f t="shared" si="20"/>
        <v>180</v>
      </c>
      <c r="R608" s="4" t="s">
        <v>22</v>
      </c>
    </row>
    <row r="609" spans="1:18" x14ac:dyDescent="0.25">
      <c r="A609" s="40">
        <v>46135</v>
      </c>
      <c r="B609" s="28">
        <v>1</v>
      </c>
      <c r="C609" s="34" t="s">
        <v>757</v>
      </c>
      <c r="D609" s="34" t="s">
        <v>641</v>
      </c>
      <c r="E609" s="34">
        <v>18</v>
      </c>
      <c r="F609" s="34">
        <v>15</v>
      </c>
      <c r="G609" s="34">
        <v>19</v>
      </c>
      <c r="H609" s="34">
        <v>19</v>
      </c>
      <c r="I609" s="34">
        <v>10</v>
      </c>
      <c r="J609" s="34">
        <v>21</v>
      </c>
      <c r="K609" s="34">
        <v>12</v>
      </c>
      <c r="L609" s="34">
        <v>13</v>
      </c>
      <c r="Q609" s="35">
        <f t="shared" si="20"/>
        <v>127</v>
      </c>
      <c r="R609" s="4" t="s">
        <v>22</v>
      </c>
    </row>
    <row r="610" spans="1:18" x14ac:dyDescent="0.25">
      <c r="A610" s="40">
        <v>46135</v>
      </c>
      <c r="B610" s="28">
        <v>1</v>
      </c>
      <c r="C610" s="34" t="s">
        <v>106</v>
      </c>
      <c r="D610" s="34" t="s">
        <v>119</v>
      </c>
      <c r="E610" s="34">
        <v>18</v>
      </c>
      <c r="F610" s="34">
        <v>27</v>
      </c>
      <c r="G610" s="34">
        <v>24</v>
      </c>
      <c r="H610" s="34">
        <v>18</v>
      </c>
      <c r="I610" s="34">
        <v>10</v>
      </c>
      <c r="J610" s="34">
        <v>21</v>
      </c>
      <c r="K610" s="34">
        <v>22</v>
      </c>
      <c r="L610" s="34">
        <v>29</v>
      </c>
      <c r="M610" s="34">
        <v>18</v>
      </c>
      <c r="N610" s="34">
        <v>16</v>
      </c>
      <c r="O610" s="34">
        <v>16</v>
      </c>
      <c r="P610" s="34">
        <v>13</v>
      </c>
      <c r="Q610" s="35">
        <f t="shared" si="20"/>
        <v>232</v>
      </c>
      <c r="R610" s="4" t="s">
        <v>22</v>
      </c>
    </row>
    <row r="611" spans="1:18" x14ac:dyDescent="0.25">
      <c r="A611" s="40">
        <v>46135</v>
      </c>
      <c r="B611" s="28">
        <v>1</v>
      </c>
      <c r="C611" s="34" t="s">
        <v>107</v>
      </c>
      <c r="D611" s="34" t="s">
        <v>120</v>
      </c>
      <c r="E611" s="34">
        <v>20</v>
      </c>
      <c r="F611" s="34">
        <v>30</v>
      </c>
      <c r="G611" s="34">
        <v>25</v>
      </c>
      <c r="H611" s="34">
        <v>21</v>
      </c>
      <c r="I611" s="34">
        <v>7</v>
      </c>
      <c r="J611" s="34">
        <v>13</v>
      </c>
      <c r="K611" s="34">
        <v>19</v>
      </c>
      <c r="L611" s="34">
        <v>27</v>
      </c>
      <c r="M611" s="34">
        <v>17</v>
      </c>
      <c r="N611" s="34">
        <v>21</v>
      </c>
      <c r="O611" s="34">
        <v>27</v>
      </c>
      <c r="P611" s="34">
        <v>14</v>
      </c>
      <c r="Q611" s="35">
        <f t="shared" si="20"/>
        <v>241</v>
      </c>
      <c r="R611" s="4" t="s">
        <v>22</v>
      </c>
    </row>
    <row r="612" spans="1:18" x14ac:dyDescent="0.25">
      <c r="A612" s="40">
        <v>46135</v>
      </c>
      <c r="B612" s="28">
        <v>1</v>
      </c>
      <c r="C612" s="34" t="s">
        <v>485</v>
      </c>
      <c r="D612" s="34" t="s">
        <v>738</v>
      </c>
      <c r="E612" s="34">
        <v>11</v>
      </c>
      <c r="F612" s="34">
        <v>15</v>
      </c>
      <c r="G612" s="34">
        <v>15</v>
      </c>
      <c r="H612" s="34">
        <v>15</v>
      </c>
      <c r="I612" s="34">
        <v>6</v>
      </c>
      <c r="J612" s="34">
        <v>12</v>
      </c>
      <c r="K612" s="34">
        <v>22</v>
      </c>
      <c r="L612" s="34">
        <v>25</v>
      </c>
      <c r="M612" s="34">
        <v>13</v>
      </c>
      <c r="N612" s="34">
        <v>16</v>
      </c>
      <c r="O612" s="34">
        <v>25</v>
      </c>
      <c r="P612" s="34">
        <v>10</v>
      </c>
      <c r="Q612" s="35">
        <f t="shared" si="20"/>
        <v>185</v>
      </c>
      <c r="R612" s="4" t="s">
        <v>22</v>
      </c>
    </row>
    <row r="613" spans="1:18" x14ac:dyDescent="0.25">
      <c r="A613" s="40">
        <v>46135</v>
      </c>
      <c r="B613" s="28">
        <v>1</v>
      </c>
      <c r="C613" s="34" t="s">
        <v>101</v>
      </c>
      <c r="D613" s="34" t="s">
        <v>113</v>
      </c>
      <c r="E613" s="34">
        <v>12</v>
      </c>
      <c r="F613" s="34">
        <v>16</v>
      </c>
      <c r="G613" s="34">
        <v>14</v>
      </c>
      <c r="H613" s="34">
        <v>22</v>
      </c>
      <c r="I613" s="34">
        <v>8</v>
      </c>
      <c r="J613" s="34">
        <v>23</v>
      </c>
      <c r="K613" s="34">
        <v>21</v>
      </c>
      <c r="L613" s="34">
        <v>22</v>
      </c>
      <c r="M613" s="34">
        <v>17</v>
      </c>
      <c r="N613" s="34">
        <v>16</v>
      </c>
      <c r="O613" s="34">
        <v>18</v>
      </c>
      <c r="P613" s="34">
        <v>11</v>
      </c>
      <c r="Q613" s="35">
        <f t="shared" si="20"/>
        <v>200</v>
      </c>
      <c r="R613" s="4" t="s">
        <v>22</v>
      </c>
    </row>
    <row r="614" spans="1:18" x14ac:dyDescent="0.25">
      <c r="A614" s="40">
        <v>46135</v>
      </c>
      <c r="B614" s="28">
        <v>1</v>
      </c>
      <c r="C614" s="34" t="s">
        <v>362</v>
      </c>
      <c r="D614" s="34" t="s">
        <v>361</v>
      </c>
      <c r="E614" s="34">
        <v>23</v>
      </c>
      <c r="F614" s="34">
        <v>27</v>
      </c>
      <c r="G614" s="34">
        <v>27</v>
      </c>
      <c r="H614" s="34">
        <v>20</v>
      </c>
      <c r="I614" s="34">
        <v>5</v>
      </c>
      <c r="J614" s="34">
        <v>18</v>
      </c>
      <c r="K614" s="34">
        <v>21</v>
      </c>
      <c r="L614" s="34">
        <v>25</v>
      </c>
      <c r="M614" s="34">
        <v>16</v>
      </c>
      <c r="N614" s="34">
        <v>9</v>
      </c>
      <c r="O614" s="34">
        <v>19</v>
      </c>
      <c r="P614" s="34">
        <v>10</v>
      </c>
      <c r="Q614" s="35">
        <f t="shared" si="20"/>
        <v>220</v>
      </c>
      <c r="R614" s="4" t="s">
        <v>22</v>
      </c>
    </row>
    <row r="615" spans="1:18" x14ac:dyDescent="0.25">
      <c r="A615" s="40">
        <v>46135</v>
      </c>
      <c r="B615" s="28">
        <v>1</v>
      </c>
      <c r="C615" s="34" t="s">
        <v>749</v>
      </c>
      <c r="D615" s="34" t="s">
        <v>121</v>
      </c>
      <c r="E615" s="34">
        <v>16</v>
      </c>
      <c r="F615" s="34">
        <v>22</v>
      </c>
      <c r="G615" s="34">
        <v>16</v>
      </c>
      <c r="H615" s="34">
        <v>21</v>
      </c>
      <c r="I615" s="34">
        <v>7</v>
      </c>
      <c r="J615" s="34">
        <v>18</v>
      </c>
      <c r="K615" s="34">
        <v>22</v>
      </c>
      <c r="L615" s="34">
        <v>24</v>
      </c>
      <c r="M615" s="34">
        <v>18</v>
      </c>
      <c r="N615" s="34">
        <v>16</v>
      </c>
      <c r="O615" s="34">
        <v>17</v>
      </c>
      <c r="P615" s="34">
        <v>8</v>
      </c>
      <c r="Q615" s="35">
        <f t="shared" si="20"/>
        <v>205</v>
      </c>
      <c r="R615" s="4" t="s">
        <v>22</v>
      </c>
    </row>
    <row r="616" spans="1:18" x14ac:dyDescent="0.25">
      <c r="A616" s="40">
        <v>46135</v>
      </c>
      <c r="B616" s="28">
        <v>1</v>
      </c>
      <c r="C616" s="34" t="s">
        <v>110</v>
      </c>
      <c r="D616" s="34" t="s">
        <v>123</v>
      </c>
      <c r="E616" s="34">
        <v>11</v>
      </c>
      <c r="F616" s="34">
        <v>16</v>
      </c>
      <c r="G616" s="34">
        <v>12</v>
      </c>
      <c r="H616" s="34">
        <v>21</v>
      </c>
      <c r="I616" s="34">
        <v>10</v>
      </c>
      <c r="J616" s="34">
        <v>21</v>
      </c>
      <c r="K616" s="34">
        <v>21</v>
      </c>
      <c r="L616" s="34">
        <v>27</v>
      </c>
      <c r="M616" s="34">
        <v>16</v>
      </c>
      <c r="N616" s="34">
        <v>22</v>
      </c>
      <c r="O616" s="34">
        <v>23</v>
      </c>
      <c r="P616" s="34">
        <v>10</v>
      </c>
      <c r="Q616" s="35">
        <f t="shared" si="20"/>
        <v>210</v>
      </c>
      <c r="R616" s="4" t="s">
        <v>22</v>
      </c>
    </row>
    <row r="617" spans="1:18" x14ac:dyDescent="0.25">
      <c r="A617" s="40">
        <v>46135</v>
      </c>
      <c r="B617" s="28">
        <v>1</v>
      </c>
      <c r="C617" s="34" t="s">
        <v>109</v>
      </c>
      <c r="D617" s="34" t="s">
        <v>122</v>
      </c>
      <c r="E617" s="34">
        <v>13</v>
      </c>
      <c r="F617" s="34">
        <v>14</v>
      </c>
      <c r="G617" s="34">
        <v>13</v>
      </c>
      <c r="H617" s="34">
        <v>18</v>
      </c>
      <c r="I617" s="34">
        <v>11</v>
      </c>
      <c r="J617" s="34">
        <v>23</v>
      </c>
      <c r="K617" s="34">
        <v>21</v>
      </c>
      <c r="L617" s="34">
        <v>23</v>
      </c>
      <c r="M617" s="34">
        <v>16</v>
      </c>
      <c r="N617" s="34">
        <v>16</v>
      </c>
      <c r="O617" s="34">
        <v>22</v>
      </c>
      <c r="P617" s="34">
        <v>11</v>
      </c>
      <c r="Q617" s="35">
        <f t="shared" si="20"/>
        <v>201</v>
      </c>
      <c r="R617" s="4" t="s">
        <v>22</v>
      </c>
    </row>
    <row r="618" spans="1:18" x14ac:dyDescent="0.25">
      <c r="A618" s="40">
        <v>46135</v>
      </c>
      <c r="B618" s="28">
        <v>1</v>
      </c>
      <c r="C618" s="34" t="s">
        <v>640</v>
      </c>
      <c r="D618" s="34" t="s">
        <v>108</v>
      </c>
      <c r="E618" s="34">
        <v>15</v>
      </c>
      <c r="F618" s="34">
        <v>20</v>
      </c>
      <c r="G618" s="34">
        <v>18</v>
      </c>
      <c r="H618" s="34">
        <v>10</v>
      </c>
      <c r="I618" s="34">
        <v>5</v>
      </c>
      <c r="J618" s="34">
        <v>12</v>
      </c>
      <c r="K618" s="34">
        <v>17</v>
      </c>
      <c r="L618" s="34">
        <v>18</v>
      </c>
      <c r="M618" s="34">
        <v>8</v>
      </c>
      <c r="N618" s="34">
        <v>18</v>
      </c>
      <c r="O618" s="34">
        <v>17</v>
      </c>
      <c r="P618" s="34">
        <v>10</v>
      </c>
      <c r="Q618" s="35">
        <f t="shared" si="20"/>
        <v>168</v>
      </c>
      <c r="R618" s="4" t="s">
        <v>22</v>
      </c>
    </row>
    <row r="619" spans="1:18" x14ac:dyDescent="0.25">
      <c r="A619" s="40">
        <v>46135</v>
      </c>
      <c r="B619" s="28">
        <v>1</v>
      </c>
      <c r="C619" s="34" t="s">
        <v>363</v>
      </c>
      <c r="D619" s="34" t="s">
        <v>364</v>
      </c>
      <c r="E619" s="34">
        <v>12</v>
      </c>
      <c r="F619" s="34">
        <v>13</v>
      </c>
      <c r="G619" s="34">
        <v>19</v>
      </c>
      <c r="H619" s="34">
        <v>14</v>
      </c>
      <c r="I619" s="34">
        <v>8</v>
      </c>
      <c r="J619" s="34">
        <v>12</v>
      </c>
      <c r="K619" s="34">
        <v>15</v>
      </c>
      <c r="L619" s="34">
        <v>18</v>
      </c>
      <c r="M619" s="34">
        <v>11</v>
      </c>
      <c r="N619" s="34">
        <v>17</v>
      </c>
      <c r="O619" s="34">
        <v>27</v>
      </c>
      <c r="P619" s="34">
        <v>12</v>
      </c>
      <c r="Q619" s="35">
        <f t="shared" si="20"/>
        <v>178</v>
      </c>
      <c r="R619" s="4" t="s">
        <v>22</v>
      </c>
    </row>
    <row r="620" spans="1:18" x14ac:dyDescent="0.25">
      <c r="A620" s="40">
        <v>46135</v>
      </c>
      <c r="B620" s="28">
        <v>1</v>
      </c>
      <c r="C620" s="34" t="s">
        <v>395</v>
      </c>
      <c r="D620" s="34" t="s">
        <v>396</v>
      </c>
      <c r="E620" s="34">
        <v>11</v>
      </c>
      <c r="F620" s="34">
        <v>14</v>
      </c>
      <c r="G620" s="34">
        <v>12</v>
      </c>
      <c r="H620" s="34">
        <v>20</v>
      </c>
      <c r="I620" s="34">
        <v>12</v>
      </c>
      <c r="J620" s="34">
        <v>25</v>
      </c>
      <c r="K620" s="34">
        <v>21</v>
      </c>
      <c r="L620" s="34">
        <v>29</v>
      </c>
      <c r="M620" s="34">
        <v>20</v>
      </c>
      <c r="N620" s="34">
        <v>19</v>
      </c>
      <c r="O620" s="34">
        <v>20</v>
      </c>
      <c r="P620" s="34">
        <v>9</v>
      </c>
      <c r="Q620" s="35">
        <f t="shared" si="20"/>
        <v>212</v>
      </c>
      <c r="R620" s="4" t="s">
        <v>22</v>
      </c>
    </row>
    <row r="621" spans="1:18" x14ac:dyDescent="0.25">
      <c r="A621" s="40">
        <v>46135</v>
      </c>
      <c r="B621" s="28">
        <v>1</v>
      </c>
      <c r="C621" s="34" t="s">
        <v>641</v>
      </c>
      <c r="D621" s="34" t="s">
        <v>642</v>
      </c>
      <c r="Q621" s="35">
        <f t="shared" si="20"/>
        <v>0</v>
      </c>
      <c r="R621" s="4" t="s">
        <v>22</v>
      </c>
    </row>
    <row r="622" spans="1:18" x14ac:dyDescent="0.25">
      <c r="A622" s="40">
        <v>46135</v>
      </c>
      <c r="B622" s="28">
        <v>1</v>
      </c>
      <c r="C622" s="34" t="s">
        <v>215</v>
      </c>
      <c r="D622" s="34" t="s">
        <v>739</v>
      </c>
      <c r="E622" s="34">
        <v>13</v>
      </c>
      <c r="F622" s="34">
        <v>13</v>
      </c>
      <c r="G622" s="34">
        <v>16</v>
      </c>
      <c r="H622" s="34">
        <v>21</v>
      </c>
      <c r="I622" s="34">
        <v>8</v>
      </c>
      <c r="J622" s="34">
        <v>19</v>
      </c>
      <c r="K622" s="34">
        <v>11</v>
      </c>
      <c r="L622" s="34">
        <v>9</v>
      </c>
      <c r="M622" s="34">
        <v>6</v>
      </c>
      <c r="N622" s="34">
        <v>18</v>
      </c>
      <c r="O622" s="34">
        <v>19</v>
      </c>
      <c r="P622" s="34">
        <v>6</v>
      </c>
      <c r="Q622" s="35">
        <f t="shared" si="20"/>
        <v>159</v>
      </c>
      <c r="R622" s="4" t="s">
        <v>140</v>
      </c>
    </row>
    <row r="623" spans="1:18" x14ac:dyDescent="0.25">
      <c r="A623" s="40">
        <v>46135</v>
      </c>
      <c r="B623" s="28">
        <v>1</v>
      </c>
      <c r="C623" s="34" t="s">
        <v>184</v>
      </c>
      <c r="D623" s="34" t="s">
        <v>750</v>
      </c>
      <c r="E623" s="34">
        <v>10</v>
      </c>
      <c r="F623" s="34">
        <v>13</v>
      </c>
      <c r="G623" s="34">
        <v>9</v>
      </c>
      <c r="H623" s="34">
        <v>18</v>
      </c>
      <c r="I623" s="34">
        <v>12</v>
      </c>
      <c r="J623" s="34">
        <v>23</v>
      </c>
      <c r="K623" s="34">
        <v>15</v>
      </c>
      <c r="L623" s="34">
        <v>24</v>
      </c>
      <c r="M623" s="34">
        <v>12</v>
      </c>
      <c r="N623" s="34">
        <v>15</v>
      </c>
      <c r="O623" s="34">
        <v>16</v>
      </c>
      <c r="P623" s="34">
        <v>8</v>
      </c>
      <c r="Q623" s="35">
        <f t="shared" si="20"/>
        <v>175</v>
      </c>
      <c r="R623" s="4" t="s">
        <v>140</v>
      </c>
    </row>
    <row r="624" spans="1:18" x14ac:dyDescent="0.25">
      <c r="A624" s="40">
        <v>46135</v>
      </c>
      <c r="B624" s="28">
        <v>1</v>
      </c>
      <c r="C624" s="34" t="s">
        <v>137</v>
      </c>
      <c r="D624" s="34" t="s">
        <v>130</v>
      </c>
      <c r="E624" s="34">
        <v>11</v>
      </c>
      <c r="F624" s="34">
        <v>16</v>
      </c>
      <c r="G624" s="34">
        <v>18</v>
      </c>
      <c r="H624" s="34">
        <v>23</v>
      </c>
      <c r="I624" s="34">
        <v>10</v>
      </c>
      <c r="J624" s="34">
        <v>22</v>
      </c>
      <c r="K624" s="34">
        <v>13</v>
      </c>
      <c r="L624" s="34">
        <v>14</v>
      </c>
      <c r="M624" s="34">
        <v>8</v>
      </c>
      <c r="N624" s="34">
        <v>15</v>
      </c>
      <c r="O624" s="34">
        <v>23</v>
      </c>
      <c r="P624" s="34">
        <v>8</v>
      </c>
      <c r="Q624" s="35">
        <f t="shared" si="20"/>
        <v>181</v>
      </c>
      <c r="R624" s="4" t="s">
        <v>140</v>
      </c>
    </row>
    <row r="625" spans="1:18" x14ac:dyDescent="0.25">
      <c r="A625" s="40">
        <v>46135</v>
      </c>
      <c r="B625" s="28">
        <v>1</v>
      </c>
      <c r="C625" s="34" t="s">
        <v>135</v>
      </c>
      <c r="D625" s="34" t="s">
        <v>128</v>
      </c>
      <c r="E625" s="34">
        <v>21</v>
      </c>
      <c r="F625" s="34">
        <v>25</v>
      </c>
      <c r="G625" s="34">
        <v>21</v>
      </c>
      <c r="H625" s="34">
        <v>23</v>
      </c>
      <c r="I625" s="34">
        <v>8</v>
      </c>
      <c r="J625" s="34">
        <v>14</v>
      </c>
      <c r="K625" s="34">
        <v>21</v>
      </c>
      <c r="L625" s="34">
        <v>26</v>
      </c>
      <c r="M625" s="34">
        <v>18</v>
      </c>
      <c r="N625" s="34">
        <v>9</v>
      </c>
      <c r="O625" s="34">
        <v>18</v>
      </c>
      <c r="P625" s="34">
        <v>15</v>
      </c>
      <c r="Q625" s="35">
        <f t="shared" si="20"/>
        <v>219</v>
      </c>
      <c r="R625" s="4" t="s">
        <v>140</v>
      </c>
    </row>
    <row r="626" spans="1:18" x14ac:dyDescent="0.25">
      <c r="A626" s="40">
        <v>46135</v>
      </c>
      <c r="B626" s="28">
        <v>1</v>
      </c>
      <c r="C626" s="34" t="s">
        <v>134</v>
      </c>
      <c r="D626" s="34" t="s">
        <v>127</v>
      </c>
      <c r="E626" s="34">
        <v>13</v>
      </c>
      <c r="F626" s="34">
        <v>18</v>
      </c>
      <c r="G626" s="34">
        <v>20</v>
      </c>
      <c r="H626" s="34">
        <v>9</v>
      </c>
      <c r="I626" s="34">
        <v>7</v>
      </c>
      <c r="J626" s="34">
        <v>7</v>
      </c>
      <c r="K626" s="34">
        <v>12</v>
      </c>
      <c r="L626" s="34">
        <v>15</v>
      </c>
      <c r="M626" s="34">
        <v>11</v>
      </c>
      <c r="N626" s="34">
        <v>22</v>
      </c>
      <c r="O626" s="34">
        <v>24</v>
      </c>
      <c r="P626" s="34">
        <v>12</v>
      </c>
      <c r="Q626" s="35">
        <f t="shared" si="20"/>
        <v>170</v>
      </c>
      <c r="R626" s="4" t="s">
        <v>140</v>
      </c>
    </row>
    <row r="628" spans="1:18" x14ac:dyDescent="0.25">
      <c r="A628" s="40">
        <v>46136</v>
      </c>
      <c r="B628" s="28">
        <v>1</v>
      </c>
      <c r="C628" s="34" t="s">
        <v>100</v>
      </c>
      <c r="D628" s="34" t="s">
        <v>114</v>
      </c>
      <c r="E628" s="34">
        <v>14</v>
      </c>
      <c r="F628" s="34">
        <v>10</v>
      </c>
      <c r="G628" s="34">
        <v>15</v>
      </c>
      <c r="H628" s="34">
        <v>27</v>
      </c>
      <c r="I628" s="34">
        <v>13</v>
      </c>
      <c r="J628" s="34">
        <v>33</v>
      </c>
      <c r="K628" s="34">
        <v>21</v>
      </c>
      <c r="L628" s="34">
        <v>23</v>
      </c>
      <c r="M628" s="34">
        <v>14</v>
      </c>
      <c r="N628" s="34">
        <v>36</v>
      </c>
      <c r="O628" s="34">
        <v>33</v>
      </c>
      <c r="P628" s="34">
        <v>29</v>
      </c>
      <c r="Q628" s="35">
        <f t="shared" ref="Q628:Q653" si="21">SUM(E628:P628)</f>
        <v>268</v>
      </c>
      <c r="R628" s="4" t="s">
        <v>22</v>
      </c>
    </row>
    <row r="629" spans="1:18" x14ac:dyDescent="0.25">
      <c r="A629" s="40">
        <v>46136</v>
      </c>
      <c r="B629" s="28">
        <v>1</v>
      </c>
      <c r="C629" s="34" t="s">
        <v>197</v>
      </c>
      <c r="D629" s="34" t="s">
        <v>114</v>
      </c>
      <c r="Q629" s="35">
        <f t="shared" si="21"/>
        <v>0</v>
      </c>
      <c r="R629" s="4" t="s">
        <v>22</v>
      </c>
    </row>
    <row r="630" spans="1:18" x14ac:dyDescent="0.25">
      <c r="A630" s="40">
        <v>46136</v>
      </c>
      <c r="B630" s="28">
        <v>1</v>
      </c>
      <c r="C630" s="34" t="s">
        <v>445</v>
      </c>
      <c r="D630" s="34" t="s">
        <v>446</v>
      </c>
      <c r="E630" s="34">
        <v>8</v>
      </c>
      <c r="F630" s="34">
        <v>6</v>
      </c>
      <c r="G630" s="34">
        <v>5</v>
      </c>
      <c r="H630" s="34">
        <v>9</v>
      </c>
      <c r="I630" s="34">
        <v>3</v>
      </c>
      <c r="J630" s="34">
        <v>13</v>
      </c>
      <c r="K630" s="34">
        <v>19</v>
      </c>
      <c r="L630" s="34">
        <v>20</v>
      </c>
      <c r="M630" s="34">
        <v>13</v>
      </c>
      <c r="N630" s="34">
        <v>11</v>
      </c>
      <c r="O630" s="34">
        <v>12</v>
      </c>
      <c r="P630" s="34">
        <v>13</v>
      </c>
      <c r="Q630" s="35">
        <f t="shared" si="21"/>
        <v>132</v>
      </c>
      <c r="R630" s="4" t="s">
        <v>22</v>
      </c>
    </row>
    <row r="631" spans="1:18" x14ac:dyDescent="0.25">
      <c r="A631" s="40">
        <v>46136</v>
      </c>
      <c r="B631" s="28">
        <v>1</v>
      </c>
      <c r="C631" s="34" t="s">
        <v>111</v>
      </c>
      <c r="D631" s="34" t="s">
        <v>124</v>
      </c>
      <c r="E631" s="34">
        <v>4</v>
      </c>
      <c r="F631" s="34">
        <v>9</v>
      </c>
      <c r="G631" s="34">
        <v>14</v>
      </c>
      <c r="H631" s="34">
        <v>18</v>
      </c>
      <c r="I631" s="34">
        <v>8</v>
      </c>
      <c r="J631" s="34">
        <v>19</v>
      </c>
      <c r="K631" s="34">
        <v>15</v>
      </c>
      <c r="L631" s="34">
        <v>6</v>
      </c>
      <c r="M631" s="34">
        <v>7</v>
      </c>
      <c r="N631" s="34">
        <v>25</v>
      </c>
      <c r="O631" s="34">
        <v>21</v>
      </c>
      <c r="P631" s="34">
        <v>22</v>
      </c>
      <c r="Q631" s="35">
        <f t="shared" si="21"/>
        <v>168</v>
      </c>
      <c r="R631" s="4" t="s">
        <v>22</v>
      </c>
    </row>
    <row r="632" spans="1:18" x14ac:dyDescent="0.25">
      <c r="A632" s="40">
        <v>46136</v>
      </c>
      <c r="B632" s="28">
        <v>1</v>
      </c>
      <c r="C632" s="34" t="s">
        <v>103</v>
      </c>
      <c r="D632" s="34" t="s">
        <v>115</v>
      </c>
      <c r="E632" s="34">
        <v>12</v>
      </c>
      <c r="F632" s="34">
        <v>15</v>
      </c>
      <c r="G632" s="34">
        <v>19</v>
      </c>
      <c r="H632" s="34">
        <v>15</v>
      </c>
      <c r="I632" s="34">
        <v>6</v>
      </c>
      <c r="J632" s="34">
        <v>20</v>
      </c>
      <c r="K632" s="34">
        <v>22</v>
      </c>
      <c r="L632" s="34">
        <v>20</v>
      </c>
      <c r="M632" s="34">
        <v>18</v>
      </c>
      <c r="N632" s="34">
        <v>35</v>
      </c>
      <c r="O632" s="34">
        <v>32</v>
      </c>
      <c r="P632" s="34">
        <v>35</v>
      </c>
      <c r="Q632" s="35">
        <f t="shared" si="21"/>
        <v>249</v>
      </c>
      <c r="R632" s="4" t="s">
        <v>22</v>
      </c>
    </row>
    <row r="633" spans="1:18" x14ac:dyDescent="0.25">
      <c r="A633" s="40">
        <v>46136</v>
      </c>
      <c r="B633" s="28">
        <v>1</v>
      </c>
      <c r="C633" s="34" t="s">
        <v>102</v>
      </c>
      <c r="D633" s="34" t="s">
        <v>116</v>
      </c>
      <c r="E633" s="34">
        <v>15</v>
      </c>
      <c r="F633" s="34">
        <v>19</v>
      </c>
      <c r="G633" s="34">
        <v>19</v>
      </c>
      <c r="H633" s="34">
        <v>17</v>
      </c>
      <c r="I633" s="34">
        <v>6</v>
      </c>
      <c r="J633" s="34">
        <v>15</v>
      </c>
      <c r="K633" s="34">
        <v>23</v>
      </c>
      <c r="L633" s="34">
        <v>25</v>
      </c>
      <c r="M633" s="34">
        <v>15</v>
      </c>
      <c r="N633" s="34">
        <v>28</v>
      </c>
      <c r="O633" s="34">
        <v>19</v>
      </c>
      <c r="P633" s="34">
        <v>24</v>
      </c>
      <c r="Q633" s="35">
        <f t="shared" si="21"/>
        <v>225</v>
      </c>
      <c r="R633" s="4" t="s">
        <v>22</v>
      </c>
    </row>
    <row r="634" spans="1:18" x14ac:dyDescent="0.25">
      <c r="A634" s="40">
        <v>46136</v>
      </c>
      <c r="B634" s="28">
        <v>1</v>
      </c>
      <c r="C634" s="34" t="s">
        <v>104</v>
      </c>
      <c r="D634" s="34" t="s">
        <v>117</v>
      </c>
      <c r="E634" s="34">
        <v>11</v>
      </c>
      <c r="F634" s="34">
        <v>12</v>
      </c>
      <c r="G634" s="34">
        <v>17</v>
      </c>
      <c r="H634" s="34">
        <v>14</v>
      </c>
      <c r="I634" s="34">
        <v>6</v>
      </c>
      <c r="J634" s="34">
        <v>15</v>
      </c>
      <c r="K634" s="34">
        <v>23</v>
      </c>
      <c r="L634" s="34">
        <v>18</v>
      </c>
      <c r="M634" s="34">
        <v>16</v>
      </c>
      <c r="N634" s="34">
        <v>20</v>
      </c>
      <c r="O634" s="34">
        <v>18</v>
      </c>
      <c r="P634" s="34">
        <v>28</v>
      </c>
      <c r="Q634" s="35">
        <f t="shared" si="21"/>
        <v>198</v>
      </c>
      <c r="R634" s="4" t="s">
        <v>22</v>
      </c>
    </row>
    <row r="635" spans="1:18" x14ac:dyDescent="0.25">
      <c r="A635" s="40">
        <v>46136</v>
      </c>
      <c r="B635" s="28">
        <v>1</v>
      </c>
      <c r="C635" s="34" t="s">
        <v>105</v>
      </c>
      <c r="D635" s="34" t="s">
        <v>118</v>
      </c>
      <c r="E635" s="34">
        <v>13</v>
      </c>
      <c r="F635" s="34">
        <v>8</v>
      </c>
      <c r="G635" s="34">
        <v>15</v>
      </c>
      <c r="H635" s="34">
        <v>21</v>
      </c>
      <c r="I635" s="34">
        <v>10</v>
      </c>
      <c r="J635" s="34">
        <v>25</v>
      </c>
      <c r="K635" s="34">
        <v>21</v>
      </c>
      <c r="L635" s="34">
        <v>21</v>
      </c>
      <c r="M635" s="34">
        <v>11</v>
      </c>
      <c r="N635" s="34">
        <v>33</v>
      </c>
      <c r="O635" s="34">
        <v>28</v>
      </c>
      <c r="P635" s="34">
        <v>30</v>
      </c>
      <c r="Q635" s="35">
        <f t="shared" si="21"/>
        <v>236</v>
      </c>
      <c r="R635" s="4" t="s">
        <v>22</v>
      </c>
    </row>
    <row r="636" spans="1:18" x14ac:dyDescent="0.25">
      <c r="A636" s="40">
        <v>46136</v>
      </c>
      <c r="B636" s="28">
        <v>1</v>
      </c>
      <c r="C636" s="34" t="s">
        <v>757</v>
      </c>
      <c r="D636" s="34" t="s">
        <v>641</v>
      </c>
      <c r="E636" s="34">
        <v>11</v>
      </c>
      <c r="F636" s="34">
        <v>10</v>
      </c>
      <c r="G636" s="34">
        <v>8</v>
      </c>
      <c r="H636" s="34">
        <v>15</v>
      </c>
      <c r="I636" s="34">
        <v>8</v>
      </c>
      <c r="J636" s="34">
        <v>20</v>
      </c>
      <c r="K636" s="34">
        <v>20</v>
      </c>
      <c r="L636" s="34">
        <v>8</v>
      </c>
      <c r="Q636" s="35">
        <f t="shared" si="21"/>
        <v>100</v>
      </c>
      <c r="R636" s="4" t="s">
        <v>22</v>
      </c>
    </row>
    <row r="637" spans="1:18" x14ac:dyDescent="0.25">
      <c r="A637" s="40">
        <v>46136</v>
      </c>
      <c r="B637" s="28">
        <v>1</v>
      </c>
      <c r="C637" s="34" t="s">
        <v>106</v>
      </c>
      <c r="D637" s="34" t="s">
        <v>119</v>
      </c>
      <c r="E637" s="34">
        <v>17</v>
      </c>
      <c r="F637" s="34">
        <v>20</v>
      </c>
      <c r="G637" s="34">
        <v>15</v>
      </c>
      <c r="H637" s="34">
        <v>21</v>
      </c>
      <c r="I637" s="34">
        <v>9</v>
      </c>
      <c r="J637" s="34">
        <v>29</v>
      </c>
      <c r="K637" s="34">
        <v>12</v>
      </c>
      <c r="L637" s="34">
        <v>16</v>
      </c>
      <c r="M637" s="34">
        <v>15</v>
      </c>
      <c r="N637" s="34">
        <v>27</v>
      </c>
      <c r="O637" s="34">
        <v>21</v>
      </c>
      <c r="P637" s="34">
        <v>21</v>
      </c>
      <c r="Q637" s="35">
        <f t="shared" si="21"/>
        <v>223</v>
      </c>
      <c r="R637" s="4" t="s">
        <v>22</v>
      </c>
    </row>
    <row r="638" spans="1:18" x14ac:dyDescent="0.25">
      <c r="A638" s="40">
        <v>46136</v>
      </c>
      <c r="B638" s="28">
        <v>1</v>
      </c>
      <c r="C638" s="34" t="s">
        <v>107</v>
      </c>
      <c r="D638" s="34" t="s">
        <v>120</v>
      </c>
      <c r="E638" s="34">
        <v>14</v>
      </c>
      <c r="F638" s="34">
        <v>11</v>
      </c>
      <c r="G638" s="34">
        <v>11</v>
      </c>
      <c r="H638" s="34">
        <v>34</v>
      </c>
      <c r="I638" s="34">
        <v>14</v>
      </c>
      <c r="J638" s="34">
        <v>30</v>
      </c>
      <c r="K638" s="34">
        <v>6</v>
      </c>
      <c r="Q638" s="35">
        <f t="shared" si="21"/>
        <v>120</v>
      </c>
      <c r="R638" s="4" t="s">
        <v>22</v>
      </c>
    </row>
    <row r="639" spans="1:18" x14ac:dyDescent="0.25">
      <c r="A639" s="40">
        <v>46136</v>
      </c>
      <c r="B639" s="28">
        <v>1</v>
      </c>
      <c r="C639" s="34" t="s">
        <v>485</v>
      </c>
      <c r="D639" s="34" t="s">
        <v>738</v>
      </c>
      <c r="E639" s="34">
        <v>14</v>
      </c>
      <c r="F639" s="34">
        <v>17</v>
      </c>
      <c r="G639" s="34">
        <v>19</v>
      </c>
      <c r="H639" s="34">
        <v>14</v>
      </c>
      <c r="I639" s="34">
        <v>4</v>
      </c>
      <c r="J639" s="34">
        <v>13</v>
      </c>
      <c r="K639" s="34">
        <v>20</v>
      </c>
      <c r="L639" s="34">
        <v>25</v>
      </c>
      <c r="M639" s="34">
        <v>12</v>
      </c>
      <c r="N639" s="34">
        <v>30</v>
      </c>
      <c r="O639" s="34">
        <v>29</v>
      </c>
      <c r="P639" s="34">
        <v>29</v>
      </c>
      <c r="Q639" s="35">
        <f t="shared" si="21"/>
        <v>226</v>
      </c>
      <c r="R639" s="4" t="s">
        <v>22</v>
      </c>
    </row>
    <row r="640" spans="1:18" x14ac:dyDescent="0.25">
      <c r="A640" s="40">
        <v>46136</v>
      </c>
      <c r="B640" s="28">
        <v>1</v>
      </c>
      <c r="C640" s="34" t="s">
        <v>101</v>
      </c>
      <c r="D640" s="34" t="s">
        <v>113</v>
      </c>
      <c r="E640" s="34">
        <v>12</v>
      </c>
      <c r="F640" s="34">
        <v>14</v>
      </c>
      <c r="G640" s="34">
        <v>14</v>
      </c>
      <c r="H640" s="34">
        <v>24</v>
      </c>
      <c r="I640" s="34">
        <v>13</v>
      </c>
      <c r="J640" s="34">
        <v>25</v>
      </c>
      <c r="K640" s="34">
        <v>23</v>
      </c>
      <c r="L640" s="34">
        <v>20</v>
      </c>
      <c r="M640" s="34">
        <v>15</v>
      </c>
      <c r="N640" s="34">
        <v>20</v>
      </c>
      <c r="O640" s="34">
        <v>16</v>
      </c>
      <c r="P640" s="34">
        <v>22</v>
      </c>
      <c r="Q640" s="35">
        <f t="shared" si="21"/>
        <v>218</v>
      </c>
      <c r="R640" s="4" t="s">
        <v>22</v>
      </c>
    </row>
    <row r="641" spans="1:18" x14ac:dyDescent="0.25">
      <c r="A641" s="40">
        <v>46136</v>
      </c>
      <c r="B641" s="28">
        <v>1</v>
      </c>
      <c r="C641" s="34" t="s">
        <v>362</v>
      </c>
      <c r="D641" s="34" t="s">
        <v>361</v>
      </c>
      <c r="E641" s="34">
        <v>8</v>
      </c>
      <c r="F641" s="34">
        <v>10</v>
      </c>
      <c r="G641" s="34">
        <v>10</v>
      </c>
      <c r="H641" s="34">
        <v>26</v>
      </c>
      <c r="I641" s="34">
        <v>8</v>
      </c>
      <c r="J641" s="34">
        <v>20</v>
      </c>
      <c r="K641" s="34">
        <v>19</v>
      </c>
      <c r="L641" s="34">
        <v>18</v>
      </c>
      <c r="M641" s="34">
        <v>10</v>
      </c>
      <c r="N641" s="34">
        <v>22</v>
      </c>
      <c r="O641" s="34">
        <v>22</v>
      </c>
      <c r="P641" s="34">
        <v>18</v>
      </c>
      <c r="Q641" s="35">
        <f t="shared" si="21"/>
        <v>191</v>
      </c>
      <c r="R641" s="4" t="s">
        <v>22</v>
      </c>
    </row>
    <row r="642" spans="1:18" x14ac:dyDescent="0.25">
      <c r="A642" s="40">
        <v>46136</v>
      </c>
      <c r="B642" s="28">
        <v>1</v>
      </c>
      <c r="C642" s="34" t="s">
        <v>749</v>
      </c>
      <c r="D642" s="34" t="s">
        <v>121</v>
      </c>
      <c r="E642" s="34">
        <v>13</v>
      </c>
      <c r="F642" s="34">
        <v>18</v>
      </c>
      <c r="G642" s="34">
        <v>13</v>
      </c>
      <c r="H642" s="34">
        <v>24</v>
      </c>
      <c r="I642" s="34">
        <v>8</v>
      </c>
      <c r="J642" s="34">
        <v>20</v>
      </c>
      <c r="K642" s="34">
        <v>19</v>
      </c>
      <c r="L642" s="34">
        <v>16</v>
      </c>
      <c r="M642" s="34">
        <v>12</v>
      </c>
      <c r="N642" s="34">
        <v>23</v>
      </c>
      <c r="O642" s="34">
        <v>19</v>
      </c>
      <c r="P642" s="34">
        <v>20</v>
      </c>
      <c r="Q642" s="35">
        <f t="shared" si="21"/>
        <v>205</v>
      </c>
      <c r="R642" s="4" t="s">
        <v>22</v>
      </c>
    </row>
    <row r="643" spans="1:18" x14ac:dyDescent="0.25">
      <c r="A643" s="40">
        <v>46136</v>
      </c>
      <c r="B643" s="28">
        <v>1</v>
      </c>
      <c r="C643" s="34" t="s">
        <v>110</v>
      </c>
      <c r="D643" s="34" t="s">
        <v>123</v>
      </c>
      <c r="E643" s="34">
        <v>12</v>
      </c>
      <c r="F643" s="34">
        <v>14</v>
      </c>
      <c r="G643" s="34">
        <v>15</v>
      </c>
      <c r="H643" s="34">
        <v>23</v>
      </c>
      <c r="I643" s="34">
        <v>6</v>
      </c>
      <c r="J643" s="34">
        <v>23</v>
      </c>
      <c r="K643" s="34">
        <v>25</v>
      </c>
      <c r="L643" s="34">
        <v>30</v>
      </c>
      <c r="M643" s="34">
        <v>14</v>
      </c>
      <c r="N643" s="34">
        <v>22</v>
      </c>
      <c r="O643" s="34">
        <v>24</v>
      </c>
      <c r="P643" s="34">
        <v>25</v>
      </c>
      <c r="Q643" s="35">
        <f t="shared" si="21"/>
        <v>233</v>
      </c>
      <c r="R643" s="4" t="s">
        <v>22</v>
      </c>
    </row>
    <row r="644" spans="1:18" x14ac:dyDescent="0.25">
      <c r="A644" s="40">
        <v>46136</v>
      </c>
      <c r="B644" s="28">
        <v>1</v>
      </c>
      <c r="C644" s="34" t="s">
        <v>109</v>
      </c>
      <c r="D644" s="34" t="s">
        <v>122</v>
      </c>
      <c r="E644" s="34">
        <v>14</v>
      </c>
      <c r="F644" s="34">
        <v>15</v>
      </c>
      <c r="G644" s="34">
        <v>17</v>
      </c>
      <c r="H644" s="34">
        <v>25</v>
      </c>
      <c r="I644" s="34">
        <v>12</v>
      </c>
      <c r="J644" s="34">
        <v>23</v>
      </c>
      <c r="K644" s="34">
        <v>27</v>
      </c>
      <c r="L644" s="34">
        <v>30</v>
      </c>
      <c r="M644" s="34">
        <v>16</v>
      </c>
      <c r="N644" s="34">
        <v>21</v>
      </c>
      <c r="O644" s="34">
        <v>13</v>
      </c>
      <c r="P644" s="34">
        <v>24</v>
      </c>
      <c r="Q644" s="35">
        <f t="shared" si="21"/>
        <v>237</v>
      </c>
      <c r="R644" s="4" t="s">
        <v>22</v>
      </c>
    </row>
    <row r="645" spans="1:18" x14ac:dyDescent="0.25">
      <c r="A645" s="40">
        <v>46136</v>
      </c>
      <c r="B645" s="28">
        <v>1</v>
      </c>
      <c r="C645" s="34" t="s">
        <v>640</v>
      </c>
      <c r="D645" s="34" t="s">
        <v>108</v>
      </c>
      <c r="Q645" s="35">
        <f t="shared" si="21"/>
        <v>0</v>
      </c>
      <c r="R645" s="4" t="s">
        <v>22</v>
      </c>
    </row>
    <row r="646" spans="1:18" x14ac:dyDescent="0.25">
      <c r="A646" s="40">
        <v>46136</v>
      </c>
      <c r="B646" s="28">
        <v>1</v>
      </c>
      <c r="C646" s="34" t="s">
        <v>363</v>
      </c>
      <c r="D646" s="34" t="s">
        <v>364</v>
      </c>
      <c r="E646" s="34">
        <v>18</v>
      </c>
      <c r="F646" s="34">
        <v>18</v>
      </c>
      <c r="G646" s="34">
        <v>26</v>
      </c>
      <c r="H646" s="34">
        <v>16</v>
      </c>
      <c r="I646" s="34">
        <v>7</v>
      </c>
      <c r="J646" s="34">
        <v>13</v>
      </c>
      <c r="K646" s="34">
        <v>18</v>
      </c>
      <c r="L646" s="34">
        <v>20</v>
      </c>
      <c r="M646" s="34">
        <v>13</v>
      </c>
      <c r="N646" s="34">
        <v>33</v>
      </c>
      <c r="O646" s="34">
        <v>30</v>
      </c>
      <c r="P646" s="34">
        <v>25</v>
      </c>
      <c r="Q646" s="35">
        <f t="shared" si="21"/>
        <v>237</v>
      </c>
      <c r="R646" s="4" t="s">
        <v>22</v>
      </c>
    </row>
    <row r="647" spans="1:18" x14ac:dyDescent="0.25">
      <c r="A647" s="40">
        <v>46136</v>
      </c>
      <c r="B647" s="28">
        <v>1</v>
      </c>
      <c r="C647" s="34" t="s">
        <v>395</v>
      </c>
      <c r="D647" s="34" t="s">
        <v>396</v>
      </c>
      <c r="F647" s="34">
        <v>3</v>
      </c>
      <c r="G647" s="34">
        <v>13</v>
      </c>
      <c r="H647" s="34">
        <v>23</v>
      </c>
      <c r="I647" s="34">
        <v>7</v>
      </c>
      <c r="J647" s="34">
        <v>26</v>
      </c>
      <c r="K647" s="34">
        <v>25</v>
      </c>
      <c r="L647" s="34">
        <v>26</v>
      </c>
      <c r="M647" s="34">
        <v>21</v>
      </c>
      <c r="N647" s="34">
        <v>26</v>
      </c>
      <c r="O647" s="34">
        <v>27</v>
      </c>
      <c r="P647" s="34">
        <v>3</v>
      </c>
      <c r="Q647" s="35">
        <f t="shared" si="21"/>
        <v>200</v>
      </c>
      <c r="R647" s="4" t="s">
        <v>22</v>
      </c>
    </row>
    <row r="648" spans="1:18" x14ac:dyDescent="0.25">
      <c r="A648" s="40">
        <v>46136</v>
      </c>
      <c r="B648" s="28">
        <v>1</v>
      </c>
      <c r="C648" s="34" t="s">
        <v>641</v>
      </c>
      <c r="D648" s="34" t="s">
        <v>642</v>
      </c>
      <c r="Q648" s="35">
        <f t="shared" si="21"/>
        <v>0</v>
      </c>
      <c r="R648" s="4" t="s">
        <v>22</v>
      </c>
    </row>
    <row r="649" spans="1:18" x14ac:dyDescent="0.25">
      <c r="A649" s="40">
        <v>46136</v>
      </c>
      <c r="B649" s="28">
        <v>1</v>
      </c>
      <c r="C649" s="34" t="s">
        <v>215</v>
      </c>
      <c r="D649" s="34" t="s">
        <v>739</v>
      </c>
      <c r="E649" s="34">
        <v>11</v>
      </c>
      <c r="F649" s="34">
        <v>15</v>
      </c>
      <c r="G649" s="34">
        <v>15</v>
      </c>
      <c r="H649" s="34">
        <v>14</v>
      </c>
      <c r="I649" s="34">
        <v>6</v>
      </c>
      <c r="J649" s="34">
        <v>13</v>
      </c>
      <c r="K649" s="34">
        <v>18</v>
      </c>
      <c r="L649" s="34">
        <v>20</v>
      </c>
      <c r="M649" s="34">
        <v>12</v>
      </c>
      <c r="N649" s="34">
        <v>14</v>
      </c>
      <c r="O649" s="34">
        <v>15</v>
      </c>
      <c r="P649" s="34">
        <v>17</v>
      </c>
      <c r="Q649" s="35">
        <f t="shared" si="21"/>
        <v>170</v>
      </c>
      <c r="R649" s="4" t="s">
        <v>140</v>
      </c>
    </row>
    <row r="650" spans="1:18" x14ac:dyDescent="0.25">
      <c r="A650" s="40">
        <v>46136</v>
      </c>
      <c r="B650" s="28">
        <v>1</v>
      </c>
      <c r="C650" s="34" t="s">
        <v>184</v>
      </c>
      <c r="D650" s="34" t="s">
        <v>750</v>
      </c>
      <c r="Q650" s="35">
        <f t="shared" si="21"/>
        <v>0</v>
      </c>
      <c r="R650" s="4" t="s">
        <v>140</v>
      </c>
    </row>
    <row r="651" spans="1:18" x14ac:dyDescent="0.25">
      <c r="A651" s="40">
        <v>46136</v>
      </c>
      <c r="B651" s="28">
        <v>1</v>
      </c>
      <c r="C651" s="34" t="s">
        <v>137</v>
      </c>
      <c r="D651" s="34" t="s">
        <v>130</v>
      </c>
      <c r="E651" s="34">
        <v>13</v>
      </c>
      <c r="F651" s="34">
        <v>18</v>
      </c>
      <c r="G651" s="34">
        <v>20</v>
      </c>
      <c r="H651" s="34">
        <v>12</v>
      </c>
      <c r="I651" s="34">
        <v>5</v>
      </c>
      <c r="J651" s="34">
        <v>13</v>
      </c>
      <c r="K651" s="34">
        <v>21</v>
      </c>
      <c r="L651" s="34">
        <v>25</v>
      </c>
      <c r="M651" s="34">
        <v>17</v>
      </c>
      <c r="N651" s="34">
        <v>26</v>
      </c>
      <c r="O651" s="34">
        <v>22</v>
      </c>
      <c r="P651" s="34">
        <v>16</v>
      </c>
      <c r="Q651" s="35">
        <f t="shared" si="21"/>
        <v>208</v>
      </c>
      <c r="R651" s="4" t="s">
        <v>140</v>
      </c>
    </row>
    <row r="652" spans="1:18" x14ac:dyDescent="0.25">
      <c r="A652" s="40">
        <v>46136</v>
      </c>
      <c r="B652" s="28">
        <v>1</v>
      </c>
      <c r="C652" s="34" t="s">
        <v>135</v>
      </c>
      <c r="D652" s="34" t="s">
        <v>128</v>
      </c>
      <c r="E652" s="34">
        <v>13</v>
      </c>
      <c r="F652" s="34">
        <v>8</v>
      </c>
      <c r="G652" s="34">
        <v>15</v>
      </c>
      <c r="H652" s="34">
        <v>22</v>
      </c>
      <c r="I652" s="34">
        <v>11</v>
      </c>
      <c r="J652" s="34">
        <v>23</v>
      </c>
      <c r="K652" s="34">
        <v>8</v>
      </c>
      <c r="L652" s="34">
        <v>12</v>
      </c>
      <c r="M652" s="34">
        <v>17</v>
      </c>
      <c r="N652" s="34">
        <v>23</v>
      </c>
      <c r="O652" s="34">
        <v>18</v>
      </c>
      <c r="P652" s="34">
        <v>16</v>
      </c>
      <c r="Q652" s="35">
        <f t="shared" si="21"/>
        <v>186</v>
      </c>
      <c r="R652" s="4" t="s">
        <v>140</v>
      </c>
    </row>
    <row r="653" spans="1:18" x14ac:dyDescent="0.25">
      <c r="A653" s="40">
        <v>46136</v>
      </c>
      <c r="B653" s="28">
        <v>1</v>
      </c>
      <c r="C653" s="34" t="s">
        <v>134</v>
      </c>
      <c r="D653" s="34" t="s">
        <v>127</v>
      </c>
      <c r="E653" s="34">
        <v>11</v>
      </c>
      <c r="F653" s="34">
        <v>8</v>
      </c>
      <c r="G653" s="34">
        <v>12</v>
      </c>
      <c r="H653" s="34">
        <v>22</v>
      </c>
      <c r="I653" s="34">
        <v>9</v>
      </c>
      <c r="J653" s="34">
        <v>26</v>
      </c>
      <c r="K653" s="34">
        <v>12</v>
      </c>
      <c r="Q653" s="35">
        <f t="shared" si="21"/>
        <v>100</v>
      </c>
      <c r="R653" s="4" t="s">
        <v>140</v>
      </c>
    </row>
    <row r="655" spans="1:18" x14ac:dyDescent="0.25">
      <c r="A655" s="40">
        <v>46137</v>
      </c>
      <c r="B655" s="28">
        <v>2</v>
      </c>
      <c r="C655" s="34" t="s">
        <v>100</v>
      </c>
      <c r="D655" s="34" t="s">
        <v>114</v>
      </c>
      <c r="E655" s="34">
        <v>22</v>
      </c>
      <c r="F655" s="34">
        <v>37</v>
      </c>
      <c r="G655" s="34">
        <v>38</v>
      </c>
      <c r="H655" s="34">
        <v>33</v>
      </c>
      <c r="I655" s="34">
        <v>9</v>
      </c>
      <c r="J655" s="34">
        <v>31</v>
      </c>
      <c r="K655" s="34">
        <v>33</v>
      </c>
      <c r="L655" s="34">
        <v>33</v>
      </c>
      <c r="M655" s="34">
        <v>23</v>
      </c>
      <c r="N655" s="34">
        <v>26</v>
      </c>
      <c r="O655" s="34">
        <v>27</v>
      </c>
      <c r="Q655" s="35">
        <f t="shared" ref="Q655:Q680" si="22">SUM(E655:P655)</f>
        <v>312</v>
      </c>
      <c r="R655" s="4" t="s">
        <v>22</v>
      </c>
    </row>
    <row r="656" spans="1:18" x14ac:dyDescent="0.25">
      <c r="A656" s="40">
        <v>46137</v>
      </c>
      <c r="B656" s="28">
        <v>2</v>
      </c>
      <c r="C656" s="34" t="s">
        <v>197</v>
      </c>
      <c r="D656" s="34" t="s">
        <v>114</v>
      </c>
      <c r="Q656" s="35">
        <f t="shared" si="22"/>
        <v>0</v>
      </c>
      <c r="R656" s="4" t="s">
        <v>22</v>
      </c>
    </row>
    <row r="657" spans="1:18" x14ac:dyDescent="0.25">
      <c r="A657" s="40">
        <v>46137</v>
      </c>
      <c r="B657" s="28">
        <v>2</v>
      </c>
      <c r="C657" s="34" t="s">
        <v>445</v>
      </c>
      <c r="D657" s="34" t="s">
        <v>446</v>
      </c>
      <c r="Q657" s="35">
        <f t="shared" si="22"/>
        <v>0</v>
      </c>
      <c r="R657" s="4" t="s">
        <v>22</v>
      </c>
    </row>
    <row r="658" spans="1:18" x14ac:dyDescent="0.25">
      <c r="A658" s="40">
        <v>46137</v>
      </c>
      <c r="B658" s="28">
        <v>2</v>
      </c>
      <c r="C658" s="34" t="s">
        <v>111</v>
      </c>
      <c r="D658" s="34" t="s">
        <v>124</v>
      </c>
      <c r="Q658" s="35">
        <f t="shared" si="22"/>
        <v>0</v>
      </c>
      <c r="R658" s="4" t="s">
        <v>22</v>
      </c>
    </row>
    <row r="659" spans="1:18" x14ac:dyDescent="0.25">
      <c r="A659" s="40">
        <v>46137</v>
      </c>
      <c r="B659" s="28">
        <v>2</v>
      </c>
      <c r="C659" s="34" t="s">
        <v>103</v>
      </c>
      <c r="D659" s="34" t="s">
        <v>115</v>
      </c>
      <c r="E659" s="34">
        <v>11</v>
      </c>
      <c r="F659" s="34">
        <v>24</v>
      </c>
      <c r="G659" s="34">
        <v>27</v>
      </c>
      <c r="H659" s="34">
        <v>27</v>
      </c>
      <c r="I659" s="34">
        <v>10</v>
      </c>
      <c r="J659" s="34">
        <v>27</v>
      </c>
      <c r="K659" s="34">
        <v>24</v>
      </c>
      <c r="L659" s="34">
        <v>29</v>
      </c>
      <c r="M659" s="34">
        <v>16</v>
      </c>
      <c r="N659" s="34">
        <v>28</v>
      </c>
      <c r="O659" s="34">
        <v>32</v>
      </c>
      <c r="Q659" s="35">
        <f t="shared" si="22"/>
        <v>255</v>
      </c>
      <c r="R659" s="4" t="s">
        <v>22</v>
      </c>
    </row>
    <row r="660" spans="1:18" x14ac:dyDescent="0.25">
      <c r="A660" s="40">
        <v>46137</v>
      </c>
      <c r="B660" s="28">
        <v>2</v>
      </c>
      <c r="C660" s="34" t="s">
        <v>102</v>
      </c>
      <c r="D660" s="34" t="s">
        <v>116</v>
      </c>
      <c r="E660" s="34">
        <v>10</v>
      </c>
      <c r="F660" s="34">
        <v>23</v>
      </c>
      <c r="G660" s="34">
        <v>26</v>
      </c>
      <c r="H660" s="34">
        <v>20</v>
      </c>
      <c r="I660" s="34">
        <v>7</v>
      </c>
      <c r="J660" s="34">
        <v>25</v>
      </c>
      <c r="K660" s="34">
        <v>13</v>
      </c>
      <c r="L660" s="34">
        <v>22</v>
      </c>
      <c r="M660" s="34">
        <v>11</v>
      </c>
      <c r="N660" s="34">
        <v>29</v>
      </c>
      <c r="O660" s="34">
        <v>33</v>
      </c>
      <c r="Q660" s="35">
        <f t="shared" si="22"/>
        <v>219</v>
      </c>
      <c r="R660" s="4" t="s">
        <v>22</v>
      </c>
    </row>
    <row r="661" spans="1:18" x14ac:dyDescent="0.25">
      <c r="A661" s="40">
        <v>46137</v>
      </c>
      <c r="B661" s="28">
        <v>2</v>
      </c>
      <c r="C661" s="34" t="s">
        <v>104</v>
      </c>
      <c r="D661" s="34" t="s">
        <v>117</v>
      </c>
      <c r="E661" s="34">
        <v>12</v>
      </c>
      <c r="F661" s="34">
        <v>23</v>
      </c>
      <c r="G661" s="34">
        <v>26</v>
      </c>
      <c r="H661" s="34">
        <v>19</v>
      </c>
      <c r="I661" s="34">
        <v>8</v>
      </c>
      <c r="J661" s="34">
        <v>21</v>
      </c>
      <c r="K661" s="34">
        <v>24</v>
      </c>
      <c r="L661" s="34">
        <v>17</v>
      </c>
      <c r="M661" s="34">
        <v>13</v>
      </c>
      <c r="N661" s="34">
        <v>25</v>
      </c>
      <c r="O661" s="34">
        <v>31</v>
      </c>
      <c r="Q661" s="35">
        <f t="shared" si="22"/>
        <v>219</v>
      </c>
      <c r="R661" s="4" t="s">
        <v>22</v>
      </c>
    </row>
    <row r="662" spans="1:18" x14ac:dyDescent="0.25">
      <c r="A662" s="40">
        <v>46137</v>
      </c>
      <c r="B662" s="28">
        <v>2</v>
      </c>
      <c r="C662" s="34" t="s">
        <v>105</v>
      </c>
      <c r="D662" s="34" t="s">
        <v>118</v>
      </c>
      <c r="E662" s="34">
        <v>23</v>
      </c>
      <c r="F662" s="34">
        <v>40</v>
      </c>
      <c r="G662" s="34">
        <v>42</v>
      </c>
      <c r="H662" s="34">
        <v>32</v>
      </c>
      <c r="I662" s="34">
        <v>7</v>
      </c>
      <c r="J662" s="34">
        <v>23</v>
      </c>
      <c r="K662" s="34">
        <v>28</v>
      </c>
      <c r="L662" s="34">
        <v>28</v>
      </c>
      <c r="M662" s="34">
        <v>22</v>
      </c>
      <c r="N662" s="34">
        <v>25</v>
      </c>
      <c r="O662" s="34">
        <v>39</v>
      </c>
      <c r="Q662" s="35">
        <f t="shared" si="22"/>
        <v>309</v>
      </c>
      <c r="R662" s="4" t="s">
        <v>22</v>
      </c>
    </row>
    <row r="663" spans="1:18" x14ac:dyDescent="0.25">
      <c r="A663" s="40">
        <v>46137</v>
      </c>
      <c r="B663" s="28">
        <v>2</v>
      </c>
      <c r="C663" s="34" t="s">
        <v>757</v>
      </c>
      <c r="D663" s="34" t="s">
        <v>641</v>
      </c>
      <c r="E663" s="34">
        <v>9</v>
      </c>
      <c r="F663" s="34">
        <v>32</v>
      </c>
      <c r="G663" s="34">
        <v>33</v>
      </c>
      <c r="H663" s="34">
        <v>26</v>
      </c>
      <c r="I663" s="34">
        <v>8</v>
      </c>
      <c r="J663" s="34">
        <v>27</v>
      </c>
      <c r="K663" s="34">
        <v>14</v>
      </c>
      <c r="Q663" s="35">
        <f t="shared" si="22"/>
        <v>149</v>
      </c>
      <c r="R663" s="4" t="s">
        <v>22</v>
      </c>
    </row>
    <row r="664" spans="1:18" x14ac:dyDescent="0.25">
      <c r="A664" s="40">
        <v>46137</v>
      </c>
      <c r="B664" s="28">
        <v>2</v>
      </c>
      <c r="C664" s="34" t="s">
        <v>106</v>
      </c>
      <c r="D664" s="34" t="s">
        <v>119</v>
      </c>
      <c r="E664" s="34">
        <v>10</v>
      </c>
      <c r="F664" s="34">
        <v>20</v>
      </c>
      <c r="G664" s="34">
        <v>25</v>
      </c>
      <c r="H664" s="34">
        <v>18</v>
      </c>
      <c r="Q664" s="35">
        <f t="shared" si="22"/>
        <v>73</v>
      </c>
      <c r="R664" s="4" t="s">
        <v>22</v>
      </c>
    </row>
    <row r="665" spans="1:18" x14ac:dyDescent="0.25">
      <c r="A665" s="40">
        <v>46137</v>
      </c>
      <c r="B665" s="28">
        <v>2</v>
      </c>
      <c r="C665" s="34" t="s">
        <v>107</v>
      </c>
      <c r="D665" s="34" t="s">
        <v>120</v>
      </c>
      <c r="E665" s="34">
        <v>11</v>
      </c>
      <c r="F665" s="34">
        <v>21</v>
      </c>
      <c r="G665" s="34">
        <v>31</v>
      </c>
      <c r="H665" s="34">
        <v>25</v>
      </c>
      <c r="I665" s="34">
        <v>8</v>
      </c>
      <c r="J665" s="34">
        <v>30</v>
      </c>
      <c r="K665" s="34">
        <v>33</v>
      </c>
      <c r="L665" s="34">
        <v>32</v>
      </c>
      <c r="M665" s="34">
        <v>22</v>
      </c>
      <c r="N665" s="34">
        <v>36</v>
      </c>
      <c r="O665" s="34">
        <v>38</v>
      </c>
      <c r="Q665" s="35">
        <f t="shared" si="22"/>
        <v>287</v>
      </c>
      <c r="R665" s="4" t="s">
        <v>22</v>
      </c>
    </row>
    <row r="666" spans="1:18" x14ac:dyDescent="0.25">
      <c r="A666" s="40">
        <v>46137</v>
      </c>
      <c r="B666" s="28">
        <v>2</v>
      </c>
      <c r="C666" s="34" t="s">
        <v>485</v>
      </c>
      <c r="D666" s="34" t="s">
        <v>738</v>
      </c>
      <c r="Q666" s="35">
        <f t="shared" si="22"/>
        <v>0</v>
      </c>
      <c r="R666" s="4" t="s">
        <v>22</v>
      </c>
    </row>
    <row r="667" spans="1:18" x14ac:dyDescent="0.25">
      <c r="A667" s="40">
        <v>46137</v>
      </c>
      <c r="B667" s="28">
        <v>2</v>
      </c>
      <c r="C667" s="34" t="s">
        <v>101</v>
      </c>
      <c r="D667" s="34" t="s">
        <v>113</v>
      </c>
      <c r="E667" s="34">
        <v>12</v>
      </c>
      <c r="F667" s="34">
        <v>27</v>
      </c>
      <c r="G667" s="34">
        <v>26</v>
      </c>
      <c r="H667" s="34">
        <v>25</v>
      </c>
      <c r="I667" s="34">
        <v>16</v>
      </c>
      <c r="J667" s="34">
        <v>27</v>
      </c>
      <c r="K667" s="34">
        <v>24</v>
      </c>
      <c r="L667" s="34">
        <v>21</v>
      </c>
      <c r="M667" s="34">
        <v>17</v>
      </c>
      <c r="N667" s="34">
        <v>28</v>
      </c>
      <c r="O667" s="34">
        <v>33</v>
      </c>
      <c r="Q667" s="35">
        <f t="shared" si="22"/>
        <v>256</v>
      </c>
      <c r="R667" s="4" t="s">
        <v>22</v>
      </c>
    </row>
    <row r="668" spans="1:18" x14ac:dyDescent="0.25">
      <c r="A668" s="40">
        <v>46137</v>
      </c>
      <c r="B668" s="28">
        <v>2</v>
      </c>
      <c r="C668" s="34" t="s">
        <v>362</v>
      </c>
      <c r="D668" s="34" t="s">
        <v>361</v>
      </c>
      <c r="E668" s="34">
        <v>7</v>
      </c>
      <c r="F668" s="34">
        <v>18</v>
      </c>
      <c r="G668" s="34">
        <v>29</v>
      </c>
      <c r="H668" s="34">
        <v>21</v>
      </c>
      <c r="I668" s="34">
        <v>5</v>
      </c>
      <c r="J668" s="34">
        <v>26</v>
      </c>
      <c r="K668" s="34">
        <v>27</v>
      </c>
      <c r="L668" s="34">
        <v>28</v>
      </c>
      <c r="M668" s="34">
        <v>7</v>
      </c>
      <c r="Q668" s="35">
        <f t="shared" si="22"/>
        <v>168</v>
      </c>
      <c r="R668" s="4" t="s">
        <v>22</v>
      </c>
    </row>
    <row r="669" spans="1:18" x14ac:dyDescent="0.25">
      <c r="A669" s="40">
        <v>46137</v>
      </c>
      <c r="B669" s="28">
        <v>2</v>
      </c>
      <c r="C669" s="34" t="s">
        <v>749</v>
      </c>
      <c r="D669" s="34" t="s">
        <v>121</v>
      </c>
      <c r="Q669" s="35">
        <f t="shared" si="22"/>
        <v>0</v>
      </c>
      <c r="R669" s="4" t="s">
        <v>22</v>
      </c>
    </row>
    <row r="670" spans="1:18" x14ac:dyDescent="0.25">
      <c r="A670" s="40">
        <v>46137</v>
      </c>
      <c r="B670" s="28">
        <v>2</v>
      </c>
      <c r="C670" s="34" t="s">
        <v>110</v>
      </c>
      <c r="D670" s="34" t="s">
        <v>123</v>
      </c>
      <c r="E670" s="34">
        <v>18</v>
      </c>
      <c r="F670" s="34">
        <v>32</v>
      </c>
      <c r="G670" s="34">
        <v>32</v>
      </c>
      <c r="H670" s="34">
        <v>25</v>
      </c>
      <c r="I670" s="34">
        <v>15</v>
      </c>
      <c r="J670" s="34">
        <v>31</v>
      </c>
      <c r="K670" s="34">
        <v>31</v>
      </c>
      <c r="L670" s="34">
        <v>27</v>
      </c>
      <c r="M670" s="34">
        <v>22</v>
      </c>
      <c r="N670" s="34">
        <v>33</v>
      </c>
      <c r="O670" s="34">
        <v>37</v>
      </c>
      <c r="Q670" s="35">
        <f t="shared" si="22"/>
        <v>303</v>
      </c>
      <c r="R670" s="4" t="s">
        <v>22</v>
      </c>
    </row>
    <row r="671" spans="1:18" x14ac:dyDescent="0.25">
      <c r="A671" s="40">
        <v>46137</v>
      </c>
      <c r="B671" s="28">
        <v>2</v>
      </c>
      <c r="C671" s="34" t="s">
        <v>109</v>
      </c>
      <c r="D671" s="34" t="s">
        <v>122</v>
      </c>
      <c r="Q671" s="35">
        <f t="shared" si="22"/>
        <v>0</v>
      </c>
      <c r="R671" s="4" t="s">
        <v>22</v>
      </c>
    </row>
    <row r="672" spans="1:18" x14ac:dyDescent="0.25">
      <c r="A672" s="40">
        <v>46137</v>
      </c>
      <c r="B672" s="28">
        <v>2</v>
      </c>
      <c r="C672" s="34" t="s">
        <v>640</v>
      </c>
      <c r="D672" s="34" t="s">
        <v>108</v>
      </c>
      <c r="E672" s="34">
        <v>13</v>
      </c>
      <c r="F672" s="34">
        <v>25</v>
      </c>
      <c r="G672" s="34">
        <v>26</v>
      </c>
      <c r="H672" s="34">
        <v>24</v>
      </c>
      <c r="I672" s="34">
        <v>6</v>
      </c>
      <c r="J672" s="34">
        <v>19</v>
      </c>
      <c r="K672" s="34">
        <v>27</v>
      </c>
      <c r="L672" s="34">
        <v>20</v>
      </c>
      <c r="M672" s="34">
        <v>18</v>
      </c>
      <c r="N672" s="34">
        <v>22</v>
      </c>
      <c r="O672" s="34">
        <v>29</v>
      </c>
      <c r="Q672" s="35">
        <f t="shared" si="22"/>
        <v>229</v>
      </c>
      <c r="R672" s="4" t="s">
        <v>22</v>
      </c>
    </row>
    <row r="673" spans="1:18" x14ac:dyDescent="0.25">
      <c r="A673" s="40">
        <v>46137</v>
      </c>
      <c r="B673" s="28">
        <v>2</v>
      </c>
      <c r="C673" s="34" t="s">
        <v>363</v>
      </c>
      <c r="D673" s="34" t="s">
        <v>364</v>
      </c>
      <c r="E673" s="34">
        <v>21</v>
      </c>
      <c r="F673" s="34">
        <v>33</v>
      </c>
      <c r="G673" s="34">
        <v>33</v>
      </c>
      <c r="H673" s="34">
        <v>21</v>
      </c>
      <c r="I673" s="34">
        <v>8</v>
      </c>
      <c r="J673" s="34">
        <v>30</v>
      </c>
      <c r="K673" s="34">
        <v>22</v>
      </c>
      <c r="L673" s="34">
        <v>28</v>
      </c>
      <c r="M673" s="34">
        <v>16</v>
      </c>
      <c r="N673" s="34">
        <v>42</v>
      </c>
      <c r="O673" s="34">
        <v>34</v>
      </c>
      <c r="Q673" s="35">
        <f t="shared" si="22"/>
        <v>288</v>
      </c>
      <c r="R673" s="4" t="s">
        <v>22</v>
      </c>
    </row>
    <row r="674" spans="1:18" x14ac:dyDescent="0.25">
      <c r="A674" s="40">
        <v>46137</v>
      </c>
      <c r="B674" s="28">
        <v>2</v>
      </c>
      <c r="C674" s="34" t="s">
        <v>395</v>
      </c>
      <c r="D674" s="34" t="s">
        <v>396</v>
      </c>
      <c r="Q674" s="35">
        <f t="shared" si="22"/>
        <v>0</v>
      </c>
      <c r="R674" s="4" t="s">
        <v>22</v>
      </c>
    </row>
    <row r="675" spans="1:18" x14ac:dyDescent="0.25">
      <c r="A675" s="40">
        <v>46137</v>
      </c>
      <c r="B675" s="28">
        <v>2</v>
      </c>
      <c r="C675" s="34" t="s">
        <v>807</v>
      </c>
      <c r="D675" s="34" t="s">
        <v>808</v>
      </c>
      <c r="E675" s="34">
        <v>2</v>
      </c>
      <c r="F675" s="34">
        <v>20</v>
      </c>
      <c r="G675" s="34">
        <v>23</v>
      </c>
      <c r="H675" s="34">
        <v>19</v>
      </c>
      <c r="I675" s="34">
        <v>4</v>
      </c>
      <c r="J675" s="34">
        <v>23</v>
      </c>
      <c r="K675" s="34">
        <v>16</v>
      </c>
      <c r="L675" s="34">
        <v>20</v>
      </c>
      <c r="M675" s="34">
        <v>15</v>
      </c>
      <c r="N675" s="34">
        <v>23</v>
      </c>
      <c r="O675" s="34">
        <v>23</v>
      </c>
      <c r="Q675" s="35">
        <f t="shared" si="22"/>
        <v>188</v>
      </c>
      <c r="R675" s="4" t="s">
        <v>140</v>
      </c>
    </row>
    <row r="676" spans="1:18" x14ac:dyDescent="0.25">
      <c r="A676" s="40">
        <v>46137</v>
      </c>
      <c r="B676" s="28">
        <v>2</v>
      </c>
      <c r="C676" s="34" t="s">
        <v>215</v>
      </c>
      <c r="D676" s="34" t="s">
        <v>739</v>
      </c>
      <c r="E676" s="34">
        <v>10</v>
      </c>
      <c r="F676" s="34">
        <v>20</v>
      </c>
      <c r="G676" s="34">
        <v>19</v>
      </c>
      <c r="H676" s="34">
        <v>19</v>
      </c>
      <c r="I676" s="34">
        <v>7</v>
      </c>
      <c r="J676" s="34">
        <v>20</v>
      </c>
      <c r="K676" s="34">
        <v>16</v>
      </c>
      <c r="L676" s="34">
        <v>20</v>
      </c>
      <c r="M676" s="34">
        <v>16</v>
      </c>
      <c r="N676" s="34">
        <v>26</v>
      </c>
      <c r="O676" s="34">
        <v>23</v>
      </c>
      <c r="Q676" s="35">
        <f t="shared" si="22"/>
        <v>196</v>
      </c>
      <c r="R676" s="4" t="s">
        <v>140</v>
      </c>
    </row>
    <row r="677" spans="1:18" x14ac:dyDescent="0.25">
      <c r="A677" s="40">
        <v>46137</v>
      </c>
      <c r="B677" s="28">
        <v>2</v>
      </c>
      <c r="C677" s="34" t="s">
        <v>809</v>
      </c>
      <c r="D677" s="34" t="s">
        <v>137</v>
      </c>
      <c r="E677" s="34">
        <v>6</v>
      </c>
      <c r="F677" s="34">
        <v>18</v>
      </c>
      <c r="G677" s="34">
        <v>19</v>
      </c>
      <c r="H677" s="34">
        <v>15</v>
      </c>
      <c r="I677" s="34">
        <v>5</v>
      </c>
      <c r="J677" s="34">
        <v>15</v>
      </c>
      <c r="K677" s="34">
        <v>17</v>
      </c>
      <c r="L677" s="34">
        <v>14</v>
      </c>
      <c r="M677" s="34">
        <v>11</v>
      </c>
      <c r="N677" s="34">
        <v>20</v>
      </c>
      <c r="O677" s="34">
        <v>23</v>
      </c>
      <c r="Q677" s="35">
        <f t="shared" si="22"/>
        <v>163</v>
      </c>
      <c r="R677" s="4" t="s">
        <v>140</v>
      </c>
    </row>
    <row r="678" spans="1:18" x14ac:dyDescent="0.25">
      <c r="A678" s="40">
        <v>46137</v>
      </c>
      <c r="B678" s="28">
        <v>2</v>
      </c>
      <c r="C678" s="34" t="s">
        <v>137</v>
      </c>
      <c r="D678" s="34" t="s">
        <v>130</v>
      </c>
      <c r="E678" s="34">
        <v>10</v>
      </c>
      <c r="F678" s="34">
        <v>19</v>
      </c>
      <c r="G678" s="34">
        <v>21</v>
      </c>
      <c r="H678" s="34">
        <v>21</v>
      </c>
      <c r="I678" s="34">
        <v>9</v>
      </c>
      <c r="J678" s="34">
        <v>21</v>
      </c>
      <c r="K678" s="34">
        <v>25</v>
      </c>
      <c r="L678" s="34">
        <v>24</v>
      </c>
      <c r="M678" s="34">
        <v>18</v>
      </c>
      <c r="N678" s="34">
        <v>31</v>
      </c>
      <c r="O678" s="34">
        <v>28</v>
      </c>
      <c r="Q678" s="35">
        <f t="shared" si="22"/>
        <v>227</v>
      </c>
      <c r="R678" s="4" t="s">
        <v>140</v>
      </c>
    </row>
    <row r="679" spans="1:18" x14ac:dyDescent="0.25">
      <c r="A679" s="40">
        <v>46137</v>
      </c>
      <c r="B679" s="28">
        <v>2</v>
      </c>
      <c r="C679" s="34" t="s">
        <v>135</v>
      </c>
      <c r="D679" s="34" t="s">
        <v>128</v>
      </c>
      <c r="E679" s="34">
        <v>9</v>
      </c>
      <c r="F679" s="34">
        <v>17</v>
      </c>
      <c r="G679" s="34">
        <v>28</v>
      </c>
      <c r="H679" s="34">
        <v>15</v>
      </c>
      <c r="I679" s="34">
        <v>6</v>
      </c>
      <c r="J679" s="34">
        <v>26</v>
      </c>
      <c r="K679" s="34">
        <v>17</v>
      </c>
      <c r="L679" s="34">
        <v>22</v>
      </c>
      <c r="M679" s="34">
        <v>15</v>
      </c>
      <c r="Q679" s="35">
        <f t="shared" si="22"/>
        <v>155</v>
      </c>
      <c r="R679" s="4" t="s">
        <v>140</v>
      </c>
    </row>
    <row r="680" spans="1:18" x14ac:dyDescent="0.25">
      <c r="A680" s="40">
        <v>46137</v>
      </c>
      <c r="B680" s="28">
        <v>2</v>
      </c>
      <c r="C680" s="34" t="s">
        <v>134</v>
      </c>
      <c r="D680" s="34" t="s">
        <v>127</v>
      </c>
      <c r="Q680" s="35">
        <f t="shared" si="22"/>
        <v>0</v>
      </c>
      <c r="R680" s="4" t="s">
        <v>140</v>
      </c>
    </row>
    <row r="682" spans="1:18" x14ac:dyDescent="0.25">
      <c r="A682" s="40">
        <v>46139</v>
      </c>
      <c r="B682" s="28">
        <v>1</v>
      </c>
      <c r="C682" s="34" t="s">
        <v>100</v>
      </c>
      <c r="D682" s="34" t="s">
        <v>114</v>
      </c>
      <c r="E682" s="34">
        <v>8</v>
      </c>
      <c r="F682" s="34">
        <v>16</v>
      </c>
      <c r="G682" s="34">
        <v>26</v>
      </c>
      <c r="H682" s="34">
        <v>16</v>
      </c>
      <c r="I682" s="34">
        <v>16</v>
      </c>
      <c r="J682" s="34">
        <v>40</v>
      </c>
      <c r="K682" s="34">
        <v>4</v>
      </c>
      <c r="Q682" s="35">
        <f t="shared" ref="Q682:Q708" si="23">SUM(E682:P682)</f>
        <v>126</v>
      </c>
      <c r="R682" s="4" t="s">
        <v>22</v>
      </c>
    </row>
    <row r="683" spans="1:18" x14ac:dyDescent="0.25">
      <c r="A683" s="40">
        <v>46139</v>
      </c>
      <c r="B683" s="28">
        <v>1</v>
      </c>
      <c r="C683" s="34" t="s">
        <v>197</v>
      </c>
      <c r="D683" s="34" t="s">
        <v>114</v>
      </c>
      <c r="Q683" s="35">
        <f t="shared" si="23"/>
        <v>0</v>
      </c>
      <c r="R683" s="4" t="s">
        <v>22</v>
      </c>
    </row>
    <row r="684" spans="1:18" x14ac:dyDescent="0.25">
      <c r="A684" s="40">
        <v>46139</v>
      </c>
      <c r="B684" s="28">
        <v>1</v>
      </c>
      <c r="C684" s="34" t="s">
        <v>445</v>
      </c>
      <c r="D684" s="34" t="s">
        <v>446</v>
      </c>
      <c r="E684" s="34">
        <v>4</v>
      </c>
      <c r="F684" s="34">
        <v>10</v>
      </c>
      <c r="G684" s="34">
        <v>13</v>
      </c>
      <c r="H684" s="34">
        <v>22</v>
      </c>
      <c r="I684" s="34">
        <v>11</v>
      </c>
      <c r="J684" s="34">
        <v>27</v>
      </c>
      <c r="K684" s="34">
        <v>24</v>
      </c>
      <c r="L684" s="34">
        <v>9</v>
      </c>
      <c r="M684" s="34">
        <v>24</v>
      </c>
      <c r="N684" s="34">
        <v>12</v>
      </c>
      <c r="O684" s="34">
        <v>10</v>
      </c>
      <c r="P684" s="34">
        <v>14</v>
      </c>
      <c r="Q684" s="35">
        <f t="shared" si="23"/>
        <v>180</v>
      </c>
      <c r="R684" s="4" t="s">
        <v>22</v>
      </c>
    </row>
    <row r="685" spans="1:18" x14ac:dyDescent="0.25">
      <c r="A685" s="40">
        <v>46139</v>
      </c>
      <c r="B685" s="28">
        <v>1</v>
      </c>
      <c r="C685" s="34" t="s">
        <v>111</v>
      </c>
      <c r="D685" s="34" t="s">
        <v>124</v>
      </c>
      <c r="E685" s="34">
        <v>6</v>
      </c>
      <c r="F685" s="34">
        <v>12</v>
      </c>
      <c r="G685" s="34">
        <v>16</v>
      </c>
      <c r="H685" s="34">
        <v>26</v>
      </c>
      <c r="I685" s="34">
        <v>10</v>
      </c>
      <c r="J685" s="34">
        <v>22</v>
      </c>
      <c r="K685" s="34">
        <v>19</v>
      </c>
      <c r="L685" s="34">
        <v>9</v>
      </c>
      <c r="M685" s="34">
        <v>30</v>
      </c>
      <c r="N685" s="34">
        <v>20</v>
      </c>
      <c r="O685" s="34">
        <v>24</v>
      </c>
      <c r="P685" s="34">
        <v>18</v>
      </c>
      <c r="Q685" s="35">
        <f t="shared" si="23"/>
        <v>212</v>
      </c>
      <c r="R685" s="4" t="s">
        <v>22</v>
      </c>
    </row>
    <row r="686" spans="1:18" x14ac:dyDescent="0.25">
      <c r="A686" s="40">
        <v>46139</v>
      </c>
      <c r="B686" s="28">
        <v>1</v>
      </c>
      <c r="C686" s="34" t="s">
        <v>103</v>
      </c>
      <c r="D686" s="34" t="s">
        <v>115</v>
      </c>
      <c r="E686" s="34">
        <v>12</v>
      </c>
      <c r="F686" s="34">
        <v>12</v>
      </c>
      <c r="G686" s="34">
        <v>20</v>
      </c>
      <c r="H686" s="34">
        <v>18</v>
      </c>
      <c r="I686" s="34">
        <v>10</v>
      </c>
      <c r="J686" s="34">
        <v>14</v>
      </c>
      <c r="K686" s="34">
        <v>24</v>
      </c>
      <c r="L686" s="34">
        <v>13</v>
      </c>
      <c r="M686" s="34">
        <v>32</v>
      </c>
      <c r="N686" s="34">
        <v>19</v>
      </c>
      <c r="O686" s="34">
        <v>26</v>
      </c>
      <c r="P686" s="34">
        <v>25</v>
      </c>
      <c r="Q686" s="35">
        <f t="shared" si="23"/>
        <v>225</v>
      </c>
      <c r="R686" s="4" t="s">
        <v>22</v>
      </c>
    </row>
    <row r="687" spans="1:18" x14ac:dyDescent="0.25">
      <c r="A687" s="40">
        <v>46139</v>
      </c>
      <c r="B687" s="28">
        <v>1</v>
      </c>
      <c r="C687" s="34" t="s">
        <v>102</v>
      </c>
      <c r="D687" s="34" t="s">
        <v>116</v>
      </c>
      <c r="E687" s="34">
        <v>17</v>
      </c>
      <c r="F687" s="34">
        <v>27</v>
      </c>
      <c r="G687" s="34">
        <v>24</v>
      </c>
      <c r="H687" s="34">
        <v>19</v>
      </c>
      <c r="I687" s="34">
        <v>13</v>
      </c>
      <c r="J687" s="34">
        <v>11</v>
      </c>
      <c r="K687" s="34">
        <v>24</v>
      </c>
      <c r="L687" s="34">
        <v>15</v>
      </c>
      <c r="M687" s="34">
        <v>33</v>
      </c>
      <c r="N687" s="34">
        <v>18</v>
      </c>
      <c r="O687" s="34">
        <v>26</v>
      </c>
      <c r="P687" s="34">
        <v>13</v>
      </c>
      <c r="Q687" s="35">
        <f t="shared" si="23"/>
        <v>240</v>
      </c>
      <c r="R687" s="4" t="s">
        <v>22</v>
      </c>
    </row>
    <row r="688" spans="1:18" x14ac:dyDescent="0.25">
      <c r="A688" s="40">
        <v>46139</v>
      </c>
      <c r="B688" s="28">
        <v>1</v>
      </c>
      <c r="C688" s="34" t="s">
        <v>104</v>
      </c>
      <c r="D688" s="34" t="s">
        <v>117</v>
      </c>
      <c r="E688" s="34">
        <v>7</v>
      </c>
      <c r="F688" s="34">
        <v>14</v>
      </c>
      <c r="G688" s="34">
        <v>18</v>
      </c>
      <c r="H688" s="34">
        <v>17</v>
      </c>
      <c r="I688" s="34">
        <v>7</v>
      </c>
      <c r="J688" s="34">
        <v>19</v>
      </c>
      <c r="K688" s="34">
        <v>17</v>
      </c>
      <c r="L688" s="34">
        <v>6</v>
      </c>
      <c r="M688" s="34">
        <v>24</v>
      </c>
      <c r="N688" s="34">
        <v>23</v>
      </c>
      <c r="O688" s="34">
        <v>26</v>
      </c>
      <c r="P688" s="34">
        <v>22</v>
      </c>
      <c r="Q688" s="35">
        <f t="shared" si="23"/>
        <v>200</v>
      </c>
      <c r="R688" s="4" t="s">
        <v>22</v>
      </c>
    </row>
    <row r="689" spans="1:18" x14ac:dyDescent="0.25">
      <c r="A689" s="40">
        <v>46139</v>
      </c>
      <c r="B689" s="28">
        <v>1</v>
      </c>
      <c r="C689" s="34" t="s">
        <v>105</v>
      </c>
      <c r="D689" s="34" t="s">
        <v>118</v>
      </c>
      <c r="E689" s="34">
        <v>7</v>
      </c>
      <c r="F689" s="34">
        <v>16</v>
      </c>
      <c r="G689" s="34">
        <v>27</v>
      </c>
      <c r="H689" s="34">
        <v>29</v>
      </c>
      <c r="I689" s="34">
        <v>14</v>
      </c>
      <c r="J689" s="34">
        <v>24</v>
      </c>
      <c r="K689" s="34">
        <v>5</v>
      </c>
      <c r="L689" s="34">
        <v>10</v>
      </c>
      <c r="M689" s="34">
        <v>28</v>
      </c>
      <c r="N689" s="34">
        <v>26</v>
      </c>
      <c r="O689" s="34">
        <v>26</v>
      </c>
      <c r="P689" s="34">
        <v>18</v>
      </c>
      <c r="Q689" s="35">
        <f t="shared" si="23"/>
        <v>230</v>
      </c>
      <c r="R689" s="4" t="s">
        <v>22</v>
      </c>
    </row>
    <row r="690" spans="1:18" x14ac:dyDescent="0.25">
      <c r="A690" s="40">
        <v>46139</v>
      </c>
      <c r="B690" s="28">
        <v>1</v>
      </c>
      <c r="C690" s="34" t="s">
        <v>757</v>
      </c>
      <c r="D690" s="34" t="s">
        <v>641</v>
      </c>
      <c r="Q690" s="35">
        <f t="shared" si="23"/>
        <v>0</v>
      </c>
      <c r="R690" s="4" t="s">
        <v>22</v>
      </c>
    </row>
    <row r="691" spans="1:18" x14ac:dyDescent="0.25">
      <c r="A691" s="40">
        <v>46139</v>
      </c>
      <c r="B691" s="28">
        <v>1</v>
      </c>
      <c r="C691" s="34" t="s">
        <v>106</v>
      </c>
      <c r="D691" s="34" t="s">
        <v>119</v>
      </c>
      <c r="E691" s="34">
        <v>12</v>
      </c>
      <c r="F691" s="34">
        <v>19</v>
      </c>
      <c r="G691" s="34">
        <v>20</v>
      </c>
      <c r="H691" s="34">
        <v>13</v>
      </c>
      <c r="I691" s="34">
        <v>7</v>
      </c>
      <c r="J691" s="34">
        <v>16</v>
      </c>
      <c r="K691" s="34">
        <v>30</v>
      </c>
      <c r="L691" s="34">
        <v>14</v>
      </c>
      <c r="M691" s="34">
        <v>38</v>
      </c>
      <c r="N691" s="34">
        <v>26</v>
      </c>
      <c r="O691" s="34">
        <v>31</v>
      </c>
      <c r="P691" s="34">
        <v>21</v>
      </c>
      <c r="Q691" s="35">
        <f t="shared" si="23"/>
        <v>247</v>
      </c>
      <c r="R691" s="4" t="s">
        <v>22</v>
      </c>
    </row>
    <row r="692" spans="1:18" x14ac:dyDescent="0.25">
      <c r="A692" s="40">
        <v>46139</v>
      </c>
      <c r="B692" s="28">
        <v>1</v>
      </c>
      <c r="C692" s="34" t="s">
        <v>107</v>
      </c>
      <c r="D692" s="34" t="s">
        <v>120</v>
      </c>
      <c r="E692" s="34">
        <v>8</v>
      </c>
      <c r="F692" s="34">
        <v>15</v>
      </c>
      <c r="G692" s="34">
        <v>13</v>
      </c>
      <c r="H692" s="34">
        <v>28</v>
      </c>
      <c r="I692" s="34">
        <v>23</v>
      </c>
      <c r="J692" s="34">
        <v>32</v>
      </c>
      <c r="K692" s="34">
        <v>31</v>
      </c>
      <c r="L692" s="34">
        <v>16</v>
      </c>
      <c r="M692" s="34">
        <v>41</v>
      </c>
      <c r="N692" s="34">
        <v>32</v>
      </c>
      <c r="O692" s="34">
        <v>37</v>
      </c>
      <c r="P692" s="34">
        <v>29</v>
      </c>
      <c r="Q692" s="35">
        <f t="shared" si="23"/>
        <v>305</v>
      </c>
      <c r="R692" s="4" t="s">
        <v>22</v>
      </c>
    </row>
    <row r="693" spans="1:18" x14ac:dyDescent="0.25">
      <c r="A693" s="40">
        <v>46139</v>
      </c>
      <c r="B693" s="28">
        <v>1</v>
      </c>
      <c r="C693" s="34" t="s">
        <v>485</v>
      </c>
      <c r="D693" s="34" t="s">
        <v>738</v>
      </c>
      <c r="E693" s="34">
        <v>8</v>
      </c>
      <c r="F693" s="34">
        <v>26</v>
      </c>
      <c r="G693" s="34">
        <v>27</v>
      </c>
      <c r="H693" s="34">
        <v>19</v>
      </c>
      <c r="I693" s="34">
        <v>10</v>
      </c>
      <c r="J693" s="34">
        <v>19</v>
      </c>
      <c r="K693" s="34">
        <v>15</v>
      </c>
      <c r="L693" s="34">
        <v>13</v>
      </c>
      <c r="M693" s="34">
        <v>32</v>
      </c>
      <c r="N693" s="34">
        <v>22</v>
      </c>
      <c r="O693" s="34">
        <v>20</v>
      </c>
      <c r="P693" s="34">
        <v>19</v>
      </c>
      <c r="Q693" s="35">
        <f t="shared" si="23"/>
        <v>230</v>
      </c>
      <c r="R693" s="4" t="s">
        <v>22</v>
      </c>
    </row>
    <row r="694" spans="1:18" x14ac:dyDescent="0.25">
      <c r="A694" s="40">
        <v>46139</v>
      </c>
      <c r="B694" s="28">
        <v>1</v>
      </c>
      <c r="C694" s="34" t="s">
        <v>101</v>
      </c>
      <c r="D694" s="34" t="s">
        <v>113</v>
      </c>
      <c r="E694" s="34">
        <v>19</v>
      </c>
      <c r="F694" s="34">
        <v>26</v>
      </c>
      <c r="G694" s="34">
        <v>24</v>
      </c>
      <c r="H694" s="34">
        <v>26</v>
      </c>
      <c r="I694" s="34">
        <v>13</v>
      </c>
      <c r="J694" s="34">
        <v>32</v>
      </c>
      <c r="K694" s="34">
        <v>29</v>
      </c>
      <c r="L694" s="34">
        <v>14</v>
      </c>
      <c r="M694" s="34">
        <v>30</v>
      </c>
      <c r="N694" s="34">
        <v>26</v>
      </c>
      <c r="O694" s="34">
        <v>29</v>
      </c>
      <c r="P694" s="34">
        <v>22</v>
      </c>
      <c r="Q694" s="35">
        <f t="shared" si="23"/>
        <v>290</v>
      </c>
      <c r="R694" s="4" t="s">
        <v>22</v>
      </c>
    </row>
    <row r="695" spans="1:18" x14ac:dyDescent="0.25">
      <c r="A695" s="40">
        <v>46139</v>
      </c>
      <c r="B695" s="28">
        <v>1</v>
      </c>
      <c r="C695" s="34" t="s">
        <v>362</v>
      </c>
      <c r="D695" s="34" t="s">
        <v>361</v>
      </c>
      <c r="E695" s="34">
        <v>8</v>
      </c>
      <c r="F695" s="34">
        <v>18</v>
      </c>
      <c r="G695" s="34">
        <v>17</v>
      </c>
      <c r="H695" s="34">
        <v>13</v>
      </c>
      <c r="I695" s="34">
        <v>4</v>
      </c>
      <c r="J695" s="34">
        <v>3</v>
      </c>
      <c r="Q695" s="35">
        <f t="shared" si="23"/>
        <v>63</v>
      </c>
      <c r="R695" s="4" t="s">
        <v>22</v>
      </c>
    </row>
    <row r="696" spans="1:18" x14ac:dyDescent="0.25">
      <c r="A696" s="40">
        <v>46139</v>
      </c>
      <c r="B696" s="28">
        <v>1</v>
      </c>
      <c r="C696" s="34" t="s">
        <v>749</v>
      </c>
      <c r="D696" s="34" t="s">
        <v>121</v>
      </c>
      <c r="E696" s="34">
        <v>9</v>
      </c>
      <c r="F696" s="34">
        <v>22</v>
      </c>
      <c r="G696" s="34">
        <v>20</v>
      </c>
      <c r="H696" s="34">
        <v>27</v>
      </c>
      <c r="I696" s="34">
        <v>17</v>
      </c>
      <c r="J696" s="34">
        <v>30</v>
      </c>
      <c r="K696" s="34">
        <v>29</v>
      </c>
      <c r="L696" s="34">
        <v>11</v>
      </c>
      <c r="M696" s="34">
        <v>30</v>
      </c>
      <c r="N696" s="34">
        <v>19</v>
      </c>
      <c r="O696" s="34">
        <v>27</v>
      </c>
      <c r="P696" s="34">
        <v>20</v>
      </c>
      <c r="Q696" s="35">
        <f t="shared" si="23"/>
        <v>261</v>
      </c>
      <c r="R696" s="4" t="s">
        <v>22</v>
      </c>
    </row>
    <row r="697" spans="1:18" x14ac:dyDescent="0.25">
      <c r="A697" s="40">
        <v>46139</v>
      </c>
      <c r="B697" s="28">
        <v>1</v>
      </c>
      <c r="C697" s="34" t="s">
        <v>110</v>
      </c>
      <c r="D697" s="34" t="s">
        <v>123</v>
      </c>
      <c r="E697" s="34">
        <v>14</v>
      </c>
      <c r="F697" s="34">
        <v>24</v>
      </c>
      <c r="G697" s="34">
        <v>21</v>
      </c>
      <c r="H697" s="34">
        <v>28</v>
      </c>
      <c r="I697" s="34">
        <v>23</v>
      </c>
      <c r="J697" s="34">
        <v>33</v>
      </c>
      <c r="K697" s="34">
        <v>28</v>
      </c>
      <c r="L697" s="34">
        <v>17</v>
      </c>
      <c r="M697" s="34">
        <v>30</v>
      </c>
      <c r="N697" s="34">
        <v>33</v>
      </c>
      <c r="O697" s="34">
        <v>34</v>
      </c>
      <c r="P697" s="34">
        <v>27</v>
      </c>
      <c r="Q697" s="35">
        <f t="shared" si="23"/>
        <v>312</v>
      </c>
      <c r="R697" s="4" t="s">
        <v>22</v>
      </c>
    </row>
    <row r="698" spans="1:18" x14ac:dyDescent="0.25">
      <c r="A698" s="40">
        <v>46139</v>
      </c>
      <c r="B698" s="28">
        <v>1</v>
      </c>
      <c r="C698" s="34" t="s">
        <v>109</v>
      </c>
      <c r="D698" s="34" t="s">
        <v>122</v>
      </c>
      <c r="Q698" s="35">
        <f t="shared" si="23"/>
        <v>0</v>
      </c>
      <c r="R698" s="4" t="s">
        <v>22</v>
      </c>
    </row>
    <row r="699" spans="1:18" x14ac:dyDescent="0.25">
      <c r="A699" s="40">
        <v>46139</v>
      </c>
      <c r="B699" s="28">
        <v>1</v>
      </c>
      <c r="C699" s="34" t="s">
        <v>640</v>
      </c>
      <c r="D699" s="34" t="s">
        <v>108</v>
      </c>
      <c r="E699" s="34">
        <v>4</v>
      </c>
      <c r="F699" s="34">
        <v>12</v>
      </c>
      <c r="G699" s="34">
        <v>16</v>
      </c>
      <c r="H699" s="34">
        <v>14</v>
      </c>
      <c r="I699" s="34">
        <v>11</v>
      </c>
      <c r="J699" s="34">
        <v>26</v>
      </c>
      <c r="K699" s="34">
        <v>11</v>
      </c>
      <c r="L699" s="34">
        <v>6</v>
      </c>
      <c r="M699" s="34">
        <v>15</v>
      </c>
      <c r="N699" s="34">
        <v>26</v>
      </c>
      <c r="O699" s="34">
        <v>23</v>
      </c>
      <c r="P699" s="34">
        <v>18</v>
      </c>
      <c r="Q699" s="35">
        <f t="shared" si="23"/>
        <v>182</v>
      </c>
      <c r="R699" s="4" t="s">
        <v>22</v>
      </c>
    </row>
    <row r="700" spans="1:18" x14ac:dyDescent="0.25">
      <c r="A700" s="40">
        <v>46139</v>
      </c>
      <c r="B700" s="28">
        <v>1</v>
      </c>
      <c r="C700" s="34" t="s">
        <v>363</v>
      </c>
      <c r="D700" s="34" t="s">
        <v>364</v>
      </c>
      <c r="E700" s="34">
        <v>7</v>
      </c>
      <c r="F700" s="34">
        <v>17</v>
      </c>
      <c r="G700" s="34">
        <v>26</v>
      </c>
      <c r="H700" s="34">
        <v>25</v>
      </c>
      <c r="I700" s="34">
        <v>14</v>
      </c>
      <c r="J700" s="34">
        <v>33</v>
      </c>
      <c r="K700" s="34">
        <v>28</v>
      </c>
      <c r="L700" s="34">
        <v>14</v>
      </c>
      <c r="M700" s="34">
        <v>40</v>
      </c>
      <c r="N700" s="34">
        <v>20</v>
      </c>
      <c r="O700" s="34">
        <v>31</v>
      </c>
      <c r="P700" s="34">
        <v>19</v>
      </c>
      <c r="Q700" s="35">
        <f t="shared" si="23"/>
        <v>274</v>
      </c>
      <c r="R700" s="4" t="s">
        <v>22</v>
      </c>
    </row>
    <row r="701" spans="1:18" x14ac:dyDescent="0.25">
      <c r="A701" s="40">
        <v>46139</v>
      </c>
      <c r="B701" s="28">
        <v>1</v>
      </c>
      <c r="C701" s="34" t="s">
        <v>395</v>
      </c>
      <c r="D701" s="34" t="s">
        <v>396</v>
      </c>
      <c r="Q701" s="35">
        <f t="shared" si="23"/>
        <v>0</v>
      </c>
      <c r="R701" s="4" t="s">
        <v>22</v>
      </c>
    </row>
    <row r="702" spans="1:18" x14ac:dyDescent="0.25">
      <c r="A702" s="40">
        <v>46139</v>
      </c>
      <c r="B702" s="28">
        <v>1</v>
      </c>
      <c r="C702" s="34" t="s">
        <v>807</v>
      </c>
      <c r="D702" s="34" t="s">
        <v>808</v>
      </c>
      <c r="E702" s="34">
        <v>14</v>
      </c>
      <c r="F702" s="34">
        <v>24</v>
      </c>
      <c r="G702" s="34">
        <v>20</v>
      </c>
      <c r="H702" s="34">
        <v>18</v>
      </c>
      <c r="I702" s="34">
        <v>10</v>
      </c>
      <c r="J702" s="34">
        <v>17</v>
      </c>
      <c r="K702" s="34">
        <v>22</v>
      </c>
      <c r="L702" s="34">
        <v>11</v>
      </c>
      <c r="M702" s="34">
        <v>28</v>
      </c>
      <c r="N702" s="34">
        <v>19</v>
      </c>
      <c r="O702" s="34">
        <v>24</v>
      </c>
      <c r="P702" s="34">
        <v>17</v>
      </c>
      <c r="Q702" s="35">
        <f t="shared" si="23"/>
        <v>224</v>
      </c>
      <c r="R702" s="4" t="s">
        <v>140</v>
      </c>
    </row>
    <row r="703" spans="1:18" x14ac:dyDescent="0.25">
      <c r="A703" s="40">
        <v>46139</v>
      </c>
      <c r="B703" s="28">
        <v>1</v>
      </c>
      <c r="C703" s="34" t="s">
        <v>215</v>
      </c>
      <c r="D703" s="34" t="s">
        <v>739</v>
      </c>
      <c r="E703" s="34">
        <v>6</v>
      </c>
      <c r="F703" s="34">
        <v>12</v>
      </c>
      <c r="G703" s="34">
        <v>12</v>
      </c>
      <c r="H703" s="34">
        <v>13</v>
      </c>
      <c r="I703" s="34">
        <v>13</v>
      </c>
      <c r="J703" s="34">
        <v>29</v>
      </c>
      <c r="K703" s="34">
        <v>21</v>
      </c>
      <c r="L703" s="34">
        <v>13</v>
      </c>
      <c r="M703" s="34">
        <v>24</v>
      </c>
      <c r="N703" s="34">
        <v>19</v>
      </c>
      <c r="O703" s="34">
        <v>23</v>
      </c>
      <c r="P703" s="34">
        <v>15</v>
      </c>
      <c r="Q703" s="35">
        <f t="shared" si="23"/>
        <v>200</v>
      </c>
      <c r="R703" s="4" t="s">
        <v>140</v>
      </c>
    </row>
    <row r="704" spans="1:18" x14ac:dyDescent="0.25">
      <c r="A704" s="40">
        <v>46139</v>
      </c>
      <c r="B704" s="28">
        <v>1</v>
      </c>
      <c r="C704" s="34" t="s">
        <v>184</v>
      </c>
      <c r="D704" s="34" t="s">
        <v>834</v>
      </c>
      <c r="E704" s="34">
        <v>12</v>
      </c>
      <c r="F704" s="34">
        <v>21</v>
      </c>
      <c r="G704" s="34">
        <v>22</v>
      </c>
      <c r="H704" s="34">
        <v>23</v>
      </c>
      <c r="I704" s="34">
        <v>12</v>
      </c>
      <c r="J704" s="34">
        <v>25</v>
      </c>
      <c r="K704" s="34">
        <v>22</v>
      </c>
      <c r="L704" s="34">
        <v>17</v>
      </c>
      <c r="M704" s="34">
        <v>20</v>
      </c>
      <c r="N704" s="34">
        <v>28</v>
      </c>
      <c r="O704" s="34">
        <v>31</v>
      </c>
      <c r="P704" s="34">
        <v>22</v>
      </c>
      <c r="Q704" s="35">
        <f t="shared" si="23"/>
        <v>255</v>
      </c>
    </row>
    <row r="705" spans="1:18" x14ac:dyDescent="0.25">
      <c r="A705" s="40">
        <v>46139</v>
      </c>
      <c r="B705" s="28">
        <v>1</v>
      </c>
      <c r="C705" s="34" t="s">
        <v>809</v>
      </c>
      <c r="D705" s="34" t="s">
        <v>137</v>
      </c>
      <c r="Q705" s="35">
        <f t="shared" si="23"/>
        <v>0</v>
      </c>
      <c r="R705" s="4" t="s">
        <v>140</v>
      </c>
    </row>
    <row r="706" spans="1:18" x14ac:dyDescent="0.25">
      <c r="A706" s="40">
        <v>46139</v>
      </c>
      <c r="B706" s="28">
        <v>1</v>
      </c>
      <c r="C706" s="34" t="s">
        <v>137</v>
      </c>
      <c r="D706" s="34" t="s">
        <v>130</v>
      </c>
      <c r="E706" s="34">
        <v>5</v>
      </c>
      <c r="F706" s="34">
        <v>12</v>
      </c>
      <c r="G706" s="34">
        <v>17</v>
      </c>
      <c r="H706" s="34">
        <v>14</v>
      </c>
      <c r="I706" s="34">
        <v>14</v>
      </c>
      <c r="J706" s="34">
        <v>30</v>
      </c>
      <c r="K706" s="34">
        <v>30</v>
      </c>
      <c r="L706" s="34">
        <v>16</v>
      </c>
      <c r="M706" s="34">
        <v>34</v>
      </c>
      <c r="N706" s="34">
        <v>19</v>
      </c>
      <c r="O706" s="34">
        <v>23</v>
      </c>
      <c r="P706" s="34">
        <v>16</v>
      </c>
      <c r="Q706" s="35">
        <f t="shared" si="23"/>
        <v>230</v>
      </c>
      <c r="R706" s="4" t="s">
        <v>140</v>
      </c>
    </row>
    <row r="707" spans="1:18" x14ac:dyDescent="0.25">
      <c r="A707" s="40">
        <v>46139</v>
      </c>
      <c r="B707" s="28">
        <v>1</v>
      </c>
      <c r="C707" s="34" t="s">
        <v>135</v>
      </c>
      <c r="D707" s="34" t="s">
        <v>128</v>
      </c>
      <c r="E707" s="34">
        <v>11</v>
      </c>
      <c r="F707" s="34">
        <v>18</v>
      </c>
      <c r="G707" s="34">
        <v>18</v>
      </c>
      <c r="H707" s="34">
        <v>14</v>
      </c>
      <c r="I707" s="34">
        <v>8</v>
      </c>
      <c r="J707" s="34">
        <v>22</v>
      </c>
      <c r="K707" s="34">
        <v>31</v>
      </c>
      <c r="L707" s="34">
        <v>16</v>
      </c>
      <c r="M707" s="34">
        <v>37</v>
      </c>
      <c r="N707" s="34">
        <v>27</v>
      </c>
      <c r="O707" s="34">
        <v>28</v>
      </c>
      <c r="P707" s="34">
        <v>23</v>
      </c>
      <c r="Q707" s="35">
        <f t="shared" si="23"/>
        <v>253</v>
      </c>
      <c r="R707" s="4" t="s">
        <v>140</v>
      </c>
    </row>
    <row r="708" spans="1:18" x14ac:dyDescent="0.25">
      <c r="A708" s="40">
        <v>46139</v>
      </c>
      <c r="B708" s="28">
        <v>1</v>
      </c>
      <c r="C708" s="34" t="s">
        <v>134</v>
      </c>
      <c r="D708" s="34" t="s">
        <v>127</v>
      </c>
      <c r="E708" s="34">
        <v>5</v>
      </c>
      <c r="F708" s="34">
        <v>10</v>
      </c>
      <c r="G708" s="34">
        <v>13</v>
      </c>
      <c r="H708" s="34">
        <v>22</v>
      </c>
      <c r="I708" s="34">
        <v>10</v>
      </c>
      <c r="J708" s="34">
        <v>23</v>
      </c>
      <c r="K708" s="34">
        <v>17</v>
      </c>
      <c r="L708" s="34">
        <v>8</v>
      </c>
      <c r="M708" s="34">
        <v>25</v>
      </c>
      <c r="N708" s="34">
        <v>29</v>
      </c>
      <c r="O708" s="34">
        <v>25</v>
      </c>
      <c r="P708" s="34">
        <v>19</v>
      </c>
      <c r="Q708" s="35">
        <f t="shared" si="23"/>
        <v>206</v>
      </c>
      <c r="R708" s="4" t="s">
        <v>140</v>
      </c>
    </row>
    <row r="710" spans="1:18" x14ac:dyDescent="0.25">
      <c r="A710" s="40">
        <v>46140</v>
      </c>
      <c r="B710" s="28">
        <v>1</v>
      </c>
      <c r="C710" s="34" t="s">
        <v>100</v>
      </c>
      <c r="D710" s="34" t="s">
        <v>114</v>
      </c>
      <c r="E710" s="34">
        <v>24</v>
      </c>
      <c r="F710" s="34">
        <v>30</v>
      </c>
      <c r="G710" s="34">
        <v>28</v>
      </c>
      <c r="H710" s="34">
        <v>9</v>
      </c>
      <c r="I710" s="34">
        <v>13</v>
      </c>
      <c r="J710" s="34">
        <v>19</v>
      </c>
      <c r="K710" s="34">
        <v>21</v>
      </c>
      <c r="L710" s="34">
        <v>15</v>
      </c>
      <c r="M710" s="34">
        <v>36</v>
      </c>
      <c r="N710" s="34">
        <v>20</v>
      </c>
      <c r="O710" s="34">
        <v>25</v>
      </c>
      <c r="P710" s="34">
        <v>10</v>
      </c>
      <c r="Q710" s="35">
        <f t="shared" ref="Q710:Q736" si="24">SUM(E710:P710)</f>
        <v>250</v>
      </c>
      <c r="R710" s="4" t="s">
        <v>22</v>
      </c>
    </row>
    <row r="711" spans="1:18" x14ac:dyDescent="0.25">
      <c r="A711" s="40">
        <v>46140</v>
      </c>
      <c r="B711" s="28">
        <v>1</v>
      </c>
      <c r="C711" s="34" t="s">
        <v>197</v>
      </c>
      <c r="D711" s="34" t="s">
        <v>114</v>
      </c>
      <c r="Q711" s="35">
        <f t="shared" si="24"/>
        <v>0</v>
      </c>
      <c r="R711" s="4" t="s">
        <v>22</v>
      </c>
    </row>
    <row r="712" spans="1:18" x14ac:dyDescent="0.25">
      <c r="A712" s="40">
        <v>46140</v>
      </c>
      <c r="B712" s="28">
        <v>1</v>
      </c>
      <c r="C712" s="34" t="s">
        <v>445</v>
      </c>
      <c r="D712" s="34" t="s">
        <v>446</v>
      </c>
      <c r="E712" s="34">
        <v>13</v>
      </c>
      <c r="F712" s="34">
        <v>17</v>
      </c>
      <c r="G712" s="34">
        <v>17</v>
      </c>
      <c r="H712" s="34">
        <v>7</v>
      </c>
      <c r="I712" s="34">
        <v>4</v>
      </c>
      <c r="J712" s="34">
        <v>10</v>
      </c>
      <c r="K712" s="34">
        <v>14</v>
      </c>
      <c r="L712" s="34">
        <v>6</v>
      </c>
      <c r="M712" s="34">
        <v>15</v>
      </c>
      <c r="N712" s="34">
        <v>15</v>
      </c>
      <c r="O712" s="34">
        <v>16</v>
      </c>
      <c r="P712" s="34">
        <v>16</v>
      </c>
      <c r="Q712" s="35">
        <f t="shared" si="24"/>
        <v>150</v>
      </c>
      <c r="R712" s="4" t="s">
        <v>22</v>
      </c>
    </row>
    <row r="713" spans="1:18" x14ac:dyDescent="0.25">
      <c r="A713" s="40">
        <v>46140</v>
      </c>
      <c r="B713" s="28">
        <v>1</v>
      </c>
      <c r="C713" s="34" t="s">
        <v>111</v>
      </c>
      <c r="D713" s="34" t="s">
        <v>124</v>
      </c>
      <c r="E713" s="34">
        <v>10</v>
      </c>
      <c r="F713" s="34">
        <v>16</v>
      </c>
      <c r="G713" s="34">
        <v>20</v>
      </c>
      <c r="H713" s="34">
        <v>10</v>
      </c>
      <c r="I713" s="34">
        <v>12</v>
      </c>
      <c r="J713" s="34">
        <v>14</v>
      </c>
      <c r="K713" s="34">
        <v>18</v>
      </c>
      <c r="L713" s="34">
        <v>11</v>
      </c>
      <c r="M713" s="34">
        <v>24</v>
      </c>
      <c r="N713" s="34">
        <v>16</v>
      </c>
      <c r="O713" s="34">
        <v>20</v>
      </c>
      <c r="P713" s="34">
        <v>13</v>
      </c>
      <c r="Q713" s="35">
        <f t="shared" si="24"/>
        <v>184</v>
      </c>
      <c r="R713" s="4" t="s">
        <v>22</v>
      </c>
    </row>
    <row r="714" spans="1:18" x14ac:dyDescent="0.25">
      <c r="A714" s="40">
        <v>46140</v>
      </c>
      <c r="B714" s="28">
        <v>1</v>
      </c>
      <c r="C714" s="34" t="s">
        <v>103</v>
      </c>
      <c r="D714" s="34" t="s">
        <v>115</v>
      </c>
      <c r="E714" s="34">
        <v>17</v>
      </c>
      <c r="F714" s="34">
        <v>19</v>
      </c>
      <c r="G714" s="34">
        <v>19</v>
      </c>
      <c r="H714" s="34">
        <v>23</v>
      </c>
      <c r="I714" s="34">
        <v>17</v>
      </c>
      <c r="J714" s="34">
        <v>21</v>
      </c>
      <c r="K714" s="34">
        <v>10</v>
      </c>
      <c r="L714" s="34">
        <v>7</v>
      </c>
      <c r="M714" s="34">
        <v>23</v>
      </c>
      <c r="N714" s="34">
        <v>25</v>
      </c>
      <c r="O714" s="34">
        <v>23</v>
      </c>
      <c r="P714" s="34">
        <v>17</v>
      </c>
      <c r="Q714" s="35">
        <f t="shared" si="24"/>
        <v>221</v>
      </c>
      <c r="R714" s="4" t="s">
        <v>22</v>
      </c>
    </row>
    <row r="715" spans="1:18" x14ac:dyDescent="0.25">
      <c r="A715" s="40">
        <v>46140</v>
      </c>
      <c r="B715" s="28">
        <v>1</v>
      </c>
      <c r="C715" s="34" t="s">
        <v>102</v>
      </c>
      <c r="D715" s="34" t="s">
        <v>116</v>
      </c>
      <c r="E715" s="34">
        <v>14</v>
      </c>
      <c r="F715" s="34">
        <v>16</v>
      </c>
      <c r="G715" s="34">
        <v>15</v>
      </c>
      <c r="H715" s="34">
        <v>20</v>
      </c>
      <c r="I715" s="34">
        <v>16</v>
      </c>
      <c r="J715" s="34">
        <v>22</v>
      </c>
      <c r="K715" s="34">
        <v>15</v>
      </c>
      <c r="L715" s="34">
        <v>8</v>
      </c>
      <c r="M715" s="34">
        <v>24</v>
      </c>
      <c r="N715" s="34">
        <v>31</v>
      </c>
      <c r="O715" s="34">
        <v>19</v>
      </c>
      <c r="P715" s="34">
        <v>13</v>
      </c>
      <c r="Q715" s="35">
        <f t="shared" si="24"/>
        <v>213</v>
      </c>
      <c r="R715" s="4" t="s">
        <v>22</v>
      </c>
    </row>
    <row r="716" spans="1:18" x14ac:dyDescent="0.25">
      <c r="A716" s="40">
        <v>46140</v>
      </c>
      <c r="B716" s="28">
        <v>1</v>
      </c>
      <c r="C716" s="34" t="s">
        <v>104</v>
      </c>
      <c r="D716" s="34" t="s">
        <v>117</v>
      </c>
      <c r="E716" s="34">
        <v>11</v>
      </c>
      <c r="F716" s="34">
        <v>13</v>
      </c>
      <c r="G716" s="34">
        <v>13</v>
      </c>
      <c r="H716" s="34">
        <v>23</v>
      </c>
      <c r="I716" s="34">
        <v>13</v>
      </c>
      <c r="J716" s="34">
        <v>27</v>
      </c>
      <c r="K716" s="34">
        <v>13</v>
      </c>
      <c r="L716" s="34">
        <v>6</v>
      </c>
      <c r="M716" s="34">
        <v>23</v>
      </c>
      <c r="N716" s="34">
        <v>18</v>
      </c>
      <c r="O716" s="34">
        <v>15</v>
      </c>
      <c r="P716" s="34">
        <v>12</v>
      </c>
      <c r="Q716" s="35">
        <f t="shared" si="24"/>
        <v>187</v>
      </c>
      <c r="R716" s="4" t="s">
        <v>22</v>
      </c>
    </row>
    <row r="717" spans="1:18" x14ac:dyDescent="0.25">
      <c r="A717" s="40">
        <v>46140</v>
      </c>
      <c r="B717" s="28">
        <v>1</v>
      </c>
      <c r="C717" s="34" t="s">
        <v>105</v>
      </c>
      <c r="D717" s="34" t="s">
        <v>118</v>
      </c>
      <c r="E717" s="34">
        <v>16</v>
      </c>
      <c r="F717" s="34">
        <v>20</v>
      </c>
      <c r="G717" s="34">
        <v>20</v>
      </c>
      <c r="H717" s="34">
        <v>10</v>
      </c>
      <c r="I717" s="34">
        <v>13</v>
      </c>
      <c r="J717" s="34">
        <v>16</v>
      </c>
      <c r="K717" s="34">
        <v>16</v>
      </c>
      <c r="L717" s="34">
        <v>10</v>
      </c>
      <c r="M717" s="34">
        <v>29</v>
      </c>
      <c r="N717" s="34">
        <v>20</v>
      </c>
      <c r="O717" s="34">
        <v>18</v>
      </c>
      <c r="P717" s="34">
        <v>15</v>
      </c>
      <c r="Q717" s="35">
        <f t="shared" si="24"/>
        <v>203</v>
      </c>
      <c r="R717" s="4" t="s">
        <v>22</v>
      </c>
    </row>
    <row r="718" spans="1:18" x14ac:dyDescent="0.25">
      <c r="A718" s="40">
        <v>46140</v>
      </c>
      <c r="B718" s="28">
        <v>1</v>
      </c>
      <c r="C718" s="34" t="s">
        <v>757</v>
      </c>
      <c r="D718" s="34" t="s">
        <v>641</v>
      </c>
      <c r="E718" s="34">
        <v>11</v>
      </c>
      <c r="F718" s="34">
        <v>23</v>
      </c>
      <c r="G718" s="34">
        <v>23</v>
      </c>
      <c r="H718" s="34">
        <v>3</v>
      </c>
      <c r="I718" s="34">
        <v>3</v>
      </c>
      <c r="J718" s="34">
        <v>11</v>
      </c>
      <c r="K718" s="34">
        <v>11</v>
      </c>
      <c r="L718" s="34">
        <v>9</v>
      </c>
      <c r="M718" s="34">
        <v>20</v>
      </c>
      <c r="N718" s="34">
        <v>25</v>
      </c>
      <c r="O718" s="34">
        <v>24</v>
      </c>
      <c r="P718" s="34">
        <v>19</v>
      </c>
      <c r="Q718" s="35">
        <f t="shared" si="24"/>
        <v>182</v>
      </c>
      <c r="R718" s="4" t="s">
        <v>22</v>
      </c>
    </row>
    <row r="719" spans="1:18" x14ac:dyDescent="0.25">
      <c r="A719" s="40">
        <v>46140</v>
      </c>
      <c r="B719" s="28">
        <v>1</v>
      </c>
      <c r="C719" s="34" t="s">
        <v>106</v>
      </c>
      <c r="D719" s="34" t="s">
        <v>119</v>
      </c>
      <c r="E719" s="34">
        <v>14</v>
      </c>
      <c r="F719" s="34">
        <v>15</v>
      </c>
      <c r="G719" s="34">
        <v>17</v>
      </c>
      <c r="H719" s="34">
        <v>21</v>
      </c>
      <c r="I719" s="34">
        <v>18</v>
      </c>
      <c r="J719" s="34">
        <v>25</v>
      </c>
      <c r="K719" s="34">
        <v>10</v>
      </c>
      <c r="L719" s="34">
        <v>6</v>
      </c>
      <c r="M719" s="34">
        <v>24</v>
      </c>
      <c r="N719" s="34">
        <v>14</v>
      </c>
      <c r="O719" s="34">
        <v>23</v>
      </c>
      <c r="P719" s="34">
        <v>20</v>
      </c>
      <c r="Q719" s="35">
        <f t="shared" si="24"/>
        <v>207</v>
      </c>
      <c r="R719" s="4" t="s">
        <v>22</v>
      </c>
    </row>
    <row r="720" spans="1:18" x14ac:dyDescent="0.25">
      <c r="A720" s="40">
        <v>46140</v>
      </c>
      <c r="B720" s="28">
        <v>1</v>
      </c>
      <c r="C720" s="34" t="s">
        <v>107</v>
      </c>
      <c r="D720" s="34" t="s">
        <v>120</v>
      </c>
      <c r="E720" s="34">
        <v>10</v>
      </c>
      <c r="F720" s="34">
        <v>7</v>
      </c>
      <c r="G720" s="34">
        <v>14</v>
      </c>
      <c r="H720" s="34">
        <v>24</v>
      </c>
      <c r="I720" s="34">
        <v>13</v>
      </c>
      <c r="J720" s="34">
        <v>29</v>
      </c>
      <c r="K720" s="34">
        <v>27</v>
      </c>
      <c r="L720" s="34">
        <v>13</v>
      </c>
      <c r="M720" s="34">
        <v>34</v>
      </c>
      <c r="N720" s="34">
        <v>24</v>
      </c>
      <c r="O720" s="34">
        <v>23</v>
      </c>
      <c r="P720" s="34">
        <v>17</v>
      </c>
      <c r="Q720" s="35">
        <f t="shared" si="24"/>
        <v>235</v>
      </c>
      <c r="R720" s="4" t="s">
        <v>22</v>
      </c>
    </row>
    <row r="721" spans="1:18" x14ac:dyDescent="0.25">
      <c r="A721" s="40">
        <v>46140</v>
      </c>
      <c r="B721" s="28">
        <v>1</v>
      </c>
      <c r="C721" s="34" t="s">
        <v>485</v>
      </c>
      <c r="D721" s="34" t="s">
        <v>738</v>
      </c>
      <c r="E721" s="34">
        <v>13</v>
      </c>
      <c r="F721" s="34">
        <v>11</v>
      </c>
      <c r="G721" s="34">
        <v>13</v>
      </c>
      <c r="H721" s="34">
        <v>21</v>
      </c>
      <c r="I721" s="34">
        <v>14</v>
      </c>
      <c r="J721" s="34">
        <v>28</v>
      </c>
      <c r="K721" s="34">
        <v>9</v>
      </c>
      <c r="L721" s="34">
        <v>5</v>
      </c>
      <c r="M721" s="34">
        <v>18</v>
      </c>
      <c r="N721" s="34">
        <v>28</v>
      </c>
      <c r="O721" s="34">
        <v>20</v>
      </c>
      <c r="P721" s="34">
        <v>16</v>
      </c>
      <c r="Q721" s="35">
        <f t="shared" si="24"/>
        <v>196</v>
      </c>
      <c r="R721" s="4" t="s">
        <v>22</v>
      </c>
    </row>
    <row r="722" spans="1:18" x14ac:dyDescent="0.25">
      <c r="A722" s="40">
        <v>46140</v>
      </c>
      <c r="B722" s="28">
        <v>1</v>
      </c>
      <c r="C722" s="34" t="s">
        <v>101</v>
      </c>
      <c r="D722" s="34" t="s">
        <v>113</v>
      </c>
      <c r="E722" s="34">
        <v>24</v>
      </c>
      <c r="F722" s="34">
        <v>24</v>
      </c>
      <c r="G722" s="34">
        <v>27</v>
      </c>
      <c r="H722" s="34">
        <v>18</v>
      </c>
      <c r="I722" s="34">
        <v>8</v>
      </c>
      <c r="J722" s="34">
        <v>21</v>
      </c>
      <c r="K722" s="34">
        <v>22</v>
      </c>
      <c r="L722" s="34">
        <v>9</v>
      </c>
      <c r="M722" s="34">
        <v>24</v>
      </c>
      <c r="N722" s="34">
        <v>23</v>
      </c>
      <c r="O722" s="34">
        <v>36</v>
      </c>
      <c r="P722" s="34">
        <v>27</v>
      </c>
      <c r="Q722" s="35">
        <f t="shared" si="24"/>
        <v>263</v>
      </c>
      <c r="R722" s="4" t="s">
        <v>22</v>
      </c>
    </row>
    <row r="723" spans="1:18" x14ac:dyDescent="0.25">
      <c r="A723" s="40">
        <v>46140</v>
      </c>
      <c r="B723" s="28">
        <v>1</v>
      </c>
      <c r="C723" s="34" t="s">
        <v>362</v>
      </c>
      <c r="D723" s="34" t="s">
        <v>361</v>
      </c>
      <c r="E723" s="34">
        <v>11</v>
      </c>
      <c r="F723" s="34">
        <v>17</v>
      </c>
      <c r="G723" s="34">
        <v>12</v>
      </c>
      <c r="H723" s="34">
        <v>23</v>
      </c>
      <c r="I723" s="34">
        <v>13</v>
      </c>
      <c r="J723" s="34">
        <v>27</v>
      </c>
      <c r="K723" s="34">
        <v>5</v>
      </c>
      <c r="L723" s="34">
        <v>2</v>
      </c>
      <c r="M723" s="34">
        <v>7</v>
      </c>
      <c r="N723" s="34">
        <v>14</v>
      </c>
      <c r="O723" s="34">
        <v>16</v>
      </c>
      <c r="P723" s="34">
        <v>13</v>
      </c>
      <c r="Q723" s="35">
        <f t="shared" si="24"/>
        <v>160</v>
      </c>
      <c r="R723" s="4" t="s">
        <v>22</v>
      </c>
    </row>
    <row r="724" spans="1:18" x14ac:dyDescent="0.25">
      <c r="A724" s="40">
        <v>46140</v>
      </c>
      <c r="B724" s="28">
        <v>1</v>
      </c>
      <c r="C724" s="34" t="s">
        <v>749</v>
      </c>
      <c r="D724" s="34" t="s">
        <v>121</v>
      </c>
      <c r="E724" s="34">
        <v>11</v>
      </c>
      <c r="F724" s="34">
        <v>16</v>
      </c>
      <c r="G724" s="34">
        <v>17</v>
      </c>
      <c r="H724" s="34">
        <v>24</v>
      </c>
      <c r="I724" s="34">
        <v>17</v>
      </c>
      <c r="J724" s="34">
        <v>23</v>
      </c>
      <c r="K724" s="34">
        <v>22</v>
      </c>
      <c r="L724" s="34">
        <v>11</v>
      </c>
      <c r="M724" s="34">
        <v>29</v>
      </c>
      <c r="N724" s="34">
        <v>20</v>
      </c>
      <c r="O724" s="34">
        <v>15</v>
      </c>
      <c r="P724" s="34">
        <v>16</v>
      </c>
      <c r="Q724" s="35">
        <f t="shared" si="24"/>
        <v>221</v>
      </c>
      <c r="R724" s="4" t="s">
        <v>22</v>
      </c>
    </row>
    <row r="725" spans="1:18" x14ac:dyDescent="0.25">
      <c r="A725" s="40">
        <v>46140</v>
      </c>
      <c r="B725" s="28">
        <v>1</v>
      </c>
      <c r="C725" s="34" t="s">
        <v>110</v>
      </c>
      <c r="D725" s="34" t="s">
        <v>123</v>
      </c>
      <c r="E725" s="34">
        <v>16</v>
      </c>
      <c r="F725" s="34">
        <v>21</v>
      </c>
      <c r="G725" s="34">
        <v>22</v>
      </c>
      <c r="H725" s="34">
        <v>15</v>
      </c>
      <c r="I725" s="34">
        <v>11</v>
      </c>
      <c r="J725" s="34">
        <v>19</v>
      </c>
      <c r="K725" s="34">
        <v>20</v>
      </c>
      <c r="L725" s="34">
        <v>13</v>
      </c>
      <c r="M725" s="34">
        <v>33</v>
      </c>
      <c r="N725" s="34">
        <v>37</v>
      </c>
      <c r="O725" s="34">
        <v>22</v>
      </c>
      <c r="Q725" s="35">
        <f t="shared" si="24"/>
        <v>229</v>
      </c>
      <c r="R725" s="4" t="s">
        <v>22</v>
      </c>
    </row>
    <row r="726" spans="1:18" x14ac:dyDescent="0.25">
      <c r="A726" s="40">
        <v>46140</v>
      </c>
      <c r="B726" s="28">
        <v>1</v>
      </c>
      <c r="C726" s="34" t="s">
        <v>109</v>
      </c>
      <c r="D726" s="34" t="s">
        <v>122</v>
      </c>
      <c r="Q726" s="35">
        <f t="shared" si="24"/>
        <v>0</v>
      </c>
      <c r="R726" s="4" t="s">
        <v>22</v>
      </c>
    </row>
    <row r="727" spans="1:18" x14ac:dyDescent="0.25">
      <c r="A727" s="40">
        <v>46140</v>
      </c>
      <c r="B727" s="28">
        <v>1</v>
      </c>
      <c r="C727" s="34" t="s">
        <v>640</v>
      </c>
      <c r="D727" s="34" t="s">
        <v>108</v>
      </c>
      <c r="E727" s="34">
        <v>16</v>
      </c>
      <c r="F727" s="34">
        <v>22</v>
      </c>
      <c r="G727" s="34">
        <v>18</v>
      </c>
      <c r="H727" s="34">
        <v>10</v>
      </c>
      <c r="I727" s="34">
        <v>4</v>
      </c>
      <c r="J727" s="34">
        <v>21</v>
      </c>
      <c r="K727" s="34">
        <v>12</v>
      </c>
      <c r="L727" s="34">
        <v>7</v>
      </c>
      <c r="M727" s="34">
        <v>24</v>
      </c>
      <c r="N727" s="34">
        <v>13</v>
      </c>
      <c r="O727" s="34">
        <v>14</v>
      </c>
      <c r="P727" s="34">
        <v>12</v>
      </c>
      <c r="Q727" s="35">
        <f t="shared" si="24"/>
        <v>173</v>
      </c>
      <c r="R727" s="4" t="s">
        <v>22</v>
      </c>
    </row>
    <row r="728" spans="1:18" x14ac:dyDescent="0.25">
      <c r="A728" s="40">
        <v>46140</v>
      </c>
      <c r="B728" s="28">
        <v>1</v>
      </c>
      <c r="C728" s="34" t="s">
        <v>363</v>
      </c>
      <c r="D728" s="34" t="s">
        <v>364</v>
      </c>
      <c r="E728" s="34">
        <v>18</v>
      </c>
      <c r="F728" s="34">
        <v>18</v>
      </c>
      <c r="G728" s="34">
        <v>18</v>
      </c>
      <c r="H728" s="34">
        <v>14</v>
      </c>
      <c r="I728" s="34">
        <v>16</v>
      </c>
      <c r="J728" s="34">
        <v>28</v>
      </c>
      <c r="K728" s="34">
        <v>12</v>
      </c>
      <c r="L728" s="34">
        <v>4</v>
      </c>
      <c r="M728" s="34">
        <v>26</v>
      </c>
      <c r="N728" s="34">
        <v>24</v>
      </c>
      <c r="O728" s="34">
        <v>26</v>
      </c>
      <c r="P728" s="34">
        <v>20</v>
      </c>
      <c r="Q728" s="35">
        <f t="shared" si="24"/>
        <v>224</v>
      </c>
      <c r="R728" s="4" t="s">
        <v>22</v>
      </c>
    </row>
    <row r="729" spans="1:18" x14ac:dyDescent="0.25">
      <c r="A729" s="40">
        <v>46140</v>
      </c>
      <c r="B729" s="28">
        <v>1</v>
      </c>
      <c r="C729" s="34" t="s">
        <v>395</v>
      </c>
      <c r="D729" s="34" t="s">
        <v>396</v>
      </c>
      <c r="F729" s="34">
        <v>6</v>
      </c>
      <c r="G729" s="34">
        <v>29</v>
      </c>
      <c r="H729" s="34">
        <v>16</v>
      </c>
      <c r="I729" s="34">
        <v>13</v>
      </c>
      <c r="J729" s="34">
        <v>17</v>
      </c>
      <c r="K729" s="34">
        <v>25</v>
      </c>
      <c r="L729" s="34">
        <v>12</v>
      </c>
      <c r="M729" s="34">
        <v>35</v>
      </c>
      <c r="N729" s="34">
        <v>18</v>
      </c>
      <c r="O729" s="34">
        <v>25</v>
      </c>
      <c r="P729" s="34">
        <v>29</v>
      </c>
      <c r="Q729" s="35">
        <f t="shared" si="24"/>
        <v>225</v>
      </c>
      <c r="R729" s="4" t="s">
        <v>22</v>
      </c>
    </row>
    <row r="730" spans="1:18" x14ac:dyDescent="0.25">
      <c r="A730" s="40">
        <v>46140</v>
      </c>
      <c r="B730" s="28">
        <v>1</v>
      </c>
      <c r="C730" s="34" t="s">
        <v>807</v>
      </c>
      <c r="D730" s="34" t="s">
        <v>808</v>
      </c>
      <c r="E730" s="34">
        <v>17</v>
      </c>
      <c r="F730" s="34">
        <v>18</v>
      </c>
      <c r="G730" s="34">
        <v>15</v>
      </c>
      <c r="H730" s="34">
        <v>18</v>
      </c>
      <c r="I730" s="34">
        <v>15</v>
      </c>
      <c r="J730" s="34">
        <v>21</v>
      </c>
      <c r="K730" s="34">
        <v>11</v>
      </c>
      <c r="L730" s="34">
        <v>7</v>
      </c>
      <c r="M730" s="34">
        <v>22</v>
      </c>
      <c r="N730" s="34">
        <v>24</v>
      </c>
      <c r="O730" s="34">
        <v>21</v>
      </c>
      <c r="P730" s="34">
        <v>16</v>
      </c>
      <c r="Q730" s="35">
        <f t="shared" si="24"/>
        <v>205</v>
      </c>
      <c r="R730" s="4" t="s">
        <v>140</v>
      </c>
    </row>
    <row r="731" spans="1:18" x14ac:dyDescent="0.25">
      <c r="A731" s="40">
        <v>46140</v>
      </c>
      <c r="B731" s="28">
        <v>1</v>
      </c>
      <c r="C731" s="34" t="s">
        <v>215</v>
      </c>
      <c r="D731" s="34" t="s">
        <v>739</v>
      </c>
      <c r="E731" s="34">
        <v>16</v>
      </c>
      <c r="F731" s="34">
        <v>19</v>
      </c>
      <c r="G731" s="34">
        <v>20</v>
      </c>
      <c r="H731" s="34">
        <v>4</v>
      </c>
      <c r="I731" s="34">
        <v>5</v>
      </c>
      <c r="J731" s="34">
        <v>7</v>
      </c>
      <c r="K731" s="34">
        <v>13</v>
      </c>
      <c r="L731" s="34">
        <v>10</v>
      </c>
      <c r="M731" s="34">
        <v>19</v>
      </c>
      <c r="N731" s="34">
        <v>19</v>
      </c>
      <c r="O731" s="34">
        <v>18</v>
      </c>
      <c r="P731" s="34">
        <v>15</v>
      </c>
      <c r="Q731" s="35">
        <f t="shared" si="24"/>
        <v>165</v>
      </c>
      <c r="R731" s="4" t="s">
        <v>140</v>
      </c>
    </row>
    <row r="732" spans="1:18" x14ac:dyDescent="0.25">
      <c r="A732" s="40">
        <v>46140</v>
      </c>
      <c r="B732" s="28">
        <v>1</v>
      </c>
      <c r="C732" s="34" t="s">
        <v>184</v>
      </c>
      <c r="D732" s="34" t="s">
        <v>834</v>
      </c>
      <c r="E732" s="34">
        <v>15</v>
      </c>
      <c r="F732" s="34">
        <v>24</v>
      </c>
      <c r="G732" s="34">
        <v>24</v>
      </c>
      <c r="H732" s="34">
        <v>11</v>
      </c>
      <c r="I732" s="34">
        <v>10</v>
      </c>
      <c r="J732" s="34">
        <v>17</v>
      </c>
      <c r="K732" s="34">
        <v>20</v>
      </c>
      <c r="L732" s="34">
        <v>8</v>
      </c>
      <c r="M732" s="34">
        <v>26</v>
      </c>
      <c r="N732" s="34">
        <v>10</v>
      </c>
      <c r="O732" s="34">
        <v>22</v>
      </c>
      <c r="P732" s="34">
        <v>23</v>
      </c>
      <c r="Q732" s="35">
        <f t="shared" si="24"/>
        <v>210</v>
      </c>
      <c r="R732" s="4" t="s">
        <v>140</v>
      </c>
    </row>
    <row r="733" spans="1:18" x14ac:dyDescent="0.25">
      <c r="A733" s="40">
        <v>46140</v>
      </c>
      <c r="B733" s="28">
        <v>1</v>
      </c>
      <c r="C733" s="34" t="s">
        <v>809</v>
      </c>
      <c r="D733" s="34" t="s">
        <v>137</v>
      </c>
      <c r="E733" s="34">
        <v>17</v>
      </c>
      <c r="F733" s="34">
        <v>19</v>
      </c>
      <c r="G733" s="34">
        <v>15</v>
      </c>
      <c r="H733" s="34">
        <v>13</v>
      </c>
      <c r="I733" s="34">
        <v>9</v>
      </c>
      <c r="J733" s="34">
        <v>16</v>
      </c>
      <c r="K733" s="34">
        <v>17</v>
      </c>
      <c r="L733" s="34">
        <v>9</v>
      </c>
      <c r="M733" s="34">
        <v>23</v>
      </c>
      <c r="N733" s="34">
        <v>21</v>
      </c>
      <c r="Q733" s="35">
        <f t="shared" si="24"/>
        <v>159</v>
      </c>
      <c r="R733" s="4" t="s">
        <v>140</v>
      </c>
    </row>
    <row r="734" spans="1:18" x14ac:dyDescent="0.25">
      <c r="A734" s="40">
        <v>46140</v>
      </c>
      <c r="B734" s="28">
        <v>1</v>
      </c>
      <c r="C734" s="34" t="s">
        <v>137</v>
      </c>
      <c r="D734" s="34" t="s">
        <v>130</v>
      </c>
      <c r="E734" s="34">
        <v>18</v>
      </c>
      <c r="F734" s="34">
        <v>23</v>
      </c>
      <c r="G734" s="34">
        <v>22</v>
      </c>
      <c r="H734" s="34">
        <v>14</v>
      </c>
      <c r="I734" s="34">
        <v>10</v>
      </c>
      <c r="J734" s="34">
        <v>22</v>
      </c>
      <c r="K734" s="34">
        <v>18</v>
      </c>
      <c r="L734" s="34">
        <v>10</v>
      </c>
      <c r="M734" s="34">
        <v>24</v>
      </c>
      <c r="N734" s="34">
        <v>17</v>
      </c>
      <c r="O734" s="34">
        <v>18</v>
      </c>
      <c r="P734" s="34">
        <v>17</v>
      </c>
      <c r="Q734" s="35">
        <f t="shared" si="24"/>
        <v>213</v>
      </c>
      <c r="R734" s="4" t="s">
        <v>140</v>
      </c>
    </row>
    <row r="735" spans="1:18" x14ac:dyDescent="0.25">
      <c r="A735" s="40">
        <v>46140</v>
      </c>
      <c r="B735" s="28">
        <v>1</v>
      </c>
      <c r="C735" s="34" t="s">
        <v>135</v>
      </c>
      <c r="D735" s="34" t="s">
        <v>128</v>
      </c>
      <c r="E735" s="34">
        <v>11</v>
      </c>
      <c r="F735" s="34">
        <v>9</v>
      </c>
      <c r="G735" s="34">
        <v>13</v>
      </c>
      <c r="H735" s="34">
        <v>23</v>
      </c>
      <c r="I735" s="34">
        <v>12</v>
      </c>
      <c r="J735" s="34">
        <v>17</v>
      </c>
      <c r="K735" s="34">
        <v>6</v>
      </c>
      <c r="L735" s="34">
        <v>3</v>
      </c>
      <c r="M735" s="34">
        <v>16</v>
      </c>
      <c r="N735" s="34">
        <v>19</v>
      </c>
      <c r="O735" s="34">
        <v>21</v>
      </c>
      <c r="P735" s="34">
        <v>23</v>
      </c>
      <c r="Q735" s="35">
        <f t="shared" si="24"/>
        <v>173</v>
      </c>
      <c r="R735" s="4" t="s">
        <v>140</v>
      </c>
    </row>
    <row r="736" spans="1:18" x14ac:dyDescent="0.25">
      <c r="A736" s="40">
        <v>46140</v>
      </c>
      <c r="B736" s="28">
        <v>1</v>
      </c>
      <c r="C736" s="34" t="s">
        <v>134</v>
      </c>
      <c r="D736" s="34" t="s">
        <v>127</v>
      </c>
      <c r="E736" s="34">
        <v>10</v>
      </c>
      <c r="F736" s="34">
        <v>13</v>
      </c>
      <c r="G736" s="34">
        <v>15</v>
      </c>
      <c r="H736" s="34">
        <v>9</v>
      </c>
      <c r="I736" s="34">
        <v>11</v>
      </c>
      <c r="J736" s="34">
        <v>18</v>
      </c>
      <c r="K736" s="34">
        <v>16</v>
      </c>
      <c r="L736" s="34">
        <v>11</v>
      </c>
      <c r="M736" s="34">
        <v>26</v>
      </c>
      <c r="N736" s="34">
        <v>12</v>
      </c>
      <c r="O736" s="34">
        <v>9</v>
      </c>
      <c r="P736" s="34">
        <v>14</v>
      </c>
      <c r="Q736" s="35">
        <f t="shared" si="24"/>
        <v>164</v>
      </c>
      <c r="R736" s="4" t="s">
        <v>140</v>
      </c>
    </row>
    <row r="738" spans="1:18" x14ac:dyDescent="0.25">
      <c r="A738" s="40">
        <v>46141</v>
      </c>
      <c r="B738" s="28">
        <v>1</v>
      </c>
      <c r="C738" s="34" t="s">
        <v>100</v>
      </c>
      <c r="D738" s="34" t="s">
        <v>114</v>
      </c>
      <c r="E738" s="34">
        <v>14</v>
      </c>
      <c r="F738" s="34">
        <v>15</v>
      </c>
      <c r="G738" s="34">
        <v>21</v>
      </c>
      <c r="H738" s="34">
        <v>17</v>
      </c>
      <c r="I738" s="34">
        <v>16</v>
      </c>
      <c r="J738" s="34">
        <v>18</v>
      </c>
      <c r="K738" s="34">
        <v>21</v>
      </c>
      <c r="L738" s="34">
        <v>11</v>
      </c>
      <c r="M738" s="34">
        <v>28</v>
      </c>
      <c r="N738" s="34">
        <v>32</v>
      </c>
      <c r="O738" s="34">
        <v>30</v>
      </c>
      <c r="P738" s="34">
        <v>24</v>
      </c>
      <c r="Q738" s="35">
        <f t="shared" ref="Q738:Q764" si="25">SUM(E738:P738)</f>
        <v>247</v>
      </c>
      <c r="R738" s="4" t="s">
        <v>22</v>
      </c>
    </row>
    <row r="739" spans="1:18" x14ac:dyDescent="0.25">
      <c r="A739" s="40">
        <v>46141</v>
      </c>
      <c r="B739" s="28">
        <v>1</v>
      </c>
      <c r="C739" s="34" t="s">
        <v>197</v>
      </c>
      <c r="D739" s="34" t="s">
        <v>114</v>
      </c>
      <c r="Q739" s="35">
        <f t="shared" si="25"/>
        <v>0</v>
      </c>
      <c r="R739" s="4" t="s">
        <v>22</v>
      </c>
    </row>
    <row r="740" spans="1:18" x14ac:dyDescent="0.25">
      <c r="A740" s="40">
        <v>46141</v>
      </c>
      <c r="B740" s="28">
        <v>1</v>
      </c>
      <c r="C740" s="34" t="s">
        <v>445</v>
      </c>
      <c r="D740" s="34" t="s">
        <v>446</v>
      </c>
      <c r="E740" s="34">
        <v>13</v>
      </c>
      <c r="F740" s="34">
        <v>21</v>
      </c>
      <c r="G740" s="34">
        <v>20</v>
      </c>
      <c r="H740" s="34">
        <v>16</v>
      </c>
      <c r="I740" s="34">
        <v>9</v>
      </c>
      <c r="J740" s="34">
        <v>17</v>
      </c>
      <c r="K740" s="34">
        <v>7</v>
      </c>
      <c r="L740" s="34">
        <v>3</v>
      </c>
      <c r="M740" s="34">
        <v>11</v>
      </c>
      <c r="N740" s="34">
        <v>18</v>
      </c>
      <c r="O740" s="34">
        <v>17</v>
      </c>
      <c r="P740" s="34">
        <v>14</v>
      </c>
      <c r="Q740" s="35">
        <f t="shared" si="25"/>
        <v>166</v>
      </c>
      <c r="R740" s="4" t="s">
        <v>22</v>
      </c>
    </row>
    <row r="741" spans="1:18" x14ac:dyDescent="0.25">
      <c r="A741" s="40">
        <v>46141</v>
      </c>
      <c r="B741" s="28">
        <v>1</v>
      </c>
      <c r="C741" s="34" t="s">
        <v>111</v>
      </c>
      <c r="D741" s="34" t="s">
        <v>124</v>
      </c>
      <c r="E741" s="34">
        <v>6</v>
      </c>
      <c r="F741" s="34">
        <v>19</v>
      </c>
      <c r="G741" s="34">
        <v>20</v>
      </c>
      <c r="H741" s="34">
        <v>24</v>
      </c>
      <c r="I741" s="34">
        <v>13</v>
      </c>
      <c r="J741" s="34">
        <v>20</v>
      </c>
      <c r="K741" s="34">
        <v>18</v>
      </c>
      <c r="L741" s="34">
        <v>7</v>
      </c>
      <c r="M741" s="34">
        <v>18</v>
      </c>
      <c r="N741" s="34">
        <v>18</v>
      </c>
      <c r="O741" s="34">
        <v>19</v>
      </c>
      <c r="P741" s="34">
        <v>18</v>
      </c>
      <c r="Q741" s="35">
        <f t="shared" si="25"/>
        <v>200</v>
      </c>
      <c r="R741" s="4" t="s">
        <v>22</v>
      </c>
    </row>
    <row r="742" spans="1:18" x14ac:dyDescent="0.25">
      <c r="A742" s="40">
        <v>46141</v>
      </c>
      <c r="B742" s="28">
        <v>1</v>
      </c>
      <c r="C742" s="34" t="s">
        <v>103</v>
      </c>
      <c r="D742" s="34" t="s">
        <v>115</v>
      </c>
      <c r="E742" s="34">
        <v>8</v>
      </c>
      <c r="F742" s="34">
        <v>13</v>
      </c>
      <c r="G742" s="34">
        <v>14</v>
      </c>
      <c r="H742" s="34">
        <v>20</v>
      </c>
      <c r="I742" s="34">
        <v>16</v>
      </c>
      <c r="J742" s="34">
        <v>25</v>
      </c>
      <c r="K742" s="34">
        <v>18</v>
      </c>
      <c r="L742" s="34">
        <v>6</v>
      </c>
      <c r="M742" s="34">
        <v>23</v>
      </c>
      <c r="N742" s="34">
        <v>18</v>
      </c>
      <c r="O742" s="34">
        <v>24</v>
      </c>
      <c r="P742" s="34">
        <v>25</v>
      </c>
      <c r="Q742" s="35">
        <f t="shared" si="25"/>
        <v>210</v>
      </c>
      <c r="R742" s="4" t="s">
        <v>22</v>
      </c>
    </row>
    <row r="743" spans="1:18" x14ac:dyDescent="0.25">
      <c r="A743" s="40">
        <v>46141</v>
      </c>
      <c r="B743" s="28">
        <v>1</v>
      </c>
      <c r="C743" s="34" t="s">
        <v>102</v>
      </c>
      <c r="D743" s="34" t="s">
        <v>116</v>
      </c>
      <c r="E743" s="34">
        <v>10</v>
      </c>
      <c r="F743" s="34">
        <v>18</v>
      </c>
      <c r="G743" s="34">
        <v>19</v>
      </c>
      <c r="H743" s="34">
        <v>13</v>
      </c>
      <c r="Q743" s="35">
        <f t="shared" si="25"/>
        <v>60</v>
      </c>
      <c r="R743" s="4" t="s">
        <v>22</v>
      </c>
    </row>
    <row r="744" spans="1:18" x14ac:dyDescent="0.25">
      <c r="A744" s="40">
        <v>46141</v>
      </c>
      <c r="B744" s="28">
        <v>1</v>
      </c>
      <c r="C744" s="34" t="s">
        <v>104</v>
      </c>
      <c r="D744" s="34" t="s">
        <v>117</v>
      </c>
      <c r="E744" s="34">
        <v>8</v>
      </c>
      <c r="F744" s="34">
        <v>9</v>
      </c>
      <c r="G744" s="34">
        <v>14</v>
      </c>
      <c r="H744" s="34">
        <v>17</v>
      </c>
      <c r="I744" s="34">
        <v>11</v>
      </c>
      <c r="J744" s="34">
        <v>19</v>
      </c>
      <c r="K744" s="34">
        <v>18</v>
      </c>
      <c r="L744" s="34">
        <v>5</v>
      </c>
      <c r="M744" s="34">
        <v>15</v>
      </c>
      <c r="N744" s="34">
        <v>16</v>
      </c>
      <c r="O744" s="34">
        <v>18</v>
      </c>
      <c r="P744" s="34">
        <v>18</v>
      </c>
      <c r="Q744" s="35">
        <f t="shared" si="25"/>
        <v>168</v>
      </c>
      <c r="R744" s="4" t="s">
        <v>22</v>
      </c>
    </row>
    <row r="745" spans="1:18" x14ac:dyDescent="0.25">
      <c r="A745" s="40">
        <v>46141</v>
      </c>
      <c r="B745" s="28">
        <v>1</v>
      </c>
      <c r="C745" s="34" t="s">
        <v>105</v>
      </c>
      <c r="D745" s="34" t="s">
        <v>118</v>
      </c>
      <c r="E745" s="34">
        <v>1</v>
      </c>
      <c r="F745" s="34">
        <v>19</v>
      </c>
      <c r="G745" s="34">
        <v>17</v>
      </c>
      <c r="H745" s="34">
        <v>18</v>
      </c>
      <c r="I745" s="34">
        <v>8</v>
      </c>
      <c r="J745" s="34">
        <v>16</v>
      </c>
      <c r="K745" s="34">
        <v>21</v>
      </c>
      <c r="L745" s="34">
        <v>6</v>
      </c>
      <c r="M745" s="34">
        <v>28</v>
      </c>
      <c r="N745" s="34">
        <v>18</v>
      </c>
      <c r="O745" s="34">
        <v>24</v>
      </c>
      <c r="P745" s="34">
        <v>25</v>
      </c>
      <c r="Q745" s="35">
        <f t="shared" si="25"/>
        <v>201</v>
      </c>
      <c r="R745" s="4" t="s">
        <v>22</v>
      </c>
    </row>
    <row r="746" spans="1:18" x14ac:dyDescent="0.25">
      <c r="A746" s="40">
        <v>46141</v>
      </c>
      <c r="B746" s="28">
        <v>1</v>
      </c>
      <c r="C746" s="34" t="s">
        <v>757</v>
      </c>
      <c r="D746" s="34" t="s">
        <v>641</v>
      </c>
      <c r="E746" s="34">
        <v>4</v>
      </c>
      <c r="F746" s="34">
        <v>19</v>
      </c>
      <c r="G746" s="34">
        <v>16</v>
      </c>
      <c r="H746" s="34">
        <v>16</v>
      </c>
      <c r="I746" s="34">
        <v>10</v>
      </c>
      <c r="J746" s="34">
        <v>20</v>
      </c>
      <c r="K746" s="34">
        <v>23</v>
      </c>
      <c r="L746" s="34">
        <v>7</v>
      </c>
      <c r="M746" s="34">
        <v>19</v>
      </c>
      <c r="N746" s="34">
        <v>19</v>
      </c>
      <c r="O746" s="34">
        <v>23</v>
      </c>
      <c r="P746" s="34">
        <v>15</v>
      </c>
      <c r="Q746" s="35">
        <f t="shared" si="25"/>
        <v>191</v>
      </c>
      <c r="R746" s="4" t="s">
        <v>22</v>
      </c>
    </row>
    <row r="747" spans="1:18" x14ac:dyDescent="0.25">
      <c r="A747" s="40">
        <v>46141</v>
      </c>
      <c r="B747" s="28">
        <v>1</v>
      </c>
      <c r="C747" s="34" t="s">
        <v>106</v>
      </c>
      <c r="D747" s="34" t="s">
        <v>119</v>
      </c>
      <c r="E747" s="34">
        <v>11</v>
      </c>
      <c r="F747" s="34">
        <v>23</v>
      </c>
      <c r="G747" s="34">
        <v>16</v>
      </c>
      <c r="H747" s="34">
        <v>20</v>
      </c>
      <c r="I747" s="34">
        <v>14</v>
      </c>
      <c r="J747" s="34">
        <v>21</v>
      </c>
      <c r="K747" s="34">
        <v>17</v>
      </c>
      <c r="L747" s="34">
        <v>7</v>
      </c>
      <c r="M747" s="34">
        <v>23</v>
      </c>
      <c r="N747" s="34">
        <v>21</v>
      </c>
      <c r="O747" s="34">
        <v>25</v>
      </c>
      <c r="P747" s="34">
        <v>16</v>
      </c>
      <c r="Q747" s="35">
        <f t="shared" si="25"/>
        <v>214</v>
      </c>
      <c r="R747" s="4" t="s">
        <v>22</v>
      </c>
    </row>
    <row r="748" spans="1:18" x14ac:dyDescent="0.25">
      <c r="A748" s="40">
        <v>46141</v>
      </c>
      <c r="B748" s="28">
        <v>1</v>
      </c>
      <c r="C748" s="34" t="s">
        <v>107</v>
      </c>
      <c r="D748" s="34" t="s">
        <v>120</v>
      </c>
      <c r="E748" s="34">
        <v>12</v>
      </c>
      <c r="F748" s="34">
        <v>24</v>
      </c>
      <c r="G748" s="34">
        <v>20</v>
      </c>
      <c r="H748" s="34">
        <v>25</v>
      </c>
      <c r="I748" s="34">
        <v>15</v>
      </c>
      <c r="J748" s="34">
        <v>18</v>
      </c>
      <c r="K748" s="34">
        <v>20</v>
      </c>
      <c r="L748" s="34">
        <v>6</v>
      </c>
      <c r="M748" s="34">
        <v>21</v>
      </c>
      <c r="N748" s="34">
        <v>26</v>
      </c>
      <c r="O748" s="34">
        <v>26</v>
      </c>
      <c r="P748" s="34">
        <v>21</v>
      </c>
      <c r="Q748" s="35">
        <f t="shared" si="25"/>
        <v>234</v>
      </c>
      <c r="R748" s="4" t="s">
        <v>22</v>
      </c>
    </row>
    <row r="749" spans="1:18" x14ac:dyDescent="0.25">
      <c r="A749" s="40">
        <v>46141</v>
      </c>
      <c r="B749" s="28">
        <v>1</v>
      </c>
      <c r="C749" s="34" t="s">
        <v>485</v>
      </c>
      <c r="D749" s="34" t="s">
        <v>738</v>
      </c>
      <c r="E749" s="34">
        <v>8</v>
      </c>
      <c r="F749" s="34">
        <v>20</v>
      </c>
      <c r="G749" s="34">
        <v>22</v>
      </c>
      <c r="H749" s="34">
        <v>15</v>
      </c>
      <c r="I749" s="34">
        <v>16</v>
      </c>
      <c r="J749" s="34">
        <v>24</v>
      </c>
      <c r="K749" s="34">
        <v>28</v>
      </c>
      <c r="L749" s="34">
        <v>5</v>
      </c>
      <c r="M749" s="34">
        <v>21</v>
      </c>
      <c r="N749" s="34">
        <v>18</v>
      </c>
      <c r="O749" s="34">
        <v>24</v>
      </c>
      <c r="P749" s="34">
        <v>22</v>
      </c>
      <c r="Q749" s="35">
        <f t="shared" si="25"/>
        <v>223</v>
      </c>
      <c r="R749" s="4" t="s">
        <v>22</v>
      </c>
    </row>
    <row r="750" spans="1:18" x14ac:dyDescent="0.25">
      <c r="A750" s="40">
        <v>46141</v>
      </c>
      <c r="B750" s="28">
        <v>1</v>
      </c>
      <c r="C750" s="34" t="s">
        <v>101</v>
      </c>
      <c r="D750" s="34" t="s">
        <v>113</v>
      </c>
      <c r="E750" s="34">
        <v>15</v>
      </c>
      <c r="F750" s="34">
        <v>17</v>
      </c>
      <c r="G750" s="34">
        <v>15</v>
      </c>
      <c r="H750" s="34">
        <v>24</v>
      </c>
      <c r="I750" s="34">
        <v>12</v>
      </c>
      <c r="J750" s="34">
        <v>23</v>
      </c>
      <c r="K750" s="34">
        <v>25</v>
      </c>
      <c r="L750" s="34">
        <v>10</v>
      </c>
      <c r="M750" s="34">
        <v>19</v>
      </c>
      <c r="N750" s="34">
        <v>23</v>
      </c>
      <c r="O750" s="34">
        <v>21</v>
      </c>
      <c r="P750" s="34">
        <v>23</v>
      </c>
      <c r="Q750" s="35">
        <f t="shared" si="25"/>
        <v>227</v>
      </c>
      <c r="R750" s="4" t="s">
        <v>22</v>
      </c>
    </row>
    <row r="751" spans="1:18" x14ac:dyDescent="0.25">
      <c r="A751" s="40">
        <v>46141</v>
      </c>
      <c r="B751" s="28">
        <v>1</v>
      </c>
      <c r="C751" s="34" t="s">
        <v>362</v>
      </c>
      <c r="D751" s="34" t="s">
        <v>361</v>
      </c>
      <c r="E751" s="34">
        <v>11</v>
      </c>
      <c r="F751" s="34">
        <v>26</v>
      </c>
      <c r="G751" s="34">
        <v>23</v>
      </c>
      <c r="H751" s="34">
        <v>19</v>
      </c>
      <c r="I751" s="34">
        <v>13</v>
      </c>
      <c r="J751" s="34">
        <v>16</v>
      </c>
      <c r="K751" s="34">
        <v>16</v>
      </c>
      <c r="L751" s="34">
        <v>5</v>
      </c>
      <c r="M751" s="34">
        <v>23</v>
      </c>
      <c r="N751" s="34">
        <v>3</v>
      </c>
      <c r="Q751" s="35">
        <f t="shared" si="25"/>
        <v>155</v>
      </c>
      <c r="R751" s="4" t="s">
        <v>22</v>
      </c>
    </row>
    <row r="752" spans="1:18" x14ac:dyDescent="0.25">
      <c r="A752" s="40">
        <v>46141</v>
      </c>
      <c r="B752" s="28">
        <v>1</v>
      </c>
      <c r="C752" s="34" t="s">
        <v>749</v>
      </c>
      <c r="D752" s="34" t="s">
        <v>121</v>
      </c>
      <c r="E752" s="34">
        <v>8</v>
      </c>
      <c r="F752" s="34">
        <v>16</v>
      </c>
      <c r="G752" s="34">
        <v>17</v>
      </c>
      <c r="H752" s="34">
        <v>22</v>
      </c>
      <c r="I752" s="34">
        <v>10</v>
      </c>
      <c r="J752" s="34">
        <v>21</v>
      </c>
      <c r="K752" s="34">
        <v>17</v>
      </c>
      <c r="L752" s="34">
        <v>5</v>
      </c>
      <c r="M752" s="34">
        <v>20</v>
      </c>
      <c r="N752" s="34">
        <v>20</v>
      </c>
      <c r="O752" s="34">
        <v>21</v>
      </c>
      <c r="P752" s="34">
        <v>16</v>
      </c>
      <c r="Q752" s="35">
        <f t="shared" si="25"/>
        <v>193</v>
      </c>
      <c r="R752" s="4" t="s">
        <v>22</v>
      </c>
    </row>
    <row r="753" spans="1:18" x14ac:dyDescent="0.25">
      <c r="A753" s="40">
        <v>46141</v>
      </c>
      <c r="B753" s="28">
        <v>1</v>
      </c>
      <c r="C753" s="34" t="s">
        <v>110</v>
      </c>
      <c r="D753" s="34" t="s">
        <v>123</v>
      </c>
      <c r="E753" s="34">
        <v>14</v>
      </c>
      <c r="F753" s="34">
        <v>22</v>
      </c>
      <c r="G753" s="34">
        <v>27</v>
      </c>
      <c r="H753" s="34">
        <v>26</v>
      </c>
      <c r="I753" s="34">
        <v>12</v>
      </c>
      <c r="J753" s="34">
        <v>23</v>
      </c>
      <c r="K753" s="34">
        <v>27</v>
      </c>
      <c r="L753" s="34">
        <v>9</v>
      </c>
      <c r="M753" s="34">
        <v>21</v>
      </c>
      <c r="N753" s="34">
        <v>25</v>
      </c>
      <c r="O753" s="34">
        <v>23</v>
      </c>
      <c r="P753" s="34">
        <v>23</v>
      </c>
      <c r="Q753" s="35">
        <f t="shared" si="25"/>
        <v>252</v>
      </c>
      <c r="R753" s="4" t="s">
        <v>22</v>
      </c>
    </row>
    <row r="754" spans="1:18" x14ac:dyDescent="0.25">
      <c r="A754" s="40">
        <v>46141</v>
      </c>
      <c r="B754" s="28">
        <v>1</v>
      </c>
      <c r="C754" s="34" t="s">
        <v>109</v>
      </c>
      <c r="D754" s="34" t="s">
        <v>122</v>
      </c>
      <c r="Q754" s="35">
        <f t="shared" si="25"/>
        <v>0</v>
      </c>
      <c r="R754" s="4" t="s">
        <v>22</v>
      </c>
    </row>
    <row r="755" spans="1:18" x14ac:dyDescent="0.25">
      <c r="A755" s="40">
        <v>46141</v>
      </c>
      <c r="B755" s="28">
        <v>1</v>
      </c>
      <c r="C755" s="34" t="s">
        <v>640</v>
      </c>
      <c r="D755" s="34" t="s">
        <v>108</v>
      </c>
      <c r="E755" s="34">
        <v>10</v>
      </c>
      <c r="F755" s="34">
        <v>18</v>
      </c>
      <c r="G755" s="34">
        <v>17</v>
      </c>
      <c r="H755" s="34">
        <v>16</v>
      </c>
      <c r="I755" s="34">
        <v>8</v>
      </c>
      <c r="J755" s="34">
        <v>16</v>
      </c>
      <c r="K755" s="34">
        <v>20</v>
      </c>
      <c r="L755" s="34">
        <v>5</v>
      </c>
      <c r="M755" s="34">
        <v>14</v>
      </c>
      <c r="N755" s="34">
        <v>18</v>
      </c>
      <c r="O755" s="34">
        <v>21</v>
      </c>
      <c r="P755" s="34">
        <v>17</v>
      </c>
      <c r="Q755" s="35">
        <f t="shared" si="25"/>
        <v>180</v>
      </c>
      <c r="R755" s="4" t="s">
        <v>22</v>
      </c>
    </row>
    <row r="756" spans="1:18" x14ac:dyDescent="0.25">
      <c r="A756" s="40">
        <v>46141</v>
      </c>
      <c r="B756" s="28">
        <v>1</v>
      </c>
      <c r="C756" s="34" t="s">
        <v>363</v>
      </c>
      <c r="D756" s="34" t="s">
        <v>364</v>
      </c>
      <c r="E756" s="34">
        <v>15</v>
      </c>
      <c r="F756" s="34">
        <v>18</v>
      </c>
      <c r="G756" s="34">
        <v>23</v>
      </c>
      <c r="H756" s="34">
        <v>21</v>
      </c>
      <c r="I756" s="34">
        <v>10</v>
      </c>
      <c r="J756" s="34">
        <v>16</v>
      </c>
      <c r="K756" s="34">
        <v>18</v>
      </c>
      <c r="L756" s="34">
        <v>9</v>
      </c>
      <c r="M756" s="34">
        <v>19</v>
      </c>
      <c r="N756" s="34">
        <v>22</v>
      </c>
      <c r="O756" s="34">
        <v>21</v>
      </c>
      <c r="P756" s="34">
        <v>17</v>
      </c>
      <c r="Q756" s="35">
        <f t="shared" si="25"/>
        <v>209</v>
      </c>
      <c r="R756" s="4" t="s">
        <v>22</v>
      </c>
    </row>
    <row r="757" spans="1:18" x14ac:dyDescent="0.25">
      <c r="A757" s="40">
        <v>46141</v>
      </c>
      <c r="B757" s="28">
        <v>1</v>
      </c>
      <c r="C757" s="34" t="s">
        <v>395</v>
      </c>
      <c r="D757" s="34" t="s">
        <v>396</v>
      </c>
      <c r="E757" s="34">
        <v>12</v>
      </c>
      <c r="F757" s="34">
        <v>22</v>
      </c>
      <c r="G757" s="34">
        <v>25</v>
      </c>
      <c r="H757" s="34">
        <v>30</v>
      </c>
      <c r="I757" s="34">
        <v>15</v>
      </c>
      <c r="J757" s="34">
        <v>25</v>
      </c>
      <c r="K757" s="34">
        <v>31</v>
      </c>
      <c r="L757" s="34">
        <v>8</v>
      </c>
      <c r="M757" s="34">
        <v>24</v>
      </c>
      <c r="N757" s="34">
        <v>32</v>
      </c>
      <c r="O757" s="34">
        <v>28</v>
      </c>
      <c r="P757" s="34">
        <v>25</v>
      </c>
      <c r="Q757" s="35">
        <f t="shared" si="25"/>
        <v>277</v>
      </c>
      <c r="R757" s="4" t="s">
        <v>22</v>
      </c>
    </row>
    <row r="758" spans="1:18" x14ac:dyDescent="0.25">
      <c r="A758" s="40">
        <v>46141</v>
      </c>
      <c r="B758" s="28">
        <v>1</v>
      </c>
      <c r="C758" s="34" t="s">
        <v>807</v>
      </c>
      <c r="D758" s="34" t="s">
        <v>808</v>
      </c>
      <c r="E758" s="34">
        <v>15</v>
      </c>
      <c r="F758" s="34">
        <v>22</v>
      </c>
      <c r="G758" s="34">
        <v>23</v>
      </c>
      <c r="H758" s="34">
        <v>23</v>
      </c>
      <c r="I758" s="34">
        <v>14</v>
      </c>
      <c r="J758" s="34">
        <v>21</v>
      </c>
      <c r="K758" s="34">
        <v>13</v>
      </c>
      <c r="L758" s="34">
        <v>6</v>
      </c>
      <c r="M758" s="34">
        <v>22</v>
      </c>
      <c r="N758" s="34">
        <v>19</v>
      </c>
      <c r="O758" s="34">
        <v>21</v>
      </c>
      <c r="P758" s="34">
        <v>21</v>
      </c>
      <c r="Q758" s="35">
        <f t="shared" si="25"/>
        <v>220</v>
      </c>
      <c r="R758" s="4" t="s">
        <v>140</v>
      </c>
    </row>
    <row r="759" spans="1:18" x14ac:dyDescent="0.25">
      <c r="A759" s="40">
        <v>46141</v>
      </c>
      <c r="B759" s="28">
        <v>1</v>
      </c>
      <c r="C759" s="34" t="s">
        <v>215</v>
      </c>
      <c r="D759" s="34" t="s">
        <v>739</v>
      </c>
      <c r="E759" s="34">
        <v>6</v>
      </c>
      <c r="F759" s="34">
        <v>14</v>
      </c>
      <c r="G759" s="34">
        <v>15</v>
      </c>
      <c r="H759" s="34">
        <v>19</v>
      </c>
      <c r="I759" s="34">
        <v>11</v>
      </c>
      <c r="J759" s="34">
        <v>19</v>
      </c>
      <c r="K759" s="34">
        <v>19</v>
      </c>
      <c r="L759" s="34">
        <v>10</v>
      </c>
      <c r="M759" s="34">
        <v>17</v>
      </c>
      <c r="N759" s="34">
        <v>17</v>
      </c>
      <c r="O759" s="34">
        <v>20</v>
      </c>
      <c r="P759" s="34">
        <v>16</v>
      </c>
      <c r="Q759" s="35">
        <f t="shared" si="25"/>
        <v>183</v>
      </c>
      <c r="R759" s="4" t="s">
        <v>140</v>
      </c>
    </row>
    <row r="760" spans="1:18" x14ac:dyDescent="0.25">
      <c r="A760" s="40">
        <v>46141</v>
      </c>
      <c r="B760" s="28">
        <v>1</v>
      </c>
      <c r="C760" s="34" t="s">
        <v>184</v>
      </c>
      <c r="D760" s="34" t="s">
        <v>834</v>
      </c>
      <c r="E760" s="34">
        <v>9</v>
      </c>
      <c r="F760" s="34">
        <v>17</v>
      </c>
      <c r="G760" s="34">
        <v>17</v>
      </c>
      <c r="H760" s="34">
        <v>25</v>
      </c>
      <c r="I760" s="34">
        <v>14</v>
      </c>
      <c r="J760" s="34">
        <v>22</v>
      </c>
      <c r="K760" s="34">
        <v>23</v>
      </c>
      <c r="L760" s="34">
        <v>8</v>
      </c>
      <c r="M760" s="34">
        <v>17</v>
      </c>
      <c r="N760" s="34">
        <v>22</v>
      </c>
      <c r="O760" s="34">
        <v>22</v>
      </c>
      <c r="P760" s="34">
        <v>21</v>
      </c>
      <c r="Q760" s="35">
        <f t="shared" si="25"/>
        <v>217</v>
      </c>
      <c r="R760" s="4" t="s">
        <v>140</v>
      </c>
    </row>
    <row r="761" spans="1:18" x14ac:dyDescent="0.25">
      <c r="A761" s="40">
        <v>46141</v>
      </c>
      <c r="B761" s="28">
        <v>1</v>
      </c>
      <c r="C761" s="34" t="s">
        <v>809</v>
      </c>
      <c r="D761" s="34" t="s">
        <v>137</v>
      </c>
      <c r="Q761" s="35">
        <f t="shared" si="25"/>
        <v>0</v>
      </c>
      <c r="R761" s="4" t="s">
        <v>140</v>
      </c>
    </row>
    <row r="762" spans="1:18" x14ac:dyDescent="0.25">
      <c r="A762" s="40">
        <v>46141</v>
      </c>
      <c r="B762" s="28">
        <v>1</v>
      </c>
      <c r="C762" s="34" t="s">
        <v>137</v>
      </c>
      <c r="D762" s="34" t="s">
        <v>130</v>
      </c>
      <c r="E762" s="34">
        <v>5</v>
      </c>
      <c r="F762" s="34">
        <v>18</v>
      </c>
      <c r="G762" s="34">
        <v>17</v>
      </c>
      <c r="H762" s="34">
        <v>19</v>
      </c>
      <c r="I762" s="34">
        <v>11</v>
      </c>
      <c r="J762" s="34">
        <v>21</v>
      </c>
      <c r="K762" s="34">
        <v>16</v>
      </c>
      <c r="L762" s="34">
        <v>5</v>
      </c>
      <c r="M762" s="34">
        <v>18</v>
      </c>
      <c r="N762" s="34">
        <v>20</v>
      </c>
      <c r="O762" s="34">
        <v>23</v>
      </c>
      <c r="P762" s="34">
        <v>18</v>
      </c>
      <c r="Q762" s="35">
        <f t="shared" si="25"/>
        <v>191</v>
      </c>
      <c r="R762" s="4" t="s">
        <v>140</v>
      </c>
    </row>
    <row r="763" spans="1:18" x14ac:dyDescent="0.25">
      <c r="A763" s="40">
        <v>46141</v>
      </c>
      <c r="B763" s="28">
        <v>1</v>
      </c>
      <c r="C763" s="34" t="s">
        <v>135</v>
      </c>
      <c r="D763" s="34" t="s">
        <v>128</v>
      </c>
      <c r="E763" s="34">
        <v>11</v>
      </c>
      <c r="F763" s="34">
        <v>20</v>
      </c>
      <c r="G763" s="34">
        <v>18</v>
      </c>
      <c r="H763" s="34">
        <v>16</v>
      </c>
      <c r="I763" s="34">
        <v>15</v>
      </c>
      <c r="J763" s="34">
        <v>20</v>
      </c>
      <c r="K763" s="34">
        <v>13</v>
      </c>
      <c r="L763" s="34">
        <v>4</v>
      </c>
      <c r="M763" s="34">
        <v>21</v>
      </c>
      <c r="N763" s="34">
        <v>17</v>
      </c>
      <c r="O763" s="34">
        <v>19</v>
      </c>
      <c r="P763" s="34">
        <v>14</v>
      </c>
      <c r="Q763" s="35">
        <f t="shared" si="25"/>
        <v>188</v>
      </c>
      <c r="R763" s="4" t="s">
        <v>140</v>
      </c>
    </row>
    <row r="764" spans="1:18" x14ac:dyDescent="0.25">
      <c r="A764" s="40">
        <v>46141</v>
      </c>
      <c r="B764" s="28">
        <v>1</v>
      </c>
      <c r="C764" s="34" t="s">
        <v>134</v>
      </c>
      <c r="D764" s="34" t="s">
        <v>127</v>
      </c>
      <c r="E764" s="34">
        <v>6</v>
      </c>
      <c r="F764" s="34">
        <v>19</v>
      </c>
      <c r="G764" s="34">
        <v>14</v>
      </c>
      <c r="H764" s="34">
        <v>21</v>
      </c>
      <c r="I764" s="34">
        <v>14</v>
      </c>
      <c r="J764" s="34">
        <v>22</v>
      </c>
      <c r="K764" s="34">
        <v>14</v>
      </c>
      <c r="L764" s="34">
        <v>7</v>
      </c>
      <c r="M764" s="34">
        <v>20</v>
      </c>
      <c r="N764" s="34">
        <v>14</v>
      </c>
      <c r="O764" s="34">
        <v>20</v>
      </c>
      <c r="P764" s="34">
        <v>16</v>
      </c>
      <c r="Q764" s="35">
        <f t="shared" si="25"/>
        <v>187</v>
      </c>
      <c r="R764" s="4" t="s">
        <v>140</v>
      </c>
    </row>
    <row r="766" spans="1:18" x14ac:dyDescent="0.25">
      <c r="A766" s="40">
        <v>46142</v>
      </c>
      <c r="B766" s="28">
        <v>1</v>
      </c>
      <c r="C766" s="34" t="s">
        <v>100</v>
      </c>
      <c r="D766" s="34" t="s">
        <v>114</v>
      </c>
      <c r="E766" s="34">
        <v>21</v>
      </c>
      <c r="F766" s="34">
        <v>29</v>
      </c>
      <c r="G766" s="34">
        <v>43</v>
      </c>
      <c r="H766" s="34">
        <v>25</v>
      </c>
      <c r="I766" s="34">
        <v>23</v>
      </c>
      <c r="J766" s="34">
        <v>38</v>
      </c>
      <c r="K766" s="34">
        <v>32</v>
      </c>
      <c r="L766" s="34">
        <v>18</v>
      </c>
      <c r="M766" s="34">
        <v>47</v>
      </c>
      <c r="N766" s="34">
        <v>29</v>
      </c>
      <c r="O766" s="34">
        <v>34</v>
      </c>
      <c r="P766" s="34">
        <v>31</v>
      </c>
      <c r="Q766" s="35">
        <f t="shared" ref="Q766:Q792" si="26">SUM(E766:P766)</f>
        <v>370</v>
      </c>
      <c r="R766" s="4" t="s">
        <v>22</v>
      </c>
    </row>
    <row r="767" spans="1:18" x14ac:dyDescent="0.25">
      <c r="A767" s="40">
        <v>46142</v>
      </c>
      <c r="B767" s="28">
        <v>1</v>
      </c>
      <c r="C767" s="34" t="s">
        <v>197</v>
      </c>
      <c r="D767" s="34" t="s">
        <v>114</v>
      </c>
      <c r="Q767" s="35">
        <f t="shared" si="26"/>
        <v>0</v>
      </c>
      <c r="R767" s="4" t="s">
        <v>22</v>
      </c>
    </row>
    <row r="768" spans="1:18" x14ac:dyDescent="0.25">
      <c r="A768" s="40">
        <v>46142</v>
      </c>
      <c r="B768" s="28">
        <v>1</v>
      </c>
      <c r="C768" s="34" t="s">
        <v>445</v>
      </c>
      <c r="D768" s="34" t="s">
        <v>446</v>
      </c>
      <c r="E768" s="34">
        <v>15</v>
      </c>
      <c r="F768" s="34">
        <v>18</v>
      </c>
      <c r="G768" s="34">
        <v>19</v>
      </c>
      <c r="H768" s="34">
        <v>19</v>
      </c>
      <c r="I768" s="34">
        <v>12</v>
      </c>
      <c r="J768" s="34">
        <v>24</v>
      </c>
      <c r="K768" s="34">
        <v>22</v>
      </c>
      <c r="L768" s="34">
        <v>7</v>
      </c>
      <c r="M768" s="34">
        <v>23</v>
      </c>
      <c r="N768" s="34">
        <v>14</v>
      </c>
      <c r="O768" s="34">
        <v>15</v>
      </c>
      <c r="P768" s="34">
        <v>12</v>
      </c>
      <c r="Q768" s="35">
        <f t="shared" si="26"/>
        <v>200</v>
      </c>
      <c r="R768" s="4" t="s">
        <v>22</v>
      </c>
    </row>
    <row r="769" spans="1:18" x14ac:dyDescent="0.25">
      <c r="A769" s="40">
        <v>46142</v>
      </c>
      <c r="B769" s="28">
        <v>1</v>
      </c>
      <c r="C769" s="34" t="s">
        <v>111</v>
      </c>
      <c r="D769" s="34" t="s">
        <v>124</v>
      </c>
      <c r="E769" s="34">
        <v>17</v>
      </c>
      <c r="F769" s="34">
        <v>25</v>
      </c>
      <c r="G769" s="34">
        <v>30</v>
      </c>
      <c r="H769" s="34">
        <v>23</v>
      </c>
      <c r="I769" s="34">
        <v>14</v>
      </c>
      <c r="J769" s="34">
        <v>29</v>
      </c>
      <c r="K769" s="34">
        <v>15</v>
      </c>
      <c r="L769" s="34">
        <v>9</v>
      </c>
      <c r="M769" s="34">
        <v>26</v>
      </c>
      <c r="N769" s="34">
        <v>21</v>
      </c>
      <c r="O769" s="34">
        <v>15</v>
      </c>
      <c r="Q769" s="35">
        <f t="shared" si="26"/>
        <v>224</v>
      </c>
      <c r="R769" s="4" t="s">
        <v>22</v>
      </c>
    </row>
    <row r="770" spans="1:18" x14ac:dyDescent="0.25">
      <c r="A770" s="40">
        <v>46142</v>
      </c>
      <c r="B770" s="28">
        <v>1</v>
      </c>
      <c r="C770" s="34" t="s">
        <v>103</v>
      </c>
      <c r="D770" s="34" t="s">
        <v>115</v>
      </c>
      <c r="E770" s="34">
        <v>17</v>
      </c>
      <c r="F770" s="34">
        <v>23</v>
      </c>
      <c r="G770" s="34">
        <v>30</v>
      </c>
      <c r="H770" s="34">
        <v>26</v>
      </c>
      <c r="I770" s="34">
        <v>17</v>
      </c>
      <c r="J770" s="34">
        <v>25</v>
      </c>
      <c r="K770" s="34">
        <v>24</v>
      </c>
      <c r="L770" s="34">
        <v>12</v>
      </c>
      <c r="M770" s="34">
        <v>31</v>
      </c>
      <c r="N770" s="34">
        <v>23</v>
      </c>
      <c r="O770" s="34">
        <v>24</v>
      </c>
      <c r="P770" s="34">
        <v>27</v>
      </c>
      <c r="Q770" s="35">
        <f t="shared" si="26"/>
        <v>279</v>
      </c>
      <c r="R770" s="4" t="s">
        <v>22</v>
      </c>
    </row>
    <row r="771" spans="1:18" x14ac:dyDescent="0.25">
      <c r="A771" s="40">
        <v>46142</v>
      </c>
      <c r="B771" s="28">
        <v>1</v>
      </c>
      <c r="C771" s="34" t="s">
        <v>102</v>
      </c>
      <c r="D771" s="34" t="s">
        <v>116</v>
      </c>
      <c r="Q771" s="35">
        <f t="shared" si="26"/>
        <v>0</v>
      </c>
      <c r="R771" s="4" t="s">
        <v>22</v>
      </c>
    </row>
    <row r="772" spans="1:18" x14ac:dyDescent="0.25">
      <c r="A772" s="40">
        <v>46142</v>
      </c>
      <c r="B772" s="28">
        <v>1</v>
      </c>
      <c r="C772" s="34" t="s">
        <v>104</v>
      </c>
      <c r="D772" s="34" t="s">
        <v>117</v>
      </c>
      <c r="E772" s="34">
        <v>8</v>
      </c>
      <c r="F772" s="34">
        <v>18</v>
      </c>
      <c r="G772" s="34">
        <v>24</v>
      </c>
      <c r="H772" s="34">
        <v>23</v>
      </c>
      <c r="I772" s="34">
        <v>15</v>
      </c>
      <c r="J772" s="34">
        <v>26</v>
      </c>
      <c r="K772" s="34">
        <v>20</v>
      </c>
      <c r="L772" s="34">
        <v>9</v>
      </c>
      <c r="M772" s="34">
        <v>22</v>
      </c>
      <c r="N772" s="34">
        <v>21</v>
      </c>
      <c r="O772" s="34">
        <v>18</v>
      </c>
      <c r="P772" s="34">
        <v>24</v>
      </c>
      <c r="Q772" s="35">
        <f t="shared" si="26"/>
        <v>228</v>
      </c>
      <c r="R772" s="4" t="s">
        <v>22</v>
      </c>
    </row>
    <row r="773" spans="1:18" x14ac:dyDescent="0.25">
      <c r="A773" s="40">
        <v>46142</v>
      </c>
      <c r="B773" s="28">
        <v>1</v>
      </c>
      <c r="C773" s="34" t="s">
        <v>105</v>
      </c>
      <c r="D773" s="34" t="s">
        <v>118</v>
      </c>
      <c r="E773" s="34">
        <v>22</v>
      </c>
      <c r="F773" s="34">
        <v>29</v>
      </c>
      <c r="G773" s="34">
        <v>38</v>
      </c>
      <c r="H773" s="34">
        <v>29</v>
      </c>
      <c r="I773" s="34">
        <v>21</v>
      </c>
      <c r="J773" s="34">
        <v>37</v>
      </c>
      <c r="K773" s="34">
        <v>24</v>
      </c>
      <c r="L773" s="34">
        <v>19</v>
      </c>
      <c r="M773" s="34">
        <v>46</v>
      </c>
      <c r="N773" s="34">
        <v>30</v>
      </c>
      <c r="O773" s="34">
        <v>33</v>
      </c>
      <c r="P773" s="34">
        <v>34</v>
      </c>
      <c r="Q773" s="35">
        <f t="shared" si="26"/>
        <v>362</v>
      </c>
      <c r="R773" s="4" t="s">
        <v>22</v>
      </c>
    </row>
    <row r="774" spans="1:18" x14ac:dyDescent="0.25">
      <c r="A774" s="40">
        <v>46142</v>
      </c>
      <c r="B774" s="28">
        <v>1</v>
      </c>
      <c r="C774" s="34" t="s">
        <v>757</v>
      </c>
      <c r="D774" s="34" t="s">
        <v>641</v>
      </c>
      <c r="E774" s="34">
        <v>19</v>
      </c>
      <c r="F774" s="34">
        <v>27</v>
      </c>
      <c r="G774" s="34">
        <v>29</v>
      </c>
      <c r="H774" s="34">
        <v>23</v>
      </c>
      <c r="I774" s="34">
        <v>17</v>
      </c>
      <c r="J774" s="34">
        <v>32</v>
      </c>
      <c r="K774" s="34">
        <v>21</v>
      </c>
      <c r="L774" s="34">
        <v>11</v>
      </c>
      <c r="M774" s="34">
        <v>31</v>
      </c>
      <c r="N774" s="34">
        <v>27</v>
      </c>
      <c r="O774" s="34">
        <v>21</v>
      </c>
      <c r="P774" s="34">
        <v>22</v>
      </c>
      <c r="Q774" s="35">
        <f t="shared" si="26"/>
        <v>280</v>
      </c>
      <c r="R774" s="4" t="s">
        <v>22</v>
      </c>
    </row>
    <row r="775" spans="1:18" x14ac:dyDescent="0.25">
      <c r="A775" s="40">
        <v>46142</v>
      </c>
      <c r="B775" s="28">
        <v>1</v>
      </c>
      <c r="C775" s="34" t="s">
        <v>106</v>
      </c>
      <c r="D775" s="34" t="s">
        <v>119</v>
      </c>
      <c r="E775" s="34">
        <v>19</v>
      </c>
      <c r="F775" s="34">
        <v>24</v>
      </c>
      <c r="G775" s="34">
        <v>27</v>
      </c>
      <c r="H775" s="34">
        <v>26</v>
      </c>
      <c r="I775" s="34">
        <v>17</v>
      </c>
      <c r="J775" s="34">
        <v>23</v>
      </c>
      <c r="K775" s="34">
        <v>25</v>
      </c>
      <c r="L775" s="34">
        <v>10</v>
      </c>
      <c r="M775" s="34">
        <v>29</v>
      </c>
      <c r="N775" s="34">
        <v>19</v>
      </c>
      <c r="O775" s="34">
        <v>23</v>
      </c>
      <c r="P775" s="34">
        <v>19</v>
      </c>
      <c r="Q775" s="35">
        <f t="shared" si="26"/>
        <v>261</v>
      </c>
      <c r="R775" s="4" t="s">
        <v>22</v>
      </c>
    </row>
    <row r="776" spans="1:18" x14ac:dyDescent="0.25">
      <c r="A776" s="40">
        <v>46142</v>
      </c>
      <c r="B776" s="28">
        <v>1</v>
      </c>
      <c r="C776" s="34" t="s">
        <v>107</v>
      </c>
      <c r="D776" s="34" t="s">
        <v>120</v>
      </c>
      <c r="E776" s="34">
        <v>20</v>
      </c>
      <c r="F776" s="34">
        <v>28</v>
      </c>
      <c r="G776" s="34">
        <v>33</v>
      </c>
      <c r="H776" s="34">
        <v>21</v>
      </c>
      <c r="I776" s="34">
        <v>23</v>
      </c>
      <c r="J776" s="34">
        <v>35</v>
      </c>
      <c r="K776" s="34">
        <v>34</v>
      </c>
      <c r="L776" s="34">
        <v>13</v>
      </c>
      <c r="M776" s="34">
        <v>32</v>
      </c>
      <c r="N776" s="34">
        <v>32</v>
      </c>
      <c r="O776" s="34">
        <v>27</v>
      </c>
      <c r="P776" s="34">
        <v>27</v>
      </c>
      <c r="Q776" s="35">
        <f t="shared" si="26"/>
        <v>325</v>
      </c>
      <c r="R776" s="4" t="s">
        <v>22</v>
      </c>
    </row>
    <row r="777" spans="1:18" x14ac:dyDescent="0.25">
      <c r="A777" s="40">
        <v>46142</v>
      </c>
      <c r="B777" s="28">
        <v>1</v>
      </c>
      <c r="C777" s="34" t="s">
        <v>485</v>
      </c>
      <c r="D777" s="34" t="s">
        <v>738</v>
      </c>
      <c r="E777" s="34">
        <v>19</v>
      </c>
      <c r="F777" s="34">
        <v>25</v>
      </c>
      <c r="G777" s="34">
        <v>33</v>
      </c>
      <c r="H777" s="34">
        <v>32</v>
      </c>
      <c r="I777" s="34">
        <v>14</v>
      </c>
      <c r="J777" s="34">
        <v>28</v>
      </c>
      <c r="K777" s="34">
        <v>25</v>
      </c>
      <c r="L777" s="34">
        <v>11</v>
      </c>
      <c r="M777" s="34">
        <v>29</v>
      </c>
      <c r="N777" s="34">
        <v>25</v>
      </c>
      <c r="O777" s="34">
        <v>29</v>
      </c>
      <c r="P777" s="34">
        <v>25</v>
      </c>
      <c r="Q777" s="35">
        <f t="shared" si="26"/>
        <v>295</v>
      </c>
      <c r="R777" s="4" t="s">
        <v>22</v>
      </c>
    </row>
    <row r="778" spans="1:18" x14ac:dyDescent="0.25">
      <c r="A778" s="40">
        <v>46142</v>
      </c>
      <c r="B778" s="28">
        <v>1</v>
      </c>
      <c r="C778" s="34" t="s">
        <v>101</v>
      </c>
      <c r="D778" s="34" t="s">
        <v>113</v>
      </c>
      <c r="E778" s="34">
        <v>20</v>
      </c>
      <c r="F778" s="34">
        <v>27</v>
      </c>
      <c r="G778" s="34">
        <v>29</v>
      </c>
      <c r="H778" s="34">
        <v>24</v>
      </c>
      <c r="I778" s="34">
        <v>17</v>
      </c>
      <c r="J778" s="34">
        <v>26</v>
      </c>
      <c r="K778" s="34">
        <v>20</v>
      </c>
      <c r="L778" s="34">
        <v>9</v>
      </c>
      <c r="M778" s="34">
        <v>28</v>
      </c>
      <c r="N778" s="34">
        <v>27</v>
      </c>
      <c r="O778" s="34">
        <v>21</v>
      </c>
      <c r="P778" s="34">
        <v>21</v>
      </c>
      <c r="Q778" s="35">
        <f t="shared" si="26"/>
        <v>269</v>
      </c>
      <c r="R778" s="4" t="s">
        <v>22</v>
      </c>
    </row>
    <row r="779" spans="1:18" x14ac:dyDescent="0.25">
      <c r="A779" s="40">
        <v>46142</v>
      </c>
      <c r="B779" s="28">
        <v>1</v>
      </c>
      <c r="C779" s="34" t="s">
        <v>362</v>
      </c>
      <c r="D779" s="34" t="s">
        <v>361</v>
      </c>
      <c r="Q779" s="35">
        <f t="shared" si="26"/>
        <v>0</v>
      </c>
      <c r="R779" s="4" t="s">
        <v>22</v>
      </c>
    </row>
    <row r="780" spans="1:18" x14ac:dyDescent="0.25">
      <c r="A780" s="40">
        <v>46142</v>
      </c>
      <c r="B780" s="28">
        <v>1</v>
      </c>
      <c r="C780" s="34" t="s">
        <v>749</v>
      </c>
      <c r="D780" s="34" t="s">
        <v>121</v>
      </c>
      <c r="Q780" s="35">
        <f t="shared" si="26"/>
        <v>0</v>
      </c>
      <c r="R780" s="4" t="s">
        <v>22</v>
      </c>
    </row>
    <row r="781" spans="1:18" x14ac:dyDescent="0.25">
      <c r="A781" s="40">
        <v>46142</v>
      </c>
      <c r="B781" s="28">
        <v>1</v>
      </c>
      <c r="C781" s="34" t="s">
        <v>110</v>
      </c>
      <c r="D781" s="34" t="s">
        <v>123</v>
      </c>
      <c r="Q781" s="35">
        <f t="shared" si="26"/>
        <v>0</v>
      </c>
      <c r="R781" s="4" t="s">
        <v>22</v>
      </c>
    </row>
    <row r="782" spans="1:18" x14ac:dyDescent="0.25">
      <c r="A782" s="40">
        <v>46142</v>
      </c>
      <c r="B782" s="28">
        <v>1</v>
      </c>
      <c r="C782" s="34" t="s">
        <v>109</v>
      </c>
      <c r="D782" s="34" t="s">
        <v>122</v>
      </c>
      <c r="E782" s="34">
        <v>20</v>
      </c>
      <c r="F782" s="34">
        <v>28</v>
      </c>
      <c r="G782" s="34">
        <v>37</v>
      </c>
      <c r="H782" s="34">
        <v>22</v>
      </c>
      <c r="I782" s="34">
        <v>17</v>
      </c>
      <c r="J782" s="34">
        <v>28</v>
      </c>
      <c r="K782" s="34">
        <v>21</v>
      </c>
      <c r="L782" s="34">
        <v>11</v>
      </c>
      <c r="M782" s="34">
        <v>31</v>
      </c>
      <c r="N782" s="34">
        <v>25</v>
      </c>
      <c r="O782" s="34">
        <v>21</v>
      </c>
      <c r="P782" s="34">
        <v>21</v>
      </c>
      <c r="Q782" s="35">
        <f t="shared" si="26"/>
        <v>282</v>
      </c>
      <c r="R782" s="4" t="s">
        <v>22</v>
      </c>
    </row>
    <row r="783" spans="1:18" x14ac:dyDescent="0.25">
      <c r="A783" s="40">
        <v>46142</v>
      </c>
      <c r="B783" s="28">
        <v>1</v>
      </c>
      <c r="C783" s="34" t="s">
        <v>640</v>
      </c>
      <c r="D783" s="34" t="s">
        <v>108</v>
      </c>
      <c r="Q783" s="35">
        <f t="shared" si="26"/>
        <v>0</v>
      </c>
      <c r="R783" s="4" t="s">
        <v>22</v>
      </c>
    </row>
    <row r="784" spans="1:18" x14ac:dyDescent="0.25">
      <c r="A784" s="40">
        <v>46142</v>
      </c>
      <c r="B784" s="28">
        <v>1</v>
      </c>
      <c r="C784" s="34" t="s">
        <v>363</v>
      </c>
      <c r="D784" s="34" t="s">
        <v>364</v>
      </c>
      <c r="E784" s="34">
        <v>21</v>
      </c>
      <c r="F784" s="34">
        <v>29</v>
      </c>
      <c r="G784" s="34">
        <v>33</v>
      </c>
      <c r="H784" s="34">
        <v>17</v>
      </c>
      <c r="I784" s="34">
        <v>19</v>
      </c>
      <c r="J784" s="34">
        <v>31</v>
      </c>
      <c r="K784" s="34">
        <v>29</v>
      </c>
      <c r="L784" s="34">
        <v>15</v>
      </c>
      <c r="M784" s="34">
        <v>38</v>
      </c>
      <c r="N784" s="34">
        <v>28</v>
      </c>
      <c r="O784" s="34">
        <v>17</v>
      </c>
      <c r="P784" s="34">
        <v>28</v>
      </c>
      <c r="Q784" s="35">
        <f t="shared" si="26"/>
        <v>305</v>
      </c>
      <c r="R784" s="4" t="s">
        <v>22</v>
      </c>
    </row>
    <row r="785" spans="1:18" x14ac:dyDescent="0.25">
      <c r="A785" s="40">
        <v>46142</v>
      </c>
      <c r="B785" s="28">
        <v>1</v>
      </c>
      <c r="C785" s="34" t="s">
        <v>395</v>
      </c>
      <c r="D785" s="34" t="s">
        <v>396</v>
      </c>
      <c r="E785" s="34">
        <v>16</v>
      </c>
      <c r="F785" s="34">
        <v>29</v>
      </c>
      <c r="G785" s="34">
        <v>36</v>
      </c>
      <c r="H785" s="34">
        <v>25</v>
      </c>
      <c r="I785" s="34">
        <v>20</v>
      </c>
      <c r="J785" s="34">
        <v>36</v>
      </c>
      <c r="K785" s="34">
        <v>21</v>
      </c>
      <c r="L785" s="34">
        <v>13</v>
      </c>
      <c r="M785" s="34">
        <v>27</v>
      </c>
      <c r="N785" s="34">
        <v>27</v>
      </c>
      <c r="Q785" s="35">
        <f t="shared" si="26"/>
        <v>250</v>
      </c>
      <c r="R785" s="4" t="s">
        <v>22</v>
      </c>
    </row>
    <row r="786" spans="1:18" x14ac:dyDescent="0.25">
      <c r="A786" s="40">
        <v>46142</v>
      </c>
      <c r="B786" s="28">
        <v>1</v>
      </c>
      <c r="C786" s="34" t="s">
        <v>807</v>
      </c>
      <c r="D786" s="34" t="s">
        <v>808</v>
      </c>
      <c r="E786" s="34">
        <v>17</v>
      </c>
      <c r="F786" s="34">
        <v>23</v>
      </c>
      <c r="G786" s="34">
        <v>27</v>
      </c>
      <c r="H786" s="34">
        <v>27</v>
      </c>
      <c r="I786" s="34">
        <v>15</v>
      </c>
      <c r="J786" s="34">
        <v>20</v>
      </c>
      <c r="K786" s="34">
        <v>21</v>
      </c>
      <c r="L786" s="34">
        <v>10</v>
      </c>
      <c r="M786" s="34">
        <v>24</v>
      </c>
      <c r="N786" s="34">
        <v>19</v>
      </c>
      <c r="O786" s="34">
        <v>27</v>
      </c>
      <c r="P786" s="34">
        <v>23</v>
      </c>
      <c r="Q786" s="35">
        <f t="shared" si="26"/>
        <v>253</v>
      </c>
      <c r="R786" s="4" t="s">
        <v>140</v>
      </c>
    </row>
    <row r="787" spans="1:18" x14ac:dyDescent="0.25">
      <c r="A787" s="40">
        <v>46142</v>
      </c>
      <c r="B787" s="28">
        <v>1</v>
      </c>
      <c r="C787" s="34" t="s">
        <v>215</v>
      </c>
      <c r="D787" s="34" t="s">
        <v>739</v>
      </c>
      <c r="Q787" s="35">
        <f t="shared" si="26"/>
        <v>0</v>
      </c>
      <c r="R787" s="4" t="s">
        <v>140</v>
      </c>
    </row>
    <row r="788" spans="1:18" x14ac:dyDescent="0.25">
      <c r="A788" s="40">
        <v>46142</v>
      </c>
      <c r="B788" s="28">
        <v>1</v>
      </c>
      <c r="C788" s="34" t="s">
        <v>184</v>
      </c>
      <c r="D788" s="34" t="s">
        <v>834</v>
      </c>
      <c r="E788" s="34">
        <v>13</v>
      </c>
      <c r="F788" s="34">
        <v>20</v>
      </c>
      <c r="G788" s="34">
        <v>26</v>
      </c>
      <c r="H788" s="34">
        <v>21</v>
      </c>
      <c r="I788" s="34">
        <v>15</v>
      </c>
      <c r="J788" s="34">
        <v>29</v>
      </c>
      <c r="K788" s="34">
        <v>15</v>
      </c>
      <c r="L788" s="34">
        <v>11</v>
      </c>
      <c r="M788" s="34">
        <v>28</v>
      </c>
      <c r="N788" s="34">
        <v>20</v>
      </c>
      <c r="O788" s="34">
        <v>22</v>
      </c>
      <c r="P788" s="34">
        <v>10</v>
      </c>
      <c r="Q788" s="35">
        <f t="shared" si="26"/>
        <v>230</v>
      </c>
      <c r="R788" s="4" t="s">
        <v>140</v>
      </c>
    </row>
    <row r="789" spans="1:18" x14ac:dyDescent="0.25">
      <c r="A789" s="40">
        <v>46142</v>
      </c>
      <c r="B789" s="28">
        <v>1</v>
      </c>
      <c r="C789" s="34" t="s">
        <v>809</v>
      </c>
      <c r="D789" s="34" t="s">
        <v>137</v>
      </c>
      <c r="Q789" s="35">
        <f t="shared" si="26"/>
        <v>0</v>
      </c>
      <c r="R789" s="4" t="s">
        <v>140</v>
      </c>
    </row>
    <row r="790" spans="1:18" x14ac:dyDescent="0.25">
      <c r="A790" s="40">
        <v>46142</v>
      </c>
      <c r="B790" s="28">
        <v>1</v>
      </c>
      <c r="C790" s="34" t="s">
        <v>137</v>
      </c>
      <c r="D790" s="34" t="s">
        <v>130</v>
      </c>
      <c r="Q790" s="35">
        <f t="shared" si="26"/>
        <v>0</v>
      </c>
      <c r="R790" s="4" t="s">
        <v>140</v>
      </c>
    </row>
    <row r="791" spans="1:18" x14ac:dyDescent="0.25">
      <c r="A791" s="40">
        <v>46142</v>
      </c>
      <c r="B791" s="28">
        <v>1</v>
      </c>
      <c r="C791" s="34" t="s">
        <v>135</v>
      </c>
      <c r="D791" s="34" t="s">
        <v>128</v>
      </c>
      <c r="E791" s="34">
        <v>10</v>
      </c>
      <c r="F791" s="34">
        <v>18</v>
      </c>
      <c r="G791" s="34">
        <v>22</v>
      </c>
      <c r="H791" s="34">
        <v>20</v>
      </c>
      <c r="I791" s="34">
        <v>11</v>
      </c>
      <c r="J791" s="34">
        <v>22</v>
      </c>
      <c r="K791" s="34">
        <v>21</v>
      </c>
      <c r="L791" s="34">
        <v>8</v>
      </c>
      <c r="M791" s="34">
        <v>20</v>
      </c>
      <c r="N791" s="34">
        <v>24</v>
      </c>
      <c r="O791" s="34">
        <v>20</v>
      </c>
      <c r="P791" s="34">
        <v>17</v>
      </c>
      <c r="Q791" s="35">
        <f t="shared" si="26"/>
        <v>213</v>
      </c>
      <c r="R791" s="4" t="s">
        <v>140</v>
      </c>
    </row>
    <row r="792" spans="1:18" x14ac:dyDescent="0.25">
      <c r="A792" s="40">
        <v>46142</v>
      </c>
      <c r="B792" s="28">
        <v>1</v>
      </c>
      <c r="C792" s="34" t="s">
        <v>134</v>
      </c>
      <c r="D792" s="34" t="s">
        <v>127</v>
      </c>
      <c r="E792" s="34">
        <v>10</v>
      </c>
      <c r="F792" s="34">
        <v>22</v>
      </c>
      <c r="G792" s="34">
        <v>30</v>
      </c>
      <c r="H792" s="34">
        <v>21</v>
      </c>
      <c r="I792" s="34">
        <v>15</v>
      </c>
      <c r="J792" s="34">
        <v>27</v>
      </c>
      <c r="K792" s="34">
        <v>22</v>
      </c>
      <c r="L792" s="34">
        <v>5</v>
      </c>
      <c r="M792" s="34">
        <v>23</v>
      </c>
      <c r="N792" s="34">
        <v>18</v>
      </c>
      <c r="O792" s="34">
        <v>18</v>
      </c>
      <c r="P792" s="34">
        <v>25</v>
      </c>
      <c r="Q792" s="35">
        <f t="shared" si="26"/>
        <v>236</v>
      </c>
      <c r="R792" s="4" t="s">
        <v>140</v>
      </c>
    </row>
    <row r="794" spans="1:18" x14ac:dyDescent="0.25">
      <c r="A794" s="40">
        <v>46144</v>
      </c>
      <c r="B794" s="28">
        <v>1</v>
      </c>
      <c r="C794" s="34" t="s">
        <v>100</v>
      </c>
      <c r="D794" s="34" t="s">
        <v>114</v>
      </c>
      <c r="E794" s="34">
        <v>20</v>
      </c>
      <c r="F794" s="34">
        <v>32</v>
      </c>
      <c r="G794" s="34">
        <v>38</v>
      </c>
      <c r="H794" s="34">
        <v>30</v>
      </c>
      <c r="I794" s="34">
        <v>27</v>
      </c>
      <c r="J794" s="34">
        <v>37</v>
      </c>
      <c r="K794" s="34">
        <v>44</v>
      </c>
      <c r="L794" s="34">
        <v>27</v>
      </c>
      <c r="M794" s="34">
        <v>33</v>
      </c>
      <c r="N794" s="34">
        <v>11</v>
      </c>
      <c r="O794" s="34">
        <v>28</v>
      </c>
      <c r="P794" s="34">
        <v>33</v>
      </c>
      <c r="Q794" s="35">
        <f t="shared" ref="Q794:Q857" si="27">SUM(E794:P794)</f>
        <v>360</v>
      </c>
      <c r="R794" s="4" t="s">
        <v>22</v>
      </c>
    </row>
    <row r="795" spans="1:18" x14ac:dyDescent="0.25">
      <c r="A795" s="40">
        <v>46144</v>
      </c>
      <c r="B795" s="28">
        <v>1</v>
      </c>
      <c r="C795" s="34" t="s">
        <v>197</v>
      </c>
      <c r="D795" s="34" t="s">
        <v>114</v>
      </c>
      <c r="Q795" s="35">
        <f t="shared" si="27"/>
        <v>0</v>
      </c>
      <c r="R795" s="4" t="s">
        <v>22</v>
      </c>
    </row>
    <row r="796" spans="1:18" x14ac:dyDescent="0.25">
      <c r="A796" s="40">
        <v>46144</v>
      </c>
      <c r="B796" s="28">
        <v>1</v>
      </c>
      <c r="C796" s="34" t="s">
        <v>445</v>
      </c>
      <c r="D796" s="34" t="s">
        <v>446</v>
      </c>
      <c r="E796" s="34">
        <v>13</v>
      </c>
      <c r="F796" s="34">
        <v>16</v>
      </c>
      <c r="G796" s="34">
        <v>21</v>
      </c>
      <c r="H796" s="34">
        <v>18</v>
      </c>
      <c r="I796" s="34">
        <v>11</v>
      </c>
      <c r="J796" s="34">
        <v>23</v>
      </c>
      <c r="K796" s="34">
        <v>24</v>
      </c>
      <c r="L796" s="34">
        <v>15</v>
      </c>
      <c r="M796" s="34">
        <v>14</v>
      </c>
      <c r="N796" s="34">
        <v>10</v>
      </c>
      <c r="O796" s="34">
        <v>17</v>
      </c>
      <c r="P796" s="34">
        <v>42</v>
      </c>
      <c r="Q796" s="35">
        <f t="shared" si="27"/>
        <v>224</v>
      </c>
      <c r="R796" s="4" t="s">
        <v>22</v>
      </c>
    </row>
    <row r="797" spans="1:18" x14ac:dyDescent="0.25">
      <c r="A797" s="40">
        <v>46144</v>
      </c>
      <c r="B797" s="28">
        <v>1</v>
      </c>
      <c r="C797" s="34" t="s">
        <v>111</v>
      </c>
      <c r="D797" s="34" t="s">
        <v>124</v>
      </c>
      <c r="E797" s="34">
        <v>13</v>
      </c>
      <c r="F797" s="34">
        <v>22</v>
      </c>
      <c r="G797" s="34">
        <v>25</v>
      </c>
      <c r="H797" s="34">
        <v>18</v>
      </c>
      <c r="I797" s="34">
        <v>16</v>
      </c>
      <c r="J797" s="34">
        <v>20</v>
      </c>
      <c r="K797" s="34">
        <v>31</v>
      </c>
      <c r="L797" s="34">
        <v>18</v>
      </c>
      <c r="M797" s="34">
        <v>23</v>
      </c>
      <c r="N797" s="34">
        <v>9</v>
      </c>
      <c r="O797" s="34">
        <v>20</v>
      </c>
      <c r="P797" s="34">
        <v>60</v>
      </c>
      <c r="Q797" s="35">
        <f t="shared" si="27"/>
        <v>275</v>
      </c>
      <c r="R797" s="4" t="s">
        <v>22</v>
      </c>
    </row>
    <row r="798" spans="1:18" x14ac:dyDescent="0.25">
      <c r="A798" s="40">
        <v>46144</v>
      </c>
      <c r="B798" s="28">
        <v>1</v>
      </c>
      <c r="C798" s="34" t="s">
        <v>103</v>
      </c>
      <c r="D798" s="34" t="s">
        <v>115</v>
      </c>
      <c r="E798" s="34">
        <v>21</v>
      </c>
      <c r="F798" s="34">
        <v>25</v>
      </c>
      <c r="G798" s="34">
        <v>30</v>
      </c>
      <c r="H798" s="34">
        <v>18</v>
      </c>
      <c r="I798" s="34">
        <v>16</v>
      </c>
      <c r="J798" s="34">
        <v>19</v>
      </c>
      <c r="K798" s="34">
        <v>23</v>
      </c>
      <c r="L798" s="34">
        <v>21</v>
      </c>
      <c r="M798" s="34">
        <v>21</v>
      </c>
      <c r="N798" s="34">
        <v>9</v>
      </c>
      <c r="O798" s="34">
        <v>24</v>
      </c>
      <c r="P798" s="34">
        <v>59</v>
      </c>
      <c r="Q798" s="35">
        <f t="shared" si="27"/>
        <v>286</v>
      </c>
      <c r="R798" s="4" t="s">
        <v>22</v>
      </c>
    </row>
    <row r="799" spans="1:18" x14ac:dyDescent="0.25">
      <c r="A799" s="40">
        <v>46144</v>
      </c>
      <c r="B799" s="28">
        <v>1</v>
      </c>
      <c r="C799" s="34" t="s">
        <v>102</v>
      </c>
      <c r="D799" s="34" t="s">
        <v>116</v>
      </c>
      <c r="E799" s="34">
        <v>18</v>
      </c>
      <c r="F799" s="34">
        <v>25</v>
      </c>
      <c r="G799" s="34">
        <v>31</v>
      </c>
      <c r="H799" s="34">
        <v>19</v>
      </c>
      <c r="I799" s="34">
        <v>16</v>
      </c>
      <c r="J799" s="34">
        <v>22</v>
      </c>
      <c r="K799" s="34">
        <v>28</v>
      </c>
      <c r="L799" s="34">
        <v>21</v>
      </c>
      <c r="M799" s="34">
        <v>20</v>
      </c>
      <c r="N799" s="34">
        <v>11</v>
      </c>
      <c r="O799" s="34">
        <v>22</v>
      </c>
      <c r="P799" s="34">
        <v>45</v>
      </c>
      <c r="Q799" s="35">
        <f t="shared" si="27"/>
        <v>278</v>
      </c>
      <c r="R799" s="4" t="s">
        <v>22</v>
      </c>
    </row>
    <row r="800" spans="1:18" x14ac:dyDescent="0.25">
      <c r="A800" s="40">
        <v>46144</v>
      </c>
      <c r="B800" s="28">
        <v>1</v>
      </c>
      <c r="C800" s="34" t="s">
        <v>104</v>
      </c>
      <c r="D800" s="34" t="s">
        <v>117</v>
      </c>
      <c r="E800" s="34">
        <v>15</v>
      </c>
      <c r="F800" s="34">
        <v>23</v>
      </c>
      <c r="G800" s="34">
        <v>27</v>
      </c>
      <c r="H800" s="34">
        <v>16</v>
      </c>
      <c r="I800" s="34">
        <v>11</v>
      </c>
      <c r="J800" s="34">
        <v>17</v>
      </c>
      <c r="K800" s="34">
        <v>25</v>
      </c>
      <c r="L800" s="34">
        <v>20</v>
      </c>
      <c r="M800" s="34">
        <v>17</v>
      </c>
      <c r="N800" s="34">
        <v>9</v>
      </c>
      <c r="O800" s="34">
        <v>21</v>
      </c>
      <c r="P800" s="34">
        <v>48</v>
      </c>
      <c r="Q800" s="35">
        <f t="shared" si="27"/>
        <v>249</v>
      </c>
      <c r="R800" s="4" t="s">
        <v>22</v>
      </c>
    </row>
    <row r="801" spans="1:18" x14ac:dyDescent="0.25">
      <c r="A801" s="40">
        <v>46144</v>
      </c>
      <c r="B801" s="28">
        <v>1</v>
      </c>
      <c r="C801" s="34" t="s">
        <v>105</v>
      </c>
      <c r="D801" s="34" t="s">
        <v>118</v>
      </c>
      <c r="Q801" s="35">
        <f t="shared" si="27"/>
        <v>0</v>
      </c>
      <c r="R801" s="4" t="s">
        <v>22</v>
      </c>
    </row>
    <row r="802" spans="1:18" x14ac:dyDescent="0.25">
      <c r="A802" s="40">
        <v>46144</v>
      </c>
      <c r="B802" s="28">
        <v>1</v>
      </c>
      <c r="C802" s="34" t="s">
        <v>757</v>
      </c>
      <c r="D802" s="34" t="s">
        <v>641</v>
      </c>
      <c r="E802" s="34">
        <v>12</v>
      </c>
      <c r="F802" s="34">
        <v>22</v>
      </c>
      <c r="G802" s="34">
        <v>27</v>
      </c>
      <c r="H802" s="34">
        <v>16</v>
      </c>
      <c r="I802" s="34">
        <v>21</v>
      </c>
      <c r="J802" s="34">
        <v>32</v>
      </c>
      <c r="K802" s="34">
        <v>30</v>
      </c>
      <c r="L802" s="34">
        <v>21</v>
      </c>
      <c r="M802" s="34">
        <v>21</v>
      </c>
      <c r="N802" s="34">
        <v>13</v>
      </c>
      <c r="O802" s="34">
        <v>19</v>
      </c>
      <c r="P802" s="34">
        <v>40</v>
      </c>
      <c r="Q802" s="35">
        <f t="shared" si="27"/>
        <v>274</v>
      </c>
      <c r="R802" s="4" t="s">
        <v>22</v>
      </c>
    </row>
    <row r="803" spans="1:18" x14ac:dyDescent="0.25">
      <c r="A803" s="40">
        <v>46144</v>
      </c>
      <c r="B803" s="28">
        <v>1</v>
      </c>
      <c r="C803" s="34" t="s">
        <v>106</v>
      </c>
      <c r="D803" s="34" t="s">
        <v>119</v>
      </c>
      <c r="Q803" s="35">
        <f t="shared" si="27"/>
        <v>0</v>
      </c>
      <c r="R803" s="4" t="s">
        <v>22</v>
      </c>
    </row>
    <row r="804" spans="1:18" x14ac:dyDescent="0.25">
      <c r="A804" s="40">
        <v>46144</v>
      </c>
      <c r="B804" s="28">
        <v>1</v>
      </c>
      <c r="C804" s="34" t="s">
        <v>107</v>
      </c>
      <c r="D804" s="34" t="s">
        <v>120</v>
      </c>
      <c r="E804" s="34">
        <v>24</v>
      </c>
      <c r="F804" s="34">
        <v>26</v>
      </c>
      <c r="G804" s="34">
        <v>39</v>
      </c>
      <c r="H804" s="34">
        <v>30</v>
      </c>
      <c r="I804" s="34">
        <v>22</v>
      </c>
      <c r="J804" s="34">
        <v>29</v>
      </c>
      <c r="K804" s="34">
        <v>38</v>
      </c>
      <c r="L804" s="34">
        <v>35</v>
      </c>
      <c r="M804" s="34">
        <v>37</v>
      </c>
      <c r="N804" s="34">
        <v>11</v>
      </c>
      <c r="O804" s="34">
        <v>28</v>
      </c>
      <c r="P804" s="34">
        <v>30</v>
      </c>
      <c r="Q804" s="35">
        <f t="shared" si="27"/>
        <v>349</v>
      </c>
      <c r="R804" s="4" t="s">
        <v>22</v>
      </c>
    </row>
    <row r="805" spans="1:18" x14ac:dyDescent="0.25">
      <c r="A805" s="40">
        <v>46144</v>
      </c>
      <c r="B805" s="28">
        <v>1</v>
      </c>
      <c r="C805" s="34" t="s">
        <v>485</v>
      </c>
      <c r="D805" s="34" t="s">
        <v>738</v>
      </c>
      <c r="E805" s="34">
        <v>22</v>
      </c>
      <c r="F805" s="34">
        <v>26</v>
      </c>
      <c r="G805" s="34">
        <v>28</v>
      </c>
      <c r="H805" s="34">
        <v>14</v>
      </c>
      <c r="I805" s="34">
        <v>18</v>
      </c>
      <c r="J805" s="34">
        <v>27</v>
      </c>
      <c r="K805" s="34">
        <v>34</v>
      </c>
      <c r="L805" s="34">
        <v>30</v>
      </c>
      <c r="M805" s="34">
        <v>18</v>
      </c>
      <c r="N805" s="34">
        <v>11</v>
      </c>
      <c r="O805" s="34">
        <v>23</v>
      </c>
      <c r="P805" s="34">
        <v>53</v>
      </c>
      <c r="Q805" s="35">
        <f t="shared" si="27"/>
        <v>304</v>
      </c>
      <c r="R805" s="4" t="s">
        <v>22</v>
      </c>
    </row>
    <row r="806" spans="1:18" x14ac:dyDescent="0.25">
      <c r="A806" s="40">
        <v>46144</v>
      </c>
      <c r="B806" s="28">
        <v>1</v>
      </c>
      <c r="C806" s="34" t="s">
        <v>101</v>
      </c>
      <c r="D806" s="34" t="s">
        <v>113</v>
      </c>
      <c r="E806" s="34">
        <v>17</v>
      </c>
      <c r="F806" s="34">
        <v>25</v>
      </c>
      <c r="G806" s="34">
        <v>22</v>
      </c>
      <c r="H806" s="34">
        <v>22</v>
      </c>
      <c r="I806" s="34">
        <v>14</v>
      </c>
      <c r="J806" s="34">
        <v>23</v>
      </c>
      <c r="K806" s="34">
        <v>25</v>
      </c>
      <c r="L806" s="34">
        <v>28</v>
      </c>
      <c r="M806" s="34">
        <v>28</v>
      </c>
      <c r="N806" s="34">
        <v>12</v>
      </c>
      <c r="O806" s="34">
        <v>21</v>
      </c>
      <c r="P806" s="34">
        <v>54</v>
      </c>
      <c r="Q806" s="35">
        <f t="shared" si="27"/>
        <v>291</v>
      </c>
      <c r="R806" s="4" t="s">
        <v>22</v>
      </c>
    </row>
    <row r="807" spans="1:18" x14ac:dyDescent="0.25">
      <c r="A807" s="40">
        <v>46144</v>
      </c>
      <c r="B807" s="28">
        <v>1</v>
      </c>
      <c r="C807" s="34" t="s">
        <v>362</v>
      </c>
      <c r="D807" s="34" t="s">
        <v>361</v>
      </c>
      <c r="Q807" s="35">
        <f t="shared" si="27"/>
        <v>0</v>
      </c>
      <c r="R807" s="4" t="s">
        <v>22</v>
      </c>
    </row>
    <row r="808" spans="1:18" x14ac:dyDescent="0.25">
      <c r="A808" s="40">
        <v>46144</v>
      </c>
      <c r="B808" s="28">
        <v>1</v>
      </c>
      <c r="C808" s="34" t="s">
        <v>749</v>
      </c>
      <c r="D808" s="34" t="s">
        <v>121</v>
      </c>
      <c r="E808" s="34">
        <v>15</v>
      </c>
      <c r="F808" s="34">
        <v>23</v>
      </c>
      <c r="G808" s="34">
        <v>30</v>
      </c>
      <c r="H808" s="34">
        <v>26</v>
      </c>
      <c r="I808" s="34">
        <v>16</v>
      </c>
      <c r="J808" s="34">
        <v>22</v>
      </c>
      <c r="K808" s="34">
        <v>25</v>
      </c>
      <c r="L808" s="34">
        <v>25</v>
      </c>
      <c r="M808" s="34">
        <v>22</v>
      </c>
      <c r="N808" s="34">
        <v>11</v>
      </c>
      <c r="O808" s="34">
        <v>11</v>
      </c>
      <c r="Q808" s="35">
        <f t="shared" si="27"/>
        <v>226</v>
      </c>
      <c r="R808" s="4" t="s">
        <v>22</v>
      </c>
    </row>
    <row r="809" spans="1:18" x14ac:dyDescent="0.25">
      <c r="A809" s="40">
        <v>46144</v>
      </c>
      <c r="B809" s="28">
        <v>1</v>
      </c>
      <c r="C809" s="34" t="s">
        <v>110</v>
      </c>
      <c r="D809" s="34" t="s">
        <v>123</v>
      </c>
      <c r="Q809" s="35">
        <f t="shared" si="27"/>
        <v>0</v>
      </c>
      <c r="R809" s="4" t="s">
        <v>22</v>
      </c>
    </row>
    <row r="810" spans="1:18" x14ac:dyDescent="0.25">
      <c r="A810" s="40">
        <v>46144</v>
      </c>
      <c r="B810" s="28">
        <v>1</v>
      </c>
      <c r="C810" s="34" t="s">
        <v>109</v>
      </c>
      <c r="D810" s="34" t="s">
        <v>122</v>
      </c>
      <c r="Q810" s="35">
        <f t="shared" si="27"/>
        <v>0</v>
      </c>
      <c r="R810" s="4" t="s">
        <v>22</v>
      </c>
    </row>
    <row r="811" spans="1:18" x14ac:dyDescent="0.25">
      <c r="A811" s="40">
        <v>46144</v>
      </c>
      <c r="B811" s="28">
        <v>1</v>
      </c>
      <c r="C811" s="34" t="s">
        <v>640</v>
      </c>
      <c r="D811" s="34" t="s">
        <v>108</v>
      </c>
      <c r="E811" s="34">
        <v>14</v>
      </c>
      <c r="F811" s="34">
        <v>20</v>
      </c>
      <c r="G811" s="34">
        <v>22</v>
      </c>
      <c r="H811" s="34">
        <v>18</v>
      </c>
      <c r="I811" s="34">
        <v>13</v>
      </c>
      <c r="J811" s="34">
        <v>23</v>
      </c>
      <c r="K811" s="34">
        <v>27</v>
      </c>
      <c r="L811" s="34">
        <v>15</v>
      </c>
      <c r="M811" s="34">
        <v>7</v>
      </c>
      <c r="N811" s="34">
        <v>7</v>
      </c>
      <c r="O811" s="34">
        <v>19</v>
      </c>
      <c r="P811" s="34">
        <v>54</v>
      </c>
      <c r="Q811" s="35">
        <f t="shared" si="27"/>
        <v>239</v>
      </c>
      <c r="R811" s="4" t="s">
        <v>22</v>
      </c>
    </row>
    <row r="812" spans="1:18" x14ac:dyDescent="0.25">
      <c r="A812" s="40">
        <v>46144</v>
      </c>
      <c r="B812" s="28">
        <v>1</v>
      </c>
      <c r="C812" s="34" t="s">
        <v>363</v>
      </c>
      <c r="D812" s="34" t="s">
        <v>364</v>
      </c>
      <c r="E812" s="34">
        <v>18</v>
      </c>
      <c r="F812" s="34">
        <v>29</v>
      </c>
      <c r="G812" s="34">
        <v>23</v>
      </c>
      <c r="H812" s="34">
        <v>25</v>
      </c>
      <c r="I812" s="34">
        <v>18</v>
      </c>
      <c r="J812" s="34">
        <v>26</v>
      </c>
      <c r="K812" s="34">
        <v>34</v>
      </c>
      <c r="L812" s="34">
        <v>30</v>
      </c>
      <c r="M812" s="34">
        <v>26</v>
      </c>
      <c r="N812" s="34">
        <v>14</v>
      </c>
      <c r="O812" s="34">
        <v>25</v>
      </c>
      <c r="P812" s="34">
        <v>68</v>
      </c>
      <c r="Q812" s="35">
        <f t="shared" si="27"/>
        <v>336</v>
      </c>
      <c r="R812" s="4" t="s">
        <v>22</v>
      </c>
    </row>
    <row r="813" spans="1:18" x14ac:dyDescent="0.25">
      <c r="A813" s="40">
        <v>46144</v>
      </c>
      <c r="B813" s="28">
        <v>1</v>
      </c>
      <c r="C813" s="34" t="s">
        <v>395</v>
      </c>
      <c r="D813" s="34" t="s">
        <v>396</v>
      </c>
      <c r="Q813" s="35">
        <f t="shared" si="27"/>
        <v>0</v>
      </c>
      <c r="R813" s="4" t="s">
        <v>22</v>
      </c>
    </row>
    <row r="814" spans="1:18" x14ac:dyDescent="0.25">
      <c r="A814" s="40">
        <v>46144</v>
      </c>
      <c r="B814" s="28">
        <v>1</v>
      </c>
      <c r="C814" s="34" t="s">
        <v>807</v>
      </c>
      <c r="D814" s="34" t="s">
        <v>808</v>
      </c>
      <c r="E814" s="34">
        <v>19</v>
      </c>
      <c r="F814" s="34">
        <v>22</v>
      </c>
      <c r="G814" s="34">
        <v>22</v>
      </c>
      <c r="H814" s="34">
        <v>14</v>
      </c>
      <c r="I814" s="34">
        <v>16</v>
      </c>
      <c r="J814" s="34">
        <v>22</v>
      </c>
      <c r="K814" s="34">
        <v>30</v>
      </c>
      <c r="L814" s="34">
        <v>24</v>
      </c>
      <c r="M814" s="34">
        <v>24</v>
      </c>
      <c r="N814" s="34">
        <v>11</v>
      </c>
      <c r="O814" s="34">
        <v>21</v>
      </c>
      <c r="P814" s="34">
        <v>59</v>
      </c>
      <c r="Q814" s="35">
        <f t="shared" si="27"/>
        <v>284</v>
      </c>
      <c r="R814" s="4" t="s">
        <v>140</v>
      </c>
    </row>
    <row r="815" spans="1:18" x14ac:dyDescent="0.25">
      <c r="A815" s="40">
        <v>46144</v>
      </c>
      <c r="B815" s="28">
        <v>1</v>
      </c>
      <c r="C815" s="34" t="s">
        <v>215</v>
      </c>
      <c r="D815" s="34" t="s">
        <v>739</v>
      </c>
      <c r="E815" s="34">
        <v>7</v>
      </c>
      <c r="F815" s="34">
        <v>18</v>
      </c>
      <c r="G815" s="34">
        <v>19</v>
      </c>
      <c r="H815" s="34">
        <v>17</v>
      </c>
      <c r="I815" s="34">
        <v>13</v>
      </c>
      <c r="J815" s="34">
        <v>23</v>
      </c>
      <c r="K815" s="34">
        <v>20</v>
      </c>
      <c r="L815" s="34">
        <v>18</v>
      </c>
      <c r="M815" s="34">
        <v>11</v>
      </c>
      <c r="N815" s="34">
        <v>7</v>
      </c>
      <c r="O815" s="34">
        <v>19</v>
      </c>
      <c r="P815" s="34">
        <v>59</v>
      </c>
      <c r="Q815" s="35">
        <f t="shared" si="27"/>
        <v>231</v>
      </c>
      <c r="R815" s="4" t="s">
        <v>140</v>
      </c>
    </row>
    <row r="816" spans="1:18" x14ac:dyDescent="0.25">
      <c r="A816" s="40">
        <v>46144</v>
      </c>
      <c r="B816" s="28">
        <v>1</v>
      </c>
      <c r="C816" s="34" t="s">
        <v>184</v>
      </c>
      <c r="D816" s="34" t="s">
        <v>834</v>
      </c>
      <c r="Q816" s="35">
        <f t="shared" si="27"/>
        <v>0</v>
      </c>
      <c r="R816" s="4" t="s">
        <v>140</v>
      </c>
    </row>
    <row r="817" spans="1:18" x14ac:dyDescent="0.25">
      <c r="A817" s="40">
        <v>46144</v>
      </c>
      <c r="B817" s="28">
        <v>1</v>
      </c>
      <c r="C817" s="34" t="s">
        <v>809</v>
      </c>
      <c r="D817" s="34" t="s">
        <v>137</v>
      </c>
      <c r="Q817" s="35">
        <f t="shared" si="27"/>
        <v>0</v>
      </c>
      <c r="R817" s="4" t="s">
        <v>140</v>
      </c>
    </row>
    <row r="818" spans="1:18" x14ac:dyDescent="0.25">
      <c r="A818" s="40">
        <v>46144</v>
      </c>
      <c r="B818" s="28">
        <v>1</v>
      </c>
      <c r="C818" s="34" t="s">
        <v>137</v>
      </c>
      <c r="D818" s="34" t="s">
        <v>130</v>
      </c>
      <c r="E818" s="34">
        <v>8</v>
      </c>
      <c r="F818" s="34">
        <v>18</v>
      </c>
      <c r="G818" s="34">
        <v>22</v>
      </c>
      <c r="H818" s="34">
        <v>22</v>
      </c>
      <c r="I818" s="34">
        <v>17</v>
      </c>
      <c r="J818" s="34">
        <v>26</v>
      </c>
      <c r="K818" s="34">
        <v>28</v>
      </c>
      <c r="L818" s="34">
        <v>19</v>
      </c>
      <c r="M818" s="34">
        <v>18</v>
      </c>
      <c r="Q818" s="35">
        <f t="shared" si="27"/>
        <v>178</v>
      </c>
      <c r="R818" s="4" t="s">
        <v>140</v>
      </c>
    </row>
    <row r="819" spans="1:18" x14ac:dyDescent="0.25">
      <c r="A819" s="40">
        <v>46144</v>
      </c>
      <c r="B819" s="28">
        <v>1</v>
      </c>
      <c r="C819" s="34" t="s">
        <v>135</v>
      </c>
      <c r="D819" s="34" t="s">
        <v>128</v>
      </c>
      <c r="Q819" s="35">
        <f t="shared" si="27"/>
        <v>0</v>
      </c>
      <c r="R819" s="4" t="s">
        <v>140</v>
      </c>
    </row>
    <row r="820" spans="1:18" x14ac:dyDescent="0.25">
      <c r="A820" s="40">
        <v>46144</v>
      </c>
      <c r="B820" s="28">
        <v>1</v>
      </c>
      <c r="C820" s="34" t="s">
        <v>134</v>
      </c>
      <c r="D820" s="34" t="s">
        <v>127</v>
      </c>
      <c r="E820" s="34">
        <v>9</v>
      </c>
      <c r="F820" s="34">
        <v>19</v>
      </c>
      <c r="G820" s="34">
        <v>28</v>
      </c>
      <c r="H820" s="34">
        <v>17</v>
      </c>
      <c r="I820" s="34">
        <v>10</v>
      </c>
      <c r="J820" s="34">
        <v>19</v>
      </c>
      <c r="K820" s="34">
        <v>26</v>
      </c>
      <c r="L820" s="34">
        <v>19</v>
      </c>
      <c r="M820" s="34">
        <v>14</v>
      </c>
      <c r="N820" s="34">
        <v>8</v>
      </c>
      <c r="O820" s="34">
        <v>18</v>
      </c>
      <c r="P820" s="34">
        <v>55</v>
      </c>
      <c r="Q820" s="35">
        <f t="shared" si="27"/>
        <v>242</v>
      </c>
      <c r="R820" s="4" t="s">
        <v>140</v>
      </c>
    </row>
    <row r="821" spans="1:18" x14ac:dyDescent="0.25">
      <c r="A821" s="40">
        <v>46144</v>
      </c>
      <c r="B821" s="28">
        <v>1</v>
      </c>
      <c r="C821" s="34" t="s">
        <v>985</v>
      </c>
      <c r="D821" s="34" t="s">
        <v>986</v>
      </c>
      <c r="K821" s="34">
        <v>20</v>
      </c>
      <c r="L821" s="34">
        <v>24</v>
      </c>
      <c r="M821" s="34">
        <v>26</v>
      </c>
      <c r="N821" s="34">
        <v>8</v>
      </c>
      <c r="O821" s="34">
        <v>19</v>
      </c>
      <c r="P821" s="34">
        <v>73</v>
      </c>
      <c r="Q821" s="35">
        <f t="shared" si="27"/>
        <v>170</v>
      </c>
      <c r="R821" s="4" t="s">
        <v>140</v>
      </c>
    </row>
    <row r="823" spans="1:18" x14ac:dyDescent="0.25">
      <c r="A823" s="40">
        <v>46146</v>
      </c>
      <c r="B823" s="28">
        <v>1</v>
      </c>
      <c r="C823" s="34" t="s">
        <v>1001</v>
      </c>
      <c r="D823" s="34" t="s">
        <v>124</v>
      </c>
      <c r="E823" s="34">
        <v>8</v>
      </c>
      <c r="F823" s="34">
        <v>26</v>
      </c>
      <c r="G823" s="34">
        <v>20</v>
      </c>
      <c r="H823" s="34">
        <v>20</v>
      </c>
      <c r="I823" s="34">
        <v>14</v>
      </c>
      <c r="J823" s="34">
        <v>28</v>
      </c>
      <c r="K823" s="34">
        <v>21</v>
      </c>
      <c r="L823" s="34">
        <v>22</v>
      </c>
      <c r="Q823" s="35">
        <f t="shared" si="27"/>
        <v>159</v>
      </c>
      <c r="R823" s="4" t="s">
        <v>22</v>
      </c>
    </row>
    <row r="824" spans="1:18" x14ac:dyDescent="0.25">
      <c r="A824" s="40">
        <v>46146</v>
      </c>
      <c r="B824" s="28">
        <v>1</v>
      </c>
      <c r="C824" s="34" t="s">
        <v>1002</v>
      </c>
      <c r="D824" s="34" t="s">
        <v>1003</v>
      </c>
      <c r="E824" s="34">
        <v>13</v>
      </c>
      <c r="F824" s="34">
        <v>29</v>
      </c>
      <c r="G824" s="34">
        <v>24</v>
      </c>
      <c r="H824" s="34">
        <v>23</v>
      </c>
      <c r="I824" s="34">
        <v>15</v>
      </c>
      <c r="J824" s="34">
        <v>35</v>
      </c>
      <c r="K824" s="34">
        <v>18</v>
      </c>
      <c r="L824" s="34">
        <v>23</v>
      </c>
      <c r="Q824" s="35">
        <f t="shared" si="27"/>
        <v>180</v>
      </c>
      <c r="R824" s="4" t="s">
        <v>22</v>
      </c>
    </row>
    <row r="825" spans="1:18" x14ac:dyDescent="0.25">
      <c r="A825" s="40">
        <v>46146</v>
      </c>
      <c r="B825" s="28">
        <v>1</v>
      </c>
      <c r="C825" s="34" t="s">
        <v>1006</v>
      </c>
      <c r="D825" s="34" t="s">
        <v>1004</v>
      </c>
      <c r="E825" s="34">
        <v>9</v>
      </c>
      <c r="F825" s="34">
        <v>22</v>
      </c>
      <c r="G825" s="34">
        <v>22</v>
      </c>
      <c r="H825" s="34">
        <v>21</v>
      </c>
      <c r="I825" s="34">
        <v>16</v>
      </c>
      <c r="J825" s="34">
        <v>34</v>
      </c>
      <c r="K825" s="34">
        <v>20</v>
      </c>
      <c r="L825" s="34">
        <v>28</v>
      </c>
      <c r="Q825" s="35">
        <f t="shared" si="27"/>
        <v>172</v>
      </c>
      <c r="R825" s="4" t="s">
        <v>22</v>
      </c>
    </row>
    <row r="826" spans="1:18" x14ac:dyDescent="0.25">
      <c r="A826" s="40">
        <v>46146</v>
      </c>
      <c r="B826" s="28">
        <v>1</v>
      </c>
      <c r="C826" s="34" t="s">
        <v>1007</v>
      </c>
      <c r="D826" s="34" t="s">
        <v>1005</v>
      </c>
      <c r="E826" s="34">
        <v>11</v>
      </c>
      <c r="F826" s="34">
        <v>26</v>
      </c>
      <c r="G826" s="34">
        <v>26</v>
      </c>
      <c r="H826" s="34">
        <v>18</v>
      </c>
      <c r="I826" s="34">
        <v>19</v>
      </c>
      <c r="J826" s="34">
        <v>29</v>
      </c>
      <c r="K826" s="34">
        <v>24</v>
      </c>
      <c r="L826" s="34">
        <v>20</v>
      </c>
      <c r="Q826" s="35">
        <f t="shared" si="27"/>
        <v>173</v>
      </c>
      <c r="R826" s="4" t="s">
        <v>22</v>
      </c>
    </row>
    <row r="827" spans="1:18" x14ac:dyDescent="0.25">
      <c r="A827" s="40">
        <v>46146</v>
      </c>
      <c r="B827" s="28">
        <v>1</v>
      </c>
      <c r="C827" s="34" t="s">
        <v>1008</v>
      </c>
      <c r="D827" s="34" t="s">
        <v>1009</v>
      </c>
      <c r="E827" s="34">
        <v>18</v>
      </c>
      <c r="F827" s="34">
        <v>32</v>
      </c>
      <c r="G827" s="34">
        <v>30</v>
      </c>
      <c r="H827" s="34">
        <v>23</v>
      </c>
      <c r="I827" s="34">
        <v>18</v>
      </c>
      <c r="J827" s="34">
        <v>31</v>
      </c>
      <c r="K827" s="34">
        <v>22</v>
      </c>
      <c r="L827" s="34">
        <v>28</v>
      </c>
      <c r="Q827" s="35">
        <f t="shared" si="27"/>
        <v>202</v>
      </c>
      <c r="R827" s="4" t="s">
        <v>22</v>
      </c>
    </row>
    <row r="828" spans="1:18" x14ac:dyDescent="0.25">
      <c r="A828" s="40">
        <v>46146</v>
      </c>
      <c r="B828" s="28">
        <v>1</v>
      </c>
      <c r="C828" s="34" t="s">
        <v>1010</v>
      </c>
      <c r="D828" s="34" t="s">
        <v>120</v>
      </c>
      <c r="E828" s="34">
        <v>15</v>
      </c>
      <c r="F828" s="34">
        <v>33</v>
      </c>
      <c r="G828" s="34">
        <v>31</v>
      </c>
      <c r="H828" s="34">
        <v>26</v>
      </c>
      <c r="I828" s="34">
        <v>20</v>
      </c>
      <c r="J828" s="34">
        <v>36</v>
      </c>
      <c r="K828" s="34">
        <v>25</v>
      </c>
      <c r="L828" s="34">
        <v>29</v>
      </c>
      <c r="Q828" s="35">
        <f t="shared" si="27"/>
        <v>215</v>
      </c>
      <c r="R828" s="4" t="s">
        <v>22</v>
      </c>
    </row>
    <row r="829" spans="1:18" x14ac:dyDescent="0.25">
      <c r="A829" s="40">
        <v>46146</v>
      </c>
      <c r="B829" s="28">
        <v>1</v>
      </c>
      <c r="C829" s="34" t="s">
        <v>485</v>
      </c>
      <c r="D829" s="34" t="s">
        <v>738</v>
      </c>
      <c r="E829" s="34">
        <v>12</v>
      </c>
      <c r="F829" s="34">
        <v>28</v>
      </c>
      <c r="G829" s="34">
        <v>27</v>
      </c>
      <c r="H829" s="34">
        <v>25</v>
      </c>
      <c r="I829" s="34">
        <v>18</v>
      </c>
      <c r="J829" s="34">
        <v>40</v>
      </c>
      <c r="K829" s="34">
        <v>23</v>
      </c>
      <c r="L829" s="34">
        <v>30</v>
      </c>
      <c r="Q829" s="35">
        <f t="shared" si="27"/>
        <v>203</v>
      </c>
      <c r="R829" s="4" t="s">
        <v>22</v>
      </c>
    </row>
    <row r="830" spans="1:18" x14ac:dyDescent="0.25">
      <c r="A830" s="40">
        <v>46146</v>
      </c>
      <c r="B830" s="28">
        <v>1</v>
      </c>
      <c r="C830" s="34" t="s">
        <v>101</v>
      </c>
      <c r="D830" s="34" t="s">
        <v>113</v>
      </c>
      <c r="E830" s="34">
        <v>17</v>
      </c>
      <c r="F830" s="34">
        <v>31</v>
      </c>
      <c r="G830" s="34">
        <v>32</v>
      </c>
      <c r="H830" s="34">
        <v>26</v>
      </c>
      <c r="I830" s="34">
        <v>19</v>
      </c>
      <c r="J830" s="34">
        <v>35</v>
      </c>
      <c r="K830" s="34">
        <v>29</v>
      </c>
      <c r="L830" s="34">
        <v>36</v>
      </c>
      <c r="Q830" s="35">
        <f t="shared" si="27"/>
        <v>225</v>
      </c>
      <c r="R830" s="4" t="s">
        <v>22</v>
      </c>
    </row>
    <row r="831" spans="1:18" x14ac:dyDescent="0.25">
      <c r="A831" s="40">
        <v>46146</v>
      </c>
      <c r="B831" s="28">
        <v>1</v>
      </c>
      <c r="C831" s="34" t="s">
        <v>396</v>
      </c>
      <c r="D831" s="34" t="s">
        <v>395</v>
      </c>
      <c r="E831" s="34">
        <v>15</v>
      </c>
      <c r="F831" s="34">
        <v>41</v>
      </c>
      <c r="G831" s="34">
        <v>36</v>
      </c>
      <c r="H831" s="34">
        <v>23</v>
      </c>
      <c r="I831" s="34">
        <v>22</v>
      </c>
      <c r="J831" s="34">
        <v>43</v>
      </c>
      <c r="K831" s="34">
        <v>29</v>
      </c>
      <c r="L831" s="34">
        <v>34</v>
      </c>
      <c r="Q831" s="35">
        <f t="shared" si="27"/>
        <v>243</v>
      </c>
      <c r="R831" s="4" t="s">
        <v>22</v>
      </c>
    </row>
    <row r="832" spans="1:18" x14ac:dyDescent="0.25">
      <c r="A832" s="40">
        <v>46146</v>
      </c>
      <c r="B832" s="28">
        <v>1</v>
      </c>
      <c r="C832" s="34" t="s">
        <v>108</v>
      </c>
      <c r="D832" s="34" t="s">
        <v>121</v>
      </c>
      <c r="E832" s="34">
        <v>15</v>
      </c>
      <c r="F832" s="34">
        <v>31</v>
      </c>
      <c r="G832" s="34">
        <v>30</v>
      </c>
      <c r="H832" s="34">
        <v>27</v>
      </c>
      <c r="I832" s="34">
        <v>17</v>
      </c>
      <c r="J832" s="34">
        <v>34</v>
      </c>
      <c r="K832" s="34">
        <v>19</v>
      </c>
      <c r="L832" s="34">
        <v>20</v>
      </c>
      <c r="Q832" s="35">
        <f t="shared" si="27"/>
        <v>193</v>
      </c>
      <c r="R832" s="4" t="s">
        <v>22</v>
      </c>
    </row>
    <row r="833" spans="1:18" x14ac:dyDescent="0.25">
      <c r="A833" s="40">
        <v>46146</v>
      </c>
      <c r="B833" s="28">
        <v>1</v>
      </c>
      <c r="C833" s="34" t="s">
        <v>110</v>
      </c>
      <c r="D833" s="34" t="s">
        <v>123</v>
      </c>
      <c r="E833" s="34">
        <v>18</v>
      </c>
      <c r="F833" s="34">
        <v>39</v>
      </c>
      <c r="G833" s="34">
        <v>33</v>
      </c>
      <c r="H833" s="34">
        <v>26</v>
      </c>
      <c r="I833" s="34">
        <v>22</v>
      </c>
      <c r="J833" s="34">
        <v>43</v>
      </c>
      <c r="K833" s="34">
        <v>28</v>
      </c>
      <c r="L833" s="34">
        <v>41</v>
      </c>
      <c r="Q833" s="35">
        <f t="shared" si="27"/>
        <v>250</v>
      </c>
      <c r="R833" s="4" t="s">
        <v>22</v>
      </c>
    </row>
    <row r="834" spans="1:18" x14ac:dyDescent="0.25">
      <c r="A834" s="40">
        <v>46146</v>
      </c>
      <c r="B834" s="28">
        <v>1</v>
      </c>
      <c r="C834" s="34" t="s">
        <v>135</v>
      </c>
      <c r="D834" s="34" t="s">
        <v>128</v>
      </c>
      <c r="I834" s="34">
        <v>6</v>
      </c>
      <c r="J834" s="34">
        <v>24</v>
      </c>
      <c r="K834" s="34">
        <v>19</v>
      </c>
      <c r="L834" s="34">
        <v>1</v>
      </c>
      <c r="Q834" s="35">
        <f t="shared" si="27"/>
        <v>50</v>
      </c>
      <c r="R834" s="4" t="s">
        <v>22</v>
      </c>
    </row>
    <row r="835" spans="1:18" x14ac:dyDescent="0.25">
      <c r="A835" s="40"/>
    </row>
    <row r="836" spans="1:18" x14ac:dyDescent="0.25">
      <c r="A836" s="40">
        <v>46146</v>
      </c>
      <c r="B836" s="28">
        <v>1</v>
      </c>
      <c r="C836" s="34" t="s">
        <v>1011</v>
      </c>
      <c r="D836" s="34" t="s">
        <v>1012</v>
      </c>
      <c r="Q836" s="35">
        <f t="shared" si="27"/>
        <v>0</v>
      </c>
      <c r="R836" s="4" t="s">
        <v>140</v>
      </c>
    </row>
    <row r="837" spans="1:18" x14ac:dyDescent="0.25">
      <c r="A837" s="40">
        <v>46146</v>
      </c>
      <c r="B837" s="28">
        <v>1</v>
      </c>
      <c r="C837" s="34" t="s">
        <v>807</v>
      </c>
      <c r="D837" s="34" t="s">
        <v>808</v>
      </c>
      <c r="E837" s="34">
        <v>9</v>
      </c>
      <c r="F837" s="34">
        <v>26</v>
      </c>
      <c r="G837" s="34">
        <v>22</v>
      </c>
      <c r="H837" s="34">
        <v>22</v>
      </c>
      <c r="I837" s="34">
        <v>16</v>
      </c>
      <c r="J837" s="34">
        <v>35</v>
      </c>
      <c r="K837" s="34">
        <v>20</v>
      </c>
      <c r="L837" s="34">
        <v>30</v>
      </c>
      <c r="Q837" s="35">
        <f t="shared" si="27"/>
        <v>180</v>
      </c>
      <c r="R837" s="4" t="s">
        <v>140</v>
      </c>
    </row>
    <row r="838" spans="1:18" x14ac:dyDescent="0.25">
      <c r="A838" s="40">
        <v>46146</v>
      </c>
      <c r="B838" s="28">
        <v>1</v>
      </c>
      <c r="C838" s="34" t="s">
        <v>1013</v>
      </c>
      <c r="D838" s="34" t="s">
        <v>1014</v>
      </c>
      <c r="E838" s="34">
        <v>6</v>
      </c>
      <c r="F838" s="34">
        <v>27</v>
      </c>
      <c r="G838" s="34">
        <v>22</v>
      </c>
      <c r="H838" s="34">
        <v>17</v>
      </c>
      <c r="I838" s="34">
        <v>10</v>
      </c>
      <c r="J838" s="34">
        <v>21</v>
      </c>
      <c r="K838" s="34">
        <v>11</v>
      </c>
      <c r="L838" s="34">
        <v>16</v>
      </c>
      <c r="Q838" s="35">
        <f t="shared" si="27"/>
        <v>130</v>
      </c>
      <c r="R838" s="4" t="s">
        <v>140</v>
      </c>
    </row>
    <row r="839" spans="1:18" x14ac:dyDescent="0.25">
      <c r="A839" s="40">
        <v>46146</v>
      </c>
      <c r="B839" s="28">
        <v>1</v>
      </c>
      <c r="C839" s="34" t="s">
        <v>1015</v>
      </c>
      <c r="D839" s="34" t="s">
        <v>142</v>
      </c>
      <c r="E839" s="34">
        <v>2</v>
      </c>
      <c r="F839" s="34">
        <v>8</v>
      </c>
      <c r="G839" s="34">
        <v>11</v>
      </c>
      <c r="H839" s="34">
        <v>4</v>
      </c>
      <c r="I839" s="34">
        <v>5</v>
      </c>
      <c r="J839" s="34">
        <v>9</v>
      </c>
      <c r="K839" s="34">
        <v>9</v>
      </c>
      <c r="L839" s="34">
        <v>14</v>
      </c>
      <c r="Q839" s="35">
        <f t="shared" si="27"/>
        <v>62</v>
      </c>
      <c r="R839" s="4" t="s">
        <v>140</v>
      </c>
    </row>
    <row r="840" spans="1:18" x14ac:dyDescent="0.25">
      <c r="A840" s="40">
        <v>46146</v>
      </c>
      <c r="B840" s="28">
        <v>1</v>
      </c>
      <c r="C840" s="34" t="s">
        <v>985</v>
      </c>
      <c r="D840" s="34" t="s">
        <v>271</v>
      </c>
      <c r="E840" s="34">
        <v>10</v>
      </c>
      <c r="F840" s="34">
        <v>25</v>
      </c>
      <c r="G840" s="34">
        <v>23</v>
      </c>
      <c r="H840" s="34">
        <v>26</v>
      </c>
      <c r="I840" s="34">
        <v>17</v>
      </c>
      <c r="J840" s="34">
        <v>38</v>
      </c>
      <c r="K840" s="34">
        <v>17</v>
      </c>
      <c r="L840" s="34">
        <v>24</v>
      </c>
      <c r="Q840" s="35">
        <f t="shared" si="27"/>
        <v>180</v>
      </c>
      <c r="R840" s="4" t="s">
        <v>140</v>
      </c>
    </row>
    <row r="841" spans="1:18" x14ac:dyDescent="0.25">
      <c r="A841" s="40">
        <v>46146</v>
      </c>
      <c r="B841" s="28">
        <v>1</v>
      </c>
      <c r="C841" s="34" t="s">
        <v>1016</v>
      </c>
      <c r="D841" s="34" t="s">
        <v>1017</v>
      </c>
      <c r="E841" s="34">
        <v>3</v>
      </c>
      <c r="F841" s="34">
        <v>8</v>
      </c>
      <c r="G841" s="34">
        <v>8</v>
      </c>
      <c r="H841" s="34">
        <v>6</v>
      </c>
      <c r="I841" s="34">
        <v>4</v>
      </c>
      <c r="J841" s="34">
        <v>6</v>
      </c>
      <c r="K841" s="34">
        <v>8</v>
      </c>
      <c r="L841" s="34">
        <v>13</v>
      </c>
      <c r="Q841" s="35">
        <f t="shared" si="27"/>
        <v>56</v>
      </c>
      <c r="R841" s="4" t="s">
        <v>140</v>
      </c>
    </row>
    <row r="842" spans="1:18" x14ac:dyDescent="0.25">
      <c r="A842" s="40">
        <v>46146</v>
      </c>
      <c r="B842" s="28">
        <v>1</v>
      </c>
      <c r="C842" s="34" t="s">
        <v>1018</v>
      </c>
      <c r="D842" s="34" t="s">
        <v>1019</v>
      </c>
      <c r="Q842" s="35">
        <f t="shared" si="27"/>
        <v>0</v>
      </c>
      <c r="R842" s="4" t="s">
        <v>140</v>
      </c>
    </row>
    <row r="843" spans="1:18" x14ac:dyDescent="0.25">
      <c r="A843" s="40">
        <v>46146</v>
      </c>
      <c r="B843" s="28">
        <v>1</v>
      </c>
      <c r="C843" s="34" t="s">
        <v>1020</v>
      </c>
      <c r="D843" s="34" t="s">
        <v>1021</v>
      </c>
      <c r="Q843" s="35">
        <f t="shared" si="27"/>
        <v>0</v>
      </c>
      <c r="R843" s="4" t="s">
        <v>140</v>
      </c>
    </row>
    <row r="844" spans="1:18" x14ac:dyDescent="0.25">
      <c r="A844" s="40">
        <v>46146</v>
      </c>
      <c r="B844" s="28">
        <v>1</v>
      </c>
      <c r="C844" s="34" t="s">
        <v>1022</v>
      </c>
      <c r="D844" s="34" t="s">
        <v>1023</v>
      </c>
      <c r="Q844" s="35">
        <f t="shared" si="27"/>
        <v>0</v>
      </c>
      <c r="R844" s="4" t="s">
        <v>140</v>
      </c>
    </row>
    <row r="845" spans="1:18" x14ac:dyDescent="0.25">
      <c r="A845" s="40">
        <v>46146</v>
      </c>
      <c r="B845" s="28">
        <v>1</v>
      </c>
      <c r="C845" s="34" t="s">
        <v>1025</v>
      </c>
      <c r="D845" s="34" t="s">
        <v>1024</v>
      </c>
      <c r="E845" s="34">
        <v>6</v>
      </c>
      <c r="F845" s="34">
        <v>29</v>
      </c>
      <c r="G845" s="34">
        <v>26</v>
      </c>
      <c r="H845" s="34">
        <v>22</v>
      </c>
      <c r="I845" s="34">
        <v>18</v>
      </c>
      <c r="J845" s="34">
        <v>23</v>
      </c>
      <c r="K845" s="34">
        <v>16</v>
      </c>
      <c r="L845" s="34">
        <v>13</v>
      </c>
      <c r="Q845" s="35">
        <f t="shared" si="27"/>
        <v>153</v>
      </c>
      <c r="R845" s="4" t="s">
        <v>140</v>
      </c>
    </row>
    <row r="846" spans="1:18" x14ac:dyDescent="0.25">
      <c r="A846" s="40">
        <v>46146</v>
      </c>
      <c r="B846" s="28">
        <v>1</v>
      </c>
      <c r="C846" s="34" t="s">
        <v>1026</v>
      </c>
      <c r="D846" s="34" t="s">
        <v>1024</v>
      </c>
      <c r="E846" s="34">
        <v>5</v>
      </c>
      <c r="F846" s="34">
        <v>21</v>
      </c>
      <c r="G846" s="34">
        <v>21</v>
      </c>
      <c r="H846" s="34">
        <v>13</v>
      </c>
      <c r="I846" s="34">
        <v>12</v>
      </c>
      <c r="J846" s="34">
        <v>23</v>
      </c>
      <c r="K846" s="34">
        <v>13</v>
      </c>
      <c r="L846" s="34">
        <v>13</v>
      </c>
      <c r="Q846" s="35">
        <f t="shared" si="27"/>
        <v>121</v>
      </c>
      <c r="R846" s="4" t="s">
        <v>140</v>
      </c>
    </row>
    <row r="847" spans="1:18" x14ac:dyDescent="0.25">
      <c r="A847" s="40">
        <v>46146</v>
      </c>
      <c r="B847" s="28">
        <v>1</v>
      </c>
      <c r="C847" s="34" t="s">
        <v>1027</v>
      </c>
      <c r="D847" s="34" t="s">
        <v>1028</v>
      </c>
      <c r="Q847" s="35">
        <f t="shared" si="27"/>
        <v>0</v>
      </c>
      <c r="R847" s="4" t="s">
        <v>140</v>
      </c>
    </row>
    <row r="848" spans="1:18" x14ac:dyDescent="0.25">
      <c r="Q848" s="35">
        <f t="shared" si="27"/>
        <v>0</v>
      </c>
    </row>
    <row r="849" spans="1:18" x14ac:dyDescent="0.25">
      <c r="A849" s="40">
        <v>46146</v>
      </c>
      <c r="B849" s="28">
        <v>2</v>
      </c>
      <c r="C849" s="34" t="s">
        <v>100</v>
      </c>
      <c r="D849" s="34" t="s">
        <v>1038</v>
      </c>
      <c r="E849" s="34">
        <v>32</v>
      </c>
      <c r="F849" s="34">
        <v>36</v>
      </c>
      <c r="G849" s="34">
        <v>44</v>
      </c>
      <c r="H849" s="34">
        <v>36</v>
      </c>
      <c r="I849" s="34">
        <v>15</v>
      </c>
      <c r="J849" s="34">
        <v>29</v>
      </c>
      <c r="K849" s="34">
        <v>33</v>
      </c>
      <c r="L849" s="34">
        <v>28</v>
      </c>
      <c r="Q849" s="35">
        <f t="shared" si="27"/>
        <v>253</v>
      </c>
      <c r="R849" s="4" t="s">
        <v>22</v>
      </c>
    </row>
    <row r="850" spans="1:18" x14ac:dyDescent="0.25">
      <c r="A850" s="40">
        <v>46146</v>
      </c>
      <c r="B850" s="28">
        <v>2</v>
      </c>
      <c r="C850" s="34" t="s">
        <v>445</v>
      </c>
      <c r="D850" s="34" t="s">
        <v>1039</v>
      </c>
      <c r="E850" s="34">
        <v>10</v>
      </c>
      <c r="F850" s="34">
        <v>19</v>
      </c>
      <c r="G850" s="34">
        <v>25</v>
      </c>
      <c r="H850" s="34">
        <v>19</v>
      </c>
      <c r="I850" s="34">
        <v>8</v>
      </c>
      <c r="J850" s="34">
        <v>20</v>
      </c>
      <c r="K850" s="34">
        <v>20</v>
      </c>
      <c r="L850" s="34">
        <v>18</v>
      </c>
      <c r="Q850" s="35">
        <f t="shared" si="27"/>
        <v>139</v>
      </c>
      <c r="R850" s="4" t="s">
        <v>22</v>
      </c>
    </row>
    <row r="851" spans="1:18" x14ac:dyDescent="0.25">
      <c r="A851" s="40">
        <v>46146</v>
      </c>
      <c r="B851" s="28">
        <v>2</v>
      </c>
      <c r="C851" s="34" t="s">
        <v>103</v>
      </c>
      <c r="D851" s="34" t="s">
        <v>115</v>
      </c>
      <c r="E851" s="34">
        <v>23</v>
      </c>
      <c r="F851" s="34">
        <v>27</v>
      </c>
      <c r="G851" s="34">
        <v>40</v>
      </c>
      <c r="H851" s="34">
        <v>23</v>
      </c>
      <c r="I851" s="34">
        <v>11</v>
      </c>
      <c r="J851" s="34">
        <v>21</v>
      </c>
      <c r="K851" s="34">
        <v>28</v>
      </c>
      <c r="L851" s="34">
        <v>27</v>
      </c>
      <c r="Q851" s="35">
        <f t="shared" si="27"/>
        <v>200</v>
      </c>
      <c r="R851" s="4" t="s">
        <v>22</v>
      </c>
    </row>
    <row r="852" spans="1:18" x14ac:dyDescent="0.25">
      <c r="A852" s="40">
        <v>46146</v>
      </c>
      <c r="B852" s="28">
        <v>2</v>
      </c>
      <c r="C852" s="34" t="s">
        <v>1040</v>
      </c>
      <c r="D852" s="34" t="s">
        <v>118</v>
      </c>
      <c r="E852" s="34">
        <v>22</v>
      </c>
      <c r="F852" s="34">
        <v>24</v>
      </c>
      <c r="G852" s="34">
        <v>28</v>
      </c>
      <c r="H852" s="34">
        <v>22</v>
      </c>
      <c r="I852" s="34">
        <v>11</v>
      </c>
      <c r="J852" s="34">
        <v>22</v>
      </c>
      <c r="K852" s="34">
        <v>28</v>
      </c>
      <c r="L852" s="34">
        <v>23</v>
      </c>
      <c r="Q852" s="35">
        <f t="shared" si="27"/>
        <v>180</v>
      </c>
      <c r="R852" s="4" t="s">
        <v>22</v>
      </c>
    </row>
    <row r="853" spans="1:18" x14ac:dyDescent="0.25">
      <c r="A853" s="40">
        <v>46146</v>
      </c>
      <c r="B853" s="28">
        <v>2</v>
      </c>
      <c r="C853" s="34" t="s">
        <v>757</v>
      </c>
      <c r="D853" s="34" t="s">
        <v>641</v>
      </c>
      <c r="E853" s="34">
        <v>22</v>
      </c>
      <c r="F853" s="34">
        <v>34</v>
      </c>
      <c r="G853" s="34">
        <v>40</v>
      </c>
      <c r="H853" s="34">
        <v>24</v>
      </c>
      <c r="I853" s="34">
        <v>11</v>
      </c>
      <c r="J853" s="34">
        <v>19</v>
      </c>
      <c r="K853" s="34">
        <v>32</v>
      </c>
      <c r="L853" s="34">
        <v>23</v>
      </c>
      <c r="Q853" s="35">
        <f t="shared" si="27"/>
        <v>205</v>
      </c>
      <c r="R853" s="4" t="s">
        <v>22</v>
      </c>
    </row>
    <row r="854" spans="1:18" x14ac:dyDescent="0.25">
      <c r="A854" s="40">
        <v>46146</v>
      </c>
      <c r="B854" s="28">
        <v>2</v>
      </c>
      <c r="C854" s="34" t="s">
        <v>1041</v>
      </c>
      <c r="D854" s="34" t="s">
        <v>128</v>
      </c>
      <c r="E854" s="34">
        <v>24</v>
      </c>
      <c r="F854" s="34">
        <v>24</v>
      </c>
      <c r="G854" s="34">
        <v>31</v>
      </c>
      <c r="H854" s="34">
        <v>24</v>
      </c>
      <c r="I854" s="34">
        <v>9</v>
      </c>
      <c r="J854" s="34">
        <v>28</v>
      </c>
      <c r="K854" s="34">
        <v>22</v>
      </c>
      <c r="L854" s="34">
        <v>4</v>
      </c>
      <c r="Q854" s="35">
        <f t="shared" si="27"/>
        <v>166</v>
      </c>
      <c r="R854" s="4" t="s">
        <v>22</v>
      </c>
    </row>
    <row r="855" spans="1:18" x14ac:dyDescent="0.25">
      <c r="A855" s="40">
        <v>46146</v>
      </c>
      <c r="B855" s="28">
        <v>2</v>
      </c>
      <c r="C855" s="34" t="s">
        <v>1042</v>
      </c>
      <c r="D855" s="34" t="s">
        <v>1043</v>
      </c>
      <c r="E855" s="34">
        <v>2</v>
      </c>
      <c r="F855" s="34">
        <v>28</v>
      </c>
      <c r="G855" s="34">
        <v>39</v>
      </c>
      <c r="H855" s="34">
        <v>26</v>
      </c>
      <c r="I855" s="34">
        <v>13</v>
      </c>
      <c r="J855" s="34">
        <v>29</v>
      </c>
      <c r="K855" s="34">
        <v>28</v>
      </c>
      <c r="L855" s="34">
        <v>25</v>
      </c>
      <c r="Q855" s="35">
        <f t="shared" si="27"/>
        <v>190</v>
      </c>
      <c r="R855" s="4" t="s">
        <v>22</v>
      </c>
    </row>
    <row r="856" spans="1:18" x14ac:dyDescent="0.25">
      <c r="A856" s="40">
        <v>46146</v>
      </c>
      <c r="B856" s="28">
        <v>2</v>
      </c>
      <c r="C856" s="34" t="s">
        <v>749</v>
      </c>
      <c r="D856" s="34" t="s">
        <v>640</v>
      </c>
      <c r="E856" s="34">
        <v>6</v>
      </c>
      <c r="F856" s="34">
        <v>17</v>
      </c>
      <c r="G856" s="34">
        <v>19</v>
      </c>
      <c r="H856" s="34">
        <v>19</v>
      </c>
      <c r="I856" s="34">
        <v>9</v>
      </c>
      <c r="J856" s="34">
        <v>21</v>
      </c>
      <c r="K856" s="34">
        <v>21</v>
      </c>
      <c r="L856" s="34">
        <v>25</v>
      </c>
      <c r="Q856" s="35">
        <f t="shared" si="27"/>
        <v>137</v>
      </c>
      <c r="R856" s="4" t="s">
        <v>22</v>
      </c>
    </row>
    <row r="857" spans="1:18" x14ac:dyDescent="0.25">
      <c r="A857" s="40">
        <v>46146</v>
      </c>
      <c r="B857" s="28">
        <v>2</v>
      </c>
      <c r="C857" s="34" t="s">
        <v>1044</v>
      </c>
      <c r="D857" s="34" t="s">
        <v>363</v>
      </c>
      <c r="E857" s="34">
        <v>17</v>
      </c>
      <c r="F857" s="34">
        <v>32</v>
      </c>
      <c r="G857" s="34">
        <v>32</v>
      </c>
      <c r="H857" s="34">
        <v>30</v>
      </c>
      <c r="I857" s="34">
        <v>14</v>
      </c>
      <c r="J857" s="34">
        <v>26</v>
      </c>
      <c r="K857" s="34">
        <v>30</v>
      </c>
      <c r="L857" s="34">
        <v>25</v>
      </c>
      <c r="Q857" s="35">
        <f t="shared" si="27"/>
        <v>206</v>
      </c>
      <c r="R857" s="4" t="s">
        <v>22</v>
      </c>
    </row>
    <row r="858" spans="1:18" x14ac:dyDescent="0.25">
      <c r="A858" s="40">
        <v>46146</v>
      </c>
      <c r="B858" s="28">
        <v>2</v>
      </c>
      <c r="C858" s="34" t="s">
        <v>739</v>
      </c>
      <c r="D858" s="34" t="s">
        <v>215</v>
      </c>
      <c r="E858" s="34">
        <v>11</v>
      </c>
      <c r="F858" s="34">
        <v>14</v>
      </c>
      <c r="G858" s="34">
        <v>23</v>
      </c>
      <c r="H858" s="34">
        <v>19</v>
      </c>
      <c r="I858" s="34">
        <v>13</v>
      </c>
      <c r="J858" s="34">
        <v>23</v>
      </c>
      <c r="K858" s="34">
        <v>18</v>
      </c>
      <c r="L858" s="34">
        <v>23</v>
      </c>
      <c r="Q858" s="35">
        <f t="shared" ref="Q858:Q895" si="28">SUM(E858:P858)</f>
        <v>144</v>
      </c>
      <c r="R858" s="4" t="s">
        <v>140</v>
      </c>
    </row>
    <row r="859" spans="1:18" x14ac:dyDescent="0.25">
      <c r="A859" s="40">
        <v>46146</v>
      </c>
      <c r="B859" s="28">
        <v>2</v>
      </c>
      <c r="C859" s="34" t="s">
        <v>1045</v>
      </c>
      <c r="D859" s="34" t="s">
        <v>1046</v>
      </c>
      <c r="E859" s="34">
        <v>17</v>
      </c>
      <c r="F859" s="34">
        <v>21</v>
      </c>
      <c r="G859" s="34">
        <v>23</v>
      </c>
      <c r="H859" s="34">
        <v>19</v>
      </c>
      <c r="I859" s="34">
        <v>8</v>
      </c>
      <c r="J859" s="34">
        <v>22</v>
      </c>
      <c r="K859" s="34">
        <v>21</v>
      </c>
      <c r="L859" s="34">
        <v>15</v>
      </c>
      <c r="Q859" s="35">
        <f t="shared" si="28"/>
        <v>146</v>
      </c>
      <c r="R859" s="4" t="s">
        <v>140</v>
      </c>
    </row>
    <row r="860" spans="1:18" x14ac:dyDescent="0.25">
      <c r="A860" s="40">
        <v>46146</v>
      </c>
      <c r="B860" s="28">
        <v>2</v>
      </c>
      <c r="C860" s="34" t="s">
        <v>1047</v>
      </c>
      <c r="D860" s="34" t="s">
        <v>809</v>
      </c>
      <c r="E860" s="34">
        <v>10</v>
      </c>
      <c r="F860" s="34">
        <v>25</v>
      </c>
      <c r="G860" s="34">
        <v>30</v>
      </c>
      <c r="H860" s="34">
        <v>21</v>
      </c>
      <c r="I860" s="34">
        <v>9</v>
      </c>
      <c r="J860" s="34">
        <v>25</v>
      </c>
      <c r="K860" s="34">
        <v>21</v>
      </c>
      <c r="L860" s="34">
        <v>19</v>
      </c>
      <c r="Q860" s="35">
        <f t="shared" si="28"/>
        <v>160</v>
      </c>
      <c r="R860" s="4" t="s">
        <v>140</v>
      </c>
    </row>
    <row r="861" spans="1:18" x14ac:dyDescent="0.25">
      <c r="A861" s="40">
        <v>46146</v>
      </c>
      <c r="B861" s="28">
        <v>2</v>
      </c>
      <c r="C861" s="34" t="s">
        <v>1048</v>
      </c>
      <c r="D861" s="34" t="s">
        <v>641</v>
      </c>
      <c r="E861" s="34">
        <v>12</v>
      </c>
      <c r="F861" s="34">
        <v>15</v>
      </c>
      <c r="G861" s="34">
        <v>18</v>
      </c>
      <c r="H861" s="34">
        <v>12</v>
      </c>
      <c r="I861" s="34">
        <v>5</v>
      </c>
      <c r="J861" s="34">
        <v>9</v>
      </c>
      <c r="K861" s="34">
        <v>11</v>
      </c>
      <c r="L861" s="34">
        <v>17</v>
      </c>
      <c r="Q861" s="35">
        <f t="shared" si="28"/>
        <v>99</v>
      </c>
      <c r="R861" s="4" t="s">
        <v>140</v>
      </c>
    </row>
    <row r="862" spans="1:18" x14ac:dyDescent="0.25">
      <c r="A862" s="40">
        <v>46146</v>
      </c>
      <c r="B862" s="28">
        <v>2</v>
      </c>
      <c r="C862" s="34" t="s">
        <v>834</v>
      </c>
      <c r="D862" s="34" t="s">
        <v>184</v>
      </c>
      <c r="E862" s="34">
        <v>24</v>
      </c>
      <c r="F862" s="34">
        <v>33</v>
      </c>
      <c r="G862" s="34">
        <v>40</v>
      </c>
      <c r="H862" s="34">
        <v>26</v>
      </c>
      <c r="I862" s="34">
        <v>11</v>
      </c>
      <c r="J862" s="34">
        <v>28</v>
      </c>
      <c r="K862" s="34">
        <v>26</v>
      </c>
      <c r="L862" s="34">
        <v>25</v>
      </c>
      <c r="Q862" s="35">
        <f t="shared" si="28"/>
        <v>213</v>
      </c>
      <c r="R862" s="4" t="s">
        <v>140</v>
      </c>
    </row>
    <row r="863" spans="1:18" x14ac:dyDescent="0.25">
      <c r="A863" s="40">
        <v>46146</v>
      </c>
      <c r="B863" s="28">
        <v>2</v>
      </c>
      <c r="C863" s="34" t="s">
        <v>137</v>
      </c>
      <c r="D863" s="34" t="s">
        <v>130</v>
      </c>
      <c r="E863" s="34">
        <v>13</v>
      </c>
      <c r="F863" s="34">
        <v>19</v>
      </c>
      <c r="G863" s="34">
        <v>26</v>
      </c>
      <c r="H863" s="34">
        <v>28</v>
      </c>
      <c r="I863" s="34">
        <v>8</v>
      </c>
      <c r="J863" s="34">
        <v>25</v>
      </c>
      <c r="K863" s="34">
        <v>26</v>
      </c>
      <c r="L863" s="34">
        <v>26</v>
      </c>
      <c r="Q863" s="35">
        <f t="shared" si="28"/>
        <v>171</v>
      </c>
      <c r="R863" s="4" t="s">
        <v>140</v>
      </c>
    </row>
    <row r="864" spans="1:18" x14ac:dyDescent="0.25">
      <c r="A864" s="40">
        <v>46146</v>
      </c>
      <c r="B864" s="28">
        <v>2</v>
      </c>
      <c r="C864" s="34" t="s">
        <v>1049</v>
      </c>
      <c r="D864" s="34" t="s">
        <v>1050</v>
      </c>
      <c r="E864" s="34">
        <v>3</v>
      </c>
      <c r="F864" s="34">
        <v>16</v>
      </c>
      <c r="G864" s="34">
        <v>21</v>
      </c>
      <c r="H864" s="34">
        <v>14</v>
      </c>
      <c r="I864" s="34">
        <v>7</v>
      </c>
      <c r="J864" s="34">
        <v>15</v>
      </c>
      <c r="K864" s="34">
        <v>19</v>
      </c>
      <c r="L864" s="34">
        <v>18</v>
      </c>
      <c r="Q864" s="35">
        <f t="shared" si="28"/>
        <v>113</v>
      </c>
      <c r="R864" s="4" t="s">
        <v>140</v>
      </c>
    </row>
    <row r="865" spans="1:18" x14ac:dyDescent="0.25">
      <c r="A865" s="40">
        <v>46146</v>
      </c>
      <c r="B865" s="28">
        <v>2</v>
      </c>
      <c r="C865" s="34" t="s">
        <v>134</v>
      </c>
      <c r="D865" s="34" t="s">
        <v>127</v>
      </c>
      <c r="E865" s="34">
        <v>13</v>
      </c>
      <c r="F865" s="34">
        <v>25</v>
      </c>
      <c r="G865" s="34">
        <v>27</v>
      </c>
      <c r="H865" s="34">
        <v>35</v>
      </c>
      <c r="I865" s="34">
        <v>7</v>
      </c>
      <c r="J865" s="34">
        <v>21</v>
      </c>
      <c r="K865" s="34">
        <v>24</v>
      </c>
      <c r="L865" s="34">
        <v>23</v>
      </c>
      <c r="Q865" s="35">
        <f t="shared" si="28"/>
        <v>175</v>
      </c>
      <c r="R865" s="4" t="s">
        <v>140</v>
      </c>
    </row>
    <row r="866" spans="1:18" x14ac:dyDescent="0.25">
      <c r="A866" s="40">
        <v>46146</v>
      </c>
      <c r="B866" s="28">
        <v>2</v>
      </c>
      <c r="C866" s="34" t="s">
        <v>1070</v>
      </c>
      <c r="D866" s="34" t="s">
        <v>1071</v>
      </c>
      <c r="E866" s="34">
        <v>1</v>
      </c>
      <c r="F866" s="34">
        <v>11</v>
      </c>
      <c r="G866" s="34">
        <v>19</v>
      </c>
      <c r="H866" s="34">
        <v>15</v>
      </c>
      <c r="I866" s="34">
        <v>8</v>
      </c>
      <c r="J866" s="34">
        <v>14</v>
      </c>
      <c r="K866" s="34">
        <v>18</v>
      </c>
      <c r="L866" s="34">
        <v>15</v>
      </c>
      <c r="Q866" s="35">
        <f t="shared" si="28"/>
        <v>101</v>
      </c>
      <c r="R866" s="4" t="s">
        <v>140</v>
      </c>
    </row>
    <row r="867" spans="1:18" x14ac:dyDescent="0.25">
      <c r="A867" s="40">
        <v>46146</v>
      </c>
      <c r="B867" s="28">
        <v>2</v>
      </c>
      <c r="C867" s="34" t="s">
        <v>1051</v>
      </c>
      <c r="D867" s="34" t="s">
        <v>1052</v>
      </c>
      <c r="E867" s="34">
        <v>7</v>
      </c>
      <c r="F867" s="34">
        <v>22</v>
      </c>
      <c r="G867" s="34">
        <v>20</v>
      </c>
      <c r="H867" s="34">
        <v>20</v>
      </c>
      <c r="I867" s="34">
        <v>9</v>
      </c>
      <c r="J867" s="34">
        <v>28</v>
      </c>
      <c r="K867" s="34">
        <v>24</v>
      </c>
      <c r="L867" s="34">
        <v>18</v>
      </c>
      <c r="Q867" s="35">
        <f t="shared" si="28"/>
        <v>148</v>
      </c>
      <c r="R867" s="4" t="s">
        <v>140</v>
      </c>
    </row>
    <row r="868" spans="1:18" x14ac:dyDescent="0.25">
      <c r="A868" s="40">
        <v>46146</v>
      </c>
      <c r="B868" s="28">
        <v>2</v>
      </c>
      <c r="C868" s="34" t="s">
        <v>1053</v>
      </c>
      <c r="D868" s="34" t="s">
        <v>1052</v>
      </c>
      <c r="E868" s="34">
        <v>4</v>
      </c>
      <c r="F868" s="34">
        <v>19</v>
      </c>
      <c r="G868" s="34">
        <v>21</v>
      </c>
      <c r="H868" s="34">
        <v>14</v>
      </c>
      <c r="I868" s="34">
        <v>9</v>
      </c>
      <c r="J868" s="34">
        <v>17</v>
      </c>
      <c r="K868" s="34">
        <v>17</v>
      </c>
      <c r="L868" s="34">
        <v>22</v>
      </c>
      <c r="Q868" s="35">
        <f t="shared" si="28"/>
        <v>123</v>
      </c>
      <c r="R868" s="4" t="s">
        <v>140</v>
      </c>
    </row>
    <row r="869" spans="1:18" x14ac:dyDescent="0.25">
      <c r="A869" s="40">
        <v>46146</v>
      </c>
      <c r="B869" s="28">
        <v>2</v>
      </c>
      <c r="C869" s="34" t="s">
        <v>1054</v>
      </c>
      <c r="D869" s="34" t="s">
        <v>1055</v>
      </c>
      <c r="E869" s="34">
        <v>1</v>
      </c>
      <c r="F869" s="34">
        <v>11</v>
      </c>
      <c r="G869" s="34">
        <v>17</v>
      </c>
      <c r="H869" s="34">
        <v>10</v>
      </c>
      <c r="Q869" s="35">
        <f t="shared" si="28"/>
        <v>39</v>
      </c>
      <c r="R869" s="4" t="s">
        <v>140</v>
      </c>
    </row>
    <row r="870" spans="1:18" x14ac:dyDescent="0.25">
      <c r="Q870" s="35">
        <f t="shared" si="28"/>
        <v>0</v>
      </c>
    </row>
    <row r="871" spans="1:18" x14ac:dyDescent="0.25">
      <c r="A871" s="40">
        <v>46147</v>
      </c>
      <c r="B871" s="28">
        <v>1</v>
      </c>
      <c r="C871" s="34" t="s">
        <v>1001</v>
      </c>
      <c r="D871" s="34" t="s">
        <v>124</v>
      </c>
      <c r="E871" s="34">
        <v>17</v>
      </c>
      <c r="F871" s="34">
        <v>23</v>
      </c>
      <c r="G871" s="34">
        <v>21</v>
      </c>
      <c r="H871" s="34">
        <v>21</v>
      </c>
      <c r="I871" s="34">
        <v>17</v>
      </c>
      <c r="J871" s="34">
        <v>23</v>
      </c>
      <c r="K871" s="34">
        <v>27</v>
      </c>
      <c r="L871" s="34">
        <v>21</v>
      </c>
      <c r="Q871" s="35">
        <f t="shared" si="28"/>
        <v>170</v>
      </c>
      <c r="R871" s="4" t="s">
        <v>22</v>
      </c>
    </row>
    <row r="872" spans="1:18" x14ac:dyDescent="0.25">
      <c r="A872" s="40">
        <v>46147</v>
      </c>
      <c r="B872" s="28">
        <v>1</v>
      </c>
      <c r="C872" s="34" t="s">
        <v>1002</v>
      </c>
      <c r="D872" s="34" t="s">
        <v>1003</v>
      </c>
      <c r="E872" s="34">
        <v>23</v>
      </c>
      <c r="F872" s="34">
        <v>27</v>
      </c>
      <c r="G872" s="34">
        <v>40</v>
      </c>
      <c r="H872" s="34">
        <v>19</v>
      </c>
      <c r="I872" s="34">
        <v>20</v>
      </c>
      <c r="J872" s="34">
        <v>25</v>
      </c>
      <c r="K872" s="34">
        <v>29</v>
      </c>
      <c r="L872" s="34">
        <v>21</v>
      </c>
      <c r="Q872" s="35">
        <f t="shared" si="28"/>
        <v>204</v>
      </c>
      <c r="R872" s="4" t="s">
        <v>22</v>
      </c>
    </row>
    <row r="873" spans="1:18" x14ac:dyDescent="0.25">
      <c r="A873" s="40">
        <v>46147</v>
      </c>
      <c r="B873" s="28">
        <v>1</v>
      </c>
      <c r="C873" s="34" t="s">
        <v>1006</v>
      </c>
      <c r="D873" s="34" t="s">
        <v>1004</v>
      </c>
      <c r="E873" s="34">
        <v>19</v>
      </c>
      <c r="F873" s="34">
        <v>29</v>
      </c>
      <c r="G873" s="34">
        <v>37</v>
      </c>
      <c r="H873" s="34">
        <v>17</v>
      </c>
      <c r="I873" s="34">
        <v>16</v>
      </c>
      <c r="J873" s="34">
        <v>23</v>
      </c>
      <c r="K873" s="34">
        <v>26</v>
      </c>
      <c r="L873" s="34">
        <v>23</v>
      </c>
      <c r="Q873" s="35">
        <f t="shared" si="28"/>
        <v>190</v>
      </c>
      <c r="R873" s="4" t="s">
        <v>22</v>
      </c>
    </row>
    <row r="874" spans="1:18" x14ac:dyDescent="0.25">
      <c r="A874" s="40">
        <v>46147</v>
      </c>
      <c r="B874" s="28">
        <v>1</v>
      </c>
      <c r="C874" s="34" t="s">
        <v>1007</v>
      </c>
      <c r="D874" s="34" t="s">
        <v>1005</v>
      </c>
      <c r="Q874" s="35">
        <f t="shared" si="28"/>
        <v>0</v>
      </c>
      <c r="R874" s="4" t="s">
        <v>22</v>
      </c>
    </row>
    <row r="875" spans="1:18" x14ac:dyDescent="0.25">
      <c r="A875" s="40">
        <v>46147</v>
      </c>
      <c r="B875" s="28">
        <v>1</v>
      </c>
      <c r="C875" s="34" t="s">
        <v>1008</v>
      </c>
      <c r="D875" s="34" t="s">
        <v>1009</v>
      </c>
      <c r="E875" s="34">
        <v>21</v>
      </c>
      <c r="F875" s="34">
        <v>23</v>
      </c>
      <c r="G875" s="34">
        <v>21</v>
      </c>
      <c r="H875" s="34">
        <v>20</v>
      </c>
      <c r="I875" s="34">
        <v>20</v>
      </c>
      <c r="J875" s="34">
        <v>20</v>
      </c>
      <c r="K875" s="34">
        <v>25</v>
      </c>
      <c r="L875" s="34">
        <v>24</v>
      </c>
      <c r="Q875" s="35">
        <f t="shared" si="28"/>
        <v>174</v>
      </c>
      <c r="R875" s="4" t="s">
        <v>22</v>
      </c>
    </row>
    <row r="876" spans="1:18" x14ac:dyDescent="0.25">
      <c r="A876" s="40">
        <v>46147</v>
      </c>
      <c r="B876" s="28">
        <v>1</v>
      </c>
      <c r="C876" s="34" t="s">
        <v>1010</v>
      </c>
      <c r="D876" s="34" t="s">
        <v>120</v>
      </c>
      <c r="E876" s="34">
        <v>23</v>
      </c>
      <c r="F876" s="34">
        <v>23</v>
      </c>
      <c r="G876" s="34">
        <v>27</v>
      </c>
      <c r="H876" s="34">
        <v>29</v>
      </c>
      <c r="I876" s="34">
        <v>23</v>
      </c>
      <c r="J876" s="34">
        <v>28</v>
      </c>
      <c r="K876" s="34">
        <v>33</v>
      </c>
      <c r="L876" s="34">
        <v>29</v>
      </c>
      <c r="Q876" s="35">
        <f t="shared" si="28"/>
        <v>215</v>
      </c>
      <c r="R876" s="4" t="s">
        <v>22</v>
      </c>
    </row>
    <row r="877" spans="1:18" x14ac:dyDescent="0.25">
      <c r="A877" s="40">
        <v>46147</v>
      </c>
      <c r="B877" s="28">
        <v>1</v>
      </c>
      <c r="C877" s="34" t="s">
        <v>485</v>
      </c>
      <c r="D877" s="34" t="s">
        <v>738</v>
      </c>
      <c r="E877" s="34">
        <v>13</v>
      </c>
      <c r="F877" s="34">
        <v>25</v>
      </c>
      <c r="G877" s="34">
        <v>35</v>
      </c>
      <c r="H877" s="34">
        <v>20</v>
      </c>
      <c r="I877" s="34">
        <v>18</v>
      </c>
      <c r="J877" s="34">
        <v>23</v>
      </c>
      <c r="K877" s="34">
        <v>35</v>
      </c>
      <c r="L877" s="34">
        <v>29</v>
      </c>
      <c r="Q877" s="35">
        <f t="shared" si="28"/>
        <v>198</v>
      </c>
      <c r="R877" s="4" t="s">
        <v>22</v>
      </c>
    </row>
    <row r="878" spans="1:18" x14ac:dyDescent="0.25">
      <c r="A878" s="40">
        <v>46147</v>
      </c>
      <c r="B878" s="28">
        <v>1</v>
      </c>
      <c r="C878" s="34" t="s">
        <v>101</v>
      </c>
      <c r="D878" s="34" t="s">
        <v>113</v>
      </c>
      <c r="E878" s="34">
        <v>19</v>
      </c>
      <c r="F878" s="34">
        <v>23</v>
      </c>
      <c r="G878" s="34">
        <v>24</v>
      </c>
      <c r="H878" s="34">
        <v>20</v>
      </c>
      <c r="I878" s="34">
        <v>20</v>
      </c>
      <c r="J878" s="34">
        <v>28</v>
      </c>
      <c r="K878" s="34">
        <v>33</v>
      </c>
      <c r="L878" s="34">
        <v>31</v>
      </c>
      <c r="Q878" s="35">
        <f t="shared" si="28"/>
        <v>198</v>
      </c>
      <c r="R878" s="4" t="s">
        <v>22</v>
      </c>
    </row>
    <row r="879" spans="1:18" x14ac:dyDescent="0.25">
      <c r="A879" s="40">
        <v>46147</v>
      </c>
      <c r="B879" s="28">
        <v>1</v>
      </c>
      <c r="C879" s="34" t="s">
        <v>396</v>
      </c>
      <c r="D879" s="34" t="s">
        <v>395</v>
      </c>
      <c r="E879" s="34">
        <v>19</v>
      </c>
      <c r="F879" s="34">
        <v>23</v>
      </c>
      <c r="G879" s="34">
        <v>34</v>
      </c>
      <c r="H879" s="34">
        <v>25</v>
      </c>
      <c r="I879" s="34">
        <v>26</v>
      </c>
      <c r="J879" s="34">
        <v>31</v>
      </c>
      <c r="K879" s="34">
        <v>42</v>
      </c>
      <c r="L879" s="34">
        <v>30</v>
      </c>
      <c r="Q879" s="35">
        <f t="shared" si="28"/>
        <v>230</v>
      </c>
      <c r="R879" s="4" t="s">
        <v>22</v>
      </c>
    </row>
    <row r="880" spans="1:18" x14ac:dyDescent="0.25">
      <c r="A880" s="40">
        <v>46147</v>
      </c>
      <c r="B880" s="28">
        <v>1</v>
      </c>
      <c r="C880" s="34" t="s">
        <v>108</v>
      </c>
      <c r="D880" s="34" t="s">
        <v>121</v>
      </c>
      <c r="E880" s="34">
        <v>16</v>
      </c>
      <c r="F880" s="34">
        <v>20</v>
      </c>
      <c r="G880" s="34">
        <v>19</v>
      </c>
      <c r="H880" s="34">
        <v>18</v>
      </c>
      <c r="I880" s="34">
        <v>19</v>
      </c>
      <c r="J880" s="34">
        <v>24</v>
      </c>
      <c r="K880" s="34">
        <v>31</v>
      </c>
      <c r="L880" s="34">
        <v>22</v>
      </c>
      <c r="Q880" s="35">
        <f t="shared" si="28"/>
        <v>169</v>
      </c>
      <c r="R880" s="4" t="s">
        <v>22</v>
      </c>
    </row>
    <row r="881" spans="1:18" x14ac:dyDescent="0.25">
      <c r="A881" s="40">
        <v>46147</v>
      </c>
      <c r="B881" s="28">
        <v>1</v>
      </c>
      <c r="C881" s="34" t="s">
        <v>110</v>
      </c>
      <c r="D881" s="34" t="s">
        <v>123</v>
      </c>
      <c r="E881" s="34">
        <v>19</v>
      </c>
      <c r="F881" s="34">
        <v>27</v>
      </c>
      <c r="G881" s="34">
        <v>30</v>
      </c>
      <c r="H881" s="34">
        <v>25</v>
      </c>
      <c r="I881" s="34">
        <v>23</v>
      </c>
      <c r="J881" s="34">
        <v>29</v>
      </c>
      <c r="K881" s="34">
        <v>40</v>
      </c>
      <c r="L881" s="34">
        <v>29</v>
      </c>
      <c r="Q881" s="35">
        <f t="shared" si="28"/>
        <v>222</v>
      </c>
      <c r="R881" s="4" t="s">
        <v>22</v>
      </c>
    </row>
    <row r="882" spans="1:18" x14ac:dyDescent="0.25">
      <c r="A882" s="40">
        <v>46147</v>
      </c>
      <c r="B882" s="28">
        <v>1</v>
      </c>
      <c r="C882" s="34" t="s">
        <v>109</v>
      </c>
      <c r="D882" s="34" t="s">
        <v>122</v>
      </c>
      <c r="E882" s="34">
        <v>17</v>
      </c>
      <c r="F882" s="34">
        <v>26</v>
      </c>
      <c r="G882" s="34">
        <v>25</v>
      </c>
      <c r="H882" s="34">
        <v>26</v>
      </c>
      <c r="I882" s="34">
        <v>18</v>
      </c>
      <c r="J882" s="34">
        <v>28</v>
      </c>
      <c r="K882" s="34">
        <v>32</v>
      </c>
      <c r="L882" s="34">
        <v>24</v>
      </c>
      <c r="Q882" s="35">
        <f t="shared" si="28"/>
        <v>196</v>
      </c>
      <c r="R882" s="4" t="s">
        <v>22</v>
      </c>
    </row>
    <row r="883" spans="1:18" x14ac:dyDescent="0.25">
      <c r="A883" s="40">
        <v>46147</v>
      </c>
      <c r="B883" s="28">
        <v>1</v>
      </c>
      <c r="C883" s="34" t="s">
        <v>1011</v>
      </c>
      <c r="D883" s="34" t="s">
        <v>1012</v>
      </c>
      <c r="Q883" s="35">
        <f t="shared" si="28"/>
        <v>0</v>
      </c>
      <c r="R883" s="4" t="s">
        <v>140</v>
      </c>
    </row>
    <row r="884" spans="1:18" x14ac:dyDescent="0.25">
      <c r="A884" s="40">
        <v>46147</v>
      </c>
      <c r="B884" s="28">
        <v>1</v>
      </c>
      <c r="C884" s="34" t="s">
        <v>807</v>
      </c>
      <c r="D884" s="34" t="s">
        <v>808</v>
      </c>
      <c r="E884" s="34">
        <v>17</v>
      </c>
      <c r="F884" s="34">
        <v>24</v>
      </c>
      <c r="G884" s="34">
        <v>28</v>
      </c>
      <c r="H884" s="34">
        <v>20</v>
      </c>
      <c r="I884" s="34">
        <v>18</v>
      </c>
      <c r="J884" s="34">
        <v>23</v>
      </c>
      <c r="K884" s="34">
        <v>30</v>
      </c>
      <c r="L884" s="34">
        <v>24</v>
      </c>
      <c r="Q884" s="35">
        <f t="shared" si="28"/>
        <v>184</v>
      </c>
      <c r="R884" s="4" t="s">
        <v>140</v>
      </c>
    </row>
    <row r="885" spans="1:18" x14ac:dyDescent="0.25">
      <c r="A885" s="40">
        <v>46147</v>
      </c>
      <c r="B885" s="28">
        <v>1</v>
      </c>
      <c r="C885" s="34" t="s">
        <v>1013</v>
      </c>
      <c r="D885" s="34" t="s">
        <v>1014</v>
      </c>
      <c r="E885" s="34">
        <v>15</v>
      </c>
      <c r="F885" s="34">
        <v>21</v>
      </c>
      <c r="G885" s="34">
        <v>20</v>
      </c>
      <c r="H885" s="34">
        <v>21</v>
      </c>
      <c r="I885" s="34">
        <v>11</v>
      </c>
      <c r="J885" s="34">
        <v>18</v>
      </c>
      <c r="K885" s="34">
        <v>19</v>
      </c>
      <c r="L885" s="34">
        <v>19</v>
      </c>
      <c r="Q885" s="35">
        <f t="shared" si="28"/>
        <v>144</v>
      </c>
      <c r="R885" s="4" t="s">
        <v>140</v>
      </c>
    </row>
    <row r="886" spans="1:18" x14ac:dyDescent="0.25">
      <c r="A886" s="40">
        <v>46147</v>
      </c>
      <c r="B886" s="28">
        <v>1</v>
      </c>
      <c r="C886" s="34" t="s">
        <v>1015</v>
      </c>
      <c r="D886" s="34" t="s">
        <v>142</v>
      </c>
      <c r="E886" s="34">
        <v>9</v>
      </c>
      <c r="F886" s="34">
        <v>14</v>
      </c>
      <c r="G886" s="34">
        <v>11</v>
      </c>
      <c r="H886" s="34">
        <v>14</v>
      </c>
      <c r="I886" s="34">
        <v>9</v>
      </c>
      <c r="J886" s="34">
        <v>16</v>
      </c>
      <c r="K886" s="34">
        <v>23</v>
      </c>
      <c r="L886" s="34">
        <v>19</v>
      </c>
      <c r="Q886" s="35">
        <f t="shared" si="28"/>
        <v>115</v>
      </c>
      <c r="R886" s="4" t="s">
        <v>140</v>
      </c>
    </row>
    <row r="887" spans="1:18" x14ac:dyDescent="0.25">
      <c r="A887" s="40">
        <v>46147</v>
      </c>
      <c r="B887" s="28">
        <v>1</v>
      </c>
      <c r="C887" s="34" t="s">
        <v>985</v>
      </c>
      <c r="D887" s="34" t="s">
        <v>271</v>
      </c>
      <c r="E887" s="34">
        <v>13</v>
      </c>
      <c r="F887" s="34">
        <v>19</v>
      </c>
      <c r="G887" s="34">
        <v>20</v>
      </c>
      <c r="H887" s="34">
        <v>25</v>
      </c>
      <c r="I887" s="34">
        <v>23</v>
      </c>
      <c r="J887" s="34">
        <v>20</v>
      </c>
      <c r="K887" s="34">
        <v>31</v>
      </c>
      <c r="L887" s="34">
        <v>24</v>
      </c>
      <c r="Q887" s="35">
        <f t="shared" si="28"/>
        <v>175</v>
      </c>
      <c r="R887" s="4" t="s">
        <v>140</v>
      </c>
    </row>
    <row r="888" spans="1:18" x14ac:dyDescent="0.25">
      <c r="A888" s="40">
        <v>46147</v>
      </c>
      <c r="B888" s="28">
        <v>1</v>
      </c>
      <c r="C888" s="34" t="s">
        <v>1016</v>
      </c>
      <c r="D888" s="34" t="s">
        <v>1017</v>
      </c>
      <c r="E888" s="34">
        <v>8</v>
      </c>
      <c r="F888" s="34">
        <v>13</v>
      </c>
      <c r="G888" s="34">
        <v>17</v>
      </c>
      <c r="H888" s="34">
        <v>16</v>
      </c>
      <c r="I888" s="34">
        <v>13</v>
      </c>
      <c r="J888" s="34">
        <v>17</v>
      </c>
      <c r="K888" s="34">
        <v>15</v>
      </c>
      <c r="L888" s="34">
        <v>14</v>
      </c>
      <c r="Q888" s="35">
        <f t="shared" si="28"/>
        <v>113</v>
      </c>
      <c r="R888" s="4" t="s">
        <v>140</v>
      </c>
    </row>
    <row r="889" spans="1:18" x14ac:dyDescent="0.25">
      <c r="A889" s="40">
        <v>46147</v>
      </c>
      <c r="B889" s="28">
        <v>1</v>
      </c>
      <c r="C889" s="34" t="s">
        <v>1018</v>
      </c>
      <c r="D889" s="34" t="s">
        <v>1019</v>
      </c>
      <c r="Q889" s="35">
        <f t="shared" si="28"/>
        <v>0</v>
      </c>
      <c r="R889" s="4" t="s">
        <v>140</v>
      </c>
    </row>
    <row r="890" spans="1:18" x14ac:dyDescent="0.25">
      <c r="A890" s="40">
        <v>46147</v>
      </c>
      <c r="B890" s="28">
        <v>1</v>
      </c>
      <c r="C890" s="34" t="s">
        <v>1020</v>
      </c>
      <c r="D890" s="34" t="s">
        <v>1021</v>
      </c>
      <c r="Q890" s="35">
        <f t="shared" si="28"/>
        <v>0</v>
      </c>
      <c r="R890" s="4" t="s">
        <v>140</v>
      </c>
    </row>
    <row r="891" spans="1:18" x14ac:dyDescent="0.25">
      <c r="A891" s="40">
        <v>46147</v>
      </c>
      <c r="B891" s="28">
        <v>1</v>
      </c>
      <c r="C891" s="34" t="s">
        <v>1022</v>
      </c>
      <c r="D891" s="34" t="s">
        <v>1023</v>
      </c>
      <c r="E891" s="34">
        <v>12</v>
      </c>
      <c r="F891" s="34">
        <v>22</v>
      </c>
      <c r="G891" s="34">
        <v>22</v>
      </c>
      <c r="H891" s="34">
        <v>32</v>
      </c>
      <c r="I891" s="34">
        <v>12</v>
      </c>
      <c r="J891" s="34">
        <v>24</v>
      </c>
      <c r="K891" s="34">
        <v>18</v>
      </c>
      <c r="L891" s="34">
        <v>20</v>
      </c>
      <c r="Q891" s="35">
        <f t="shared" si="28"/>
        <v>162</v>
      </c>
      <c r="R891" s="4" t="s">
        <v>140</v>
      </c>
    </row>
    <row r="892" spans="1:18" x14ac:dyDescent="0.25">
      <c r="A892" s="40">
        <v>46147</v>
      </c>
      <c r="B892" s="28">
        <v>1</v>
      </c>
      <c r="C892" s="34" t="s">
        <v>1025</v>
      </c>
      <c r="D892" s="34" t="s">
        <v>1024</v>
      </c>
      <c r="E892" s="34">
        <v>12</v>
      </c>
      <c r="F892" s="34">
        <v>21</v>
      </c>
      <c r="G892" s="34">
        <v>19</v>
      </c>
      <c r="H892" s="34">
        <v>27</v>
      </c>
      <c r="I892" s="34">
        <v>14</v>
      </c>
      <c r="J892" s="34">
        <v>21</v>
      </c>
      <c r="K892" s="34">
        <v>23</v>
      </c>
      <c r="L892" s="34">
        <v>18</v>
      </c>
      <c r="Q892" s="35">
        <f t="shared" si="28"/>
        <v>155</v>
      </c>
      <c r="R892" s="4" t="s">
        <v>140</v>
      </c>
    </row>
    <row r="893" spans="1:18" x14ac:dyDescent="0.25">
      <c r="A893" s="40">
        <v>46147</v>
      </c>
      <c r="B893" s="28">
        <v>1</v>
      </c>
      <c r="C893" s="34" t="s">
        <v>1026</v>
      </c>
      <c r="D893" s="34" t="s">
        <v>1024</v>
      </c>
      <c r="E893" s="34">
        <v>12</v>
      </c>
      <c r="F893" s="34">
        <v>19</v>
      </c>
      <c r="G893" s="34">
        <v>16</v>
      </c>
      <c r="H893" s="34">
        <v>22</v>
      </c>
      <c r="I893" s="34">
        <v>14</v>
      </c>
      <c r="J893" s="34">
        <v>17</v>
      </c>
      <c r="K893" s="34">
        <v>25</v>
      </c>
      <c r="L893" s="34">
        <v>21</v>
      </c>
      <c r="Q893" s="35">
        <f t="shared" si="28"/>
        <v>146</v>
      </c>
      <c r="R893" s="4" t="s">
        <v>140</v>
      </c>
    </row>
    <row r="894" spans="1:18" x14ac:dyDescent="0.25">
      <c r="A894" s="40">
        <v>46147</v>
      </c>
      <c r="B894" s="28">
        <v>1</v>
      </c>
      <c r="C894" s="34" t="s">
        <v>1027</v>
      </c>
      <c r="D894" s="34" t="s">
        <v>1028</v>
      </c>
      <c r="E894" s="34">
        <v>10</v>
      </c>
      <c r="F894" s="34">
        <v>16</v>
      </c>
      <c r="G894" s="34">
        <v>11</v>
      </c>
      <c r="H894" s="34">
        <v>16</v>
      </c>
      <c r="I894" s="34">
        <v>12</v>
      </c>
      <c r="J894" s="34">
        <v>17</v>
      </c>
      <c r="K894" s="34">
        <v>16</v>
      </c>
      <c r="L894" s="34">
        <v>20</v>
      </c>
      <c r="Q894" s="35">
        <f t="shared" si="28"/>
        <v>118</v>
      </c>
      <c r="R894" s="4" t="s">
        <v>140</v>
      </c>
    </row>
    <row r="895" spans="1:18" x14ac:dyDescent="0.25">
      <c r="A895" s="40">
        <v>46147</v>
      </c>
      <c r="B895" s="28">
        <v>1</v>
      </c>
      <c r="C895" s="34" t="s">
        <v>135</v>
      </c>
      <c r="D895" s="34" t="s">
        <v>128</v>
      </c>
      <c r="E895" s="34">
        <v>19</v>
      </c>
      <c r="F895" s="34">
        <v>14</v>
      </c>
      <c r="G895" s="34">
        <v>26</v>
      </c>
      <c r="H895" s="34">
        <v>31</v>
      </c>
      <c r="I895" s="34">
        <v>15</v>
      </c>
      <c r="J895" s="34">
        <v>23</v>
      </c>
      <c r="K895" s="34">
        <v>31</v>
      </c>
      <c r="L895" s="34">
        <v>18</v>
      </c>
      <c r="Q895" s="35">
        <f t="shared" si="28"/>
        <v>177</v>
      </c>
      <c r="R895" s="4" t="s">
        <v>140</v>
      </c>
    </row>
    <row r="896" spans="1:18" x14ac:dyDescent="0.25">
      <c r="A896" s="40">
        <v>46148</v>
      </c>
      <c r="B896" s="28">
        <v>1</v>
      </c>
      <c r="C896" s="34" t="s">
        <v>1001</v>
      </c>
      <c r="D896" s="34" t="s">
        <v>124</v>
      </c>
      <c r="E896" s="34">
        <v>12</v>
      </c>
      <c r="F896" s="34">
        <v>22</v>
      </c>
      <c r="G896" s="34">
        <v>18</v>
      </c>
      <c r="H896" s="34">
        <v>24</v>
      </c>
      <c r="I896" s="34">
        <v>16</v>
      </c>
      <c r="J896" s="34">
        <v>23</v>
      </c>
      <c r="K896" s="34">
        <v>27</v>
      </c>
      <c r="L896" s="34">
        <v>15</v>
      </c>
      <c r="M896" s="34">
        <v>30</v>
      </c>
      <c r="N896" s="34">
        <v>24</v>
      </c>
      <c r="Q896" s="35">
        <f t="shared" ref="Q896:Q921" si="29">SUM(E896:P896)</f>
        <v>211</v>
      </c>
      <c r="R896" s="4" t="s">
        <v>22</v>
      </c>
    </row>
    <row r="897" spans="1:18" x14ac:dyDescent="0.25">
      <c r="A897" s="40">
        <v>46148</v>
      </c>
      <c r="B897" s="28">
        <v>1</v>
      </c>
      <c r="C897" s="34" t="s">
        <v>1002</v>
      </c>
      <c r="D897" s="34" t="s">
        <v>1003</v>
      </c>
      <c r="Q897" s="35">
        <f t="shared" si="29"/>
        <v>0</v>
      </c>
      <c r="R897" s="4" t="s">
        <v>22</v>
      </c>
    </row>
    <row r="898" spans="1:18" x14ac:dyDescent="0.25">
      <c r="A898" s="40">
        <v>46148</v>
      </c>
      <c r="B898" s="28">
        <v>1</v>
      </c>
      <c r="C898" s="34" t="s">
        <v>1006</v>
      </c>
      <c r="D898" s="34" t="s">
        <v>1004</v>
      </c>
      <c r="E898" s="34">
        <v>12</v>
      </c>
      <c r="F898" s="34">
        <v>23</v>
      </c>
      <c r="G898" s="34">
        <v>23</v>
      </c>
      <c r="H898" s="34">
        <v>31</v>
      </c>
      <c r="I898" s="34">
        <v>19</v>
      </c>
      <c r="J898" s="34">
        <v>28</v>
      </c>
      <c r="K898" s="34">
        <v>23</v>
      </c>
      <c r="L898" s="34">
        <v>18</v>
      </c>
      <c r="M898" s="34">
        <v>24</v>
      </c>
      <c r="N898" s="34">
        <v>17</v>
      </c>
      <c r="Q898" s="35">
        <f t="shared" si="29"/>
        <v>218</v>
      </c>
      <c r="R898" s="4" t="s">
        <v>22</v>
      </c>
    </row>
    <row r="899" spans="1:18" x14ac:dyDescent="0.25">
      <c r="A899" s="40">
        <v>46148</v>
      </c>
      <c r="B899" s="28">
        <v>1</v>
      </c>
      <c r="C899" s="34" t="s">
        <v>1007</v>
      </c>
      <c r="D899" s="34" t="s">
        <v>1005</v>
      </c>
      <c r="Q899" s="35">
        <f t="shared" si="29"/>
        <v>0</v>
      </c>
      <c r="R899" s="4" t="s">
        <v>22</v>
      </c>
    </row>
    <row r="900" spans="1:18" x14ac:dyDescent="0.25">
      <c r="A900" s="40">
        <v>46148</v>
      </c>
      <c r="B900" s="28">
        <v>1</v>
      </c>
      <c r="C900" s="34" t="s">
        <v>1008</v>
      </c>
      <c r="D900" s="34" t="s">
        <v>1009</v>
      </c>
      <c r="E900" s="34">
        <v>13</v>
      </c>
      <c r="F900" s="34">
        <v>30</v>
      </c>
      <c r="G900" s="34">
        <v>26</v>
      </c>
      <c r="H900" s="34">
        <v>24</v>
      </c>
      <c r="I900" s="34">
        <v>16</v>
      </c>
      <c r="J900" s="34">
        <v>27</v>
      </c>
      <c r="K900" s="34">
        <v>21</v>
      </c>
      <c r="L900" s="34">
        <v>13</v>
      </c>
      <c r="M900" s="34">
        <v>30</v>
      </c>
      <c r="N900" s="34">
        <v>20</v>
      </c>
      <c r="Q900" s="35">
        <f t="shared" si="29"/>
        <v>220</v>
      </c>
      <c r="R900" s="4" t="s">
        <v>22</v>
      </c>
    </row>
    <row r="901" spans="1:18" x14ac:dyDescent="0.25">
      <c r="A901" s="40">
        <v>46148</v>
      </c>
      <c r="B901" s="28">
        <v>1</v>
      </c>
      <c r="C901" s="34" t="s">
        <v>1010</v>
      </c>
      <c r="D901" s="34" t="s">
        <v>120</v>
      </c>
      <c r="E901" s="34">
        <v>16</v>
      </c>
      <c r="F901" s="34">
        <v>30</v>
      </c>
      <c r="G901" s="34">
        <v>27</v>
      </c>
      <c r="H901" s="34">
        <v>27</v>
      </c>
      <c r="I901" s="34">
        <v>21</v>
      </c>
      <c r="J901" s="34">
        <v>29</v>
      </c>
      <c r="K901" s="34">
        <v>27</v>
      </c>
      <c r="L901" s="34">
        <v>19</v>
      </c>
      <c r="M901" s="34">
        <v>35</v>
      </c>
      <c r="N901" s="34">
        <v>34</v>
      </c>
      <c r="Q901" s="35">
        <f t="shared" si="29"/>
        <v>265</v>
      </c>
      <c r="R901" s="4" t="s">
        <v>22</v>
      </c>
    </row>
    <row r="902" spans="1:18" x14ac:dyDescent="0.25">
      <c r="A902" s="40">
        <v>46148</v>
      </c>
      <c r="B902" s="28">
        <v>1</v>
      </c>
      <c r="C902" s="34" t="s">
        <v>485</v>
      </c>
      <c r="D902" s="34" t="s">
        <v>738</v>
      </c>
      <c r="Q902" s="35">
        <f t="shared" si="29"/>
        <v>0</v>
      </c>
      <c r="R902" s="4" t="s">
        <v>22</v>
      </c>
    </row>
    <row r="903" spans="1:18" x14ac:dyDescent="0.25">
      <c r="A903" s="40">
        <v>46148</v>
      </c>
      <c r="B903" s="28">
        <v>1</v>
      </c>
      <c r="C903" s="34" t="s">
        <v>101</v>
      </c>
      <c r="D903" s="34" t="s">
        <v>113</v>
      </c>
      <c r="E903" s="34">
        <v>12</v>
      </c>
      <c r="F903" s="34">
        <v>32</v>
      </c>
      <c r="G903" s="34">
        <v>25</v>
      </c>
      <c r="H903" s="34">
        <v>26</v>
      </c>
      <c r="I903" s="34">
        <v>17</v>
      </c>
      <c r="J903" s="34">
        <v>21</v>
      </c>
      <c r="K903" s="34">
        <v>25</v>
      </c>
      <c r="L903" s="34">
        <v>16</v>
      </c>
      <c r="M903" s="34">
        <v>26</v>
      </c>
      <c r="N903" s="34">
        <v>10</v>
      </c>
      <c r="Q903" s="35">
        <f t="shared" si="29"/>
        <v>210</v>
      </c>
      <c r="R903" s="4" t="s">
        <v>22</v>
      </c>
    </row>
    <row r="904" spans="1:18" x14ac:dyDescent="0.25">
      <c r="A904" s="40">
        <v>46148</v>
      </c>
      <c r="B904" s="28">
        <v>1</v>
      </c>
      <c r="C904" s="34" t="s">
        <v>396</v>
      </c>
      <c r="D904" s="34" t="s">
        <v>395</v>
      </c>
      <c r="E904" s="34">
        <v>14</v>
      </c>
      <c r="F904" s="34">
        <v>37</v>
      </c>
      <c r="G904" s="34">
        <v>36</v>
      </c>
      <c r="H904" s="34">
        <v>37</v>
      </c>
      <c r="I904" s="34">
        <v>21</v>
      </c>
      <c r="J904" s="34">
        <v>34</v>
      </c>
      <c r="K904" s="34">
        <v>24</v>
      </c>
      <c r="L904" s="34">
        <v>17</v>
      </c>
      <c r="M904" s="34">
        <v>28</v>
      </c>
      <c r="N904" s="34">
        <v>27</v>
      </c>
      <c r="Q904" s="35">
        <f t="shared" si="29"/>
        <v>275</v>
      </c>
      <c r="R904" s="4" t="s">
        <v>22</v>
      </c>
    </row>
    <row r="905" spans="1:18" x14ac:dyDescent="0.25">
      <c r="A905" s="40">
        <v>46148</v>
      </c>
      <c r="B905" s="28">
        <v>1</v>
      </c>
      <c r="C905" s="34" t="s">
        <v>108</v>
      </c>
      <c r="D905" s="34" t="s">
        <v>121</v>
      </c>
      <c r="E905" s="34">
        <v>13</v>
      </c>
      <c r="F905" s="34">
        <v>29</v>
      </c>
      <c r="G905" s="34">
        <v>24</v>
      </c>
      <c r="H905" s="34">
        <v>32</v>
      </c>
      <c r="I905" s="34">
        <v>17</v>
      </c>
      <c r="J905" s="34">
        <v>29</v>
      </c>
      <c r="K905" s="34">
        <v>23</v>
      </c>
      <c r="L905" s="34">
        <v>14</v>
      </c>
      <c r="M905" s="34">
        <v>21</v>
      </c>
      <c r="N905" s="34">
        <v>20</v>
      </c>
      <c r="Q905" s="35">
        <f t="shared" si="29"/>
        <v>222</v>
      </c>
      <c r="R905" s="4" t="s">
        <v>22</v>
      </c>
    </row>
    <row r="906" spans="1:18" x14ac:dyDescent="0.25">
      <c r="A906" s="40">
        <v>46148</v>
      </c>
      <c r="B906" s="28">
        <v>1</v>
      </c>
      <c r="C906" s="34" t="s">
        <v>110</v>
      </c>
      <c r="D906" s="34" t="s">
        <v>123</v>
      </c>
      <c r="E906" s="34">
        <v>18</v>
      </c>
      <c r="F906" s="34">
        <v>38</v>
      </c>
      <c r="G906" s="34">
        <v>34</v>
      </c>
      <c r="H906" s="34">
        <v>30</v>
      </c>
      <c r="I906" s="34">
        <v>20</v>
      </c>
      <c r="J906" s="34">
        <v>22</v>
      </c>
      <c r="K906" s="34">
        <v>22</v>
      </c>
      <c r="L906" s="34">
        <v>16</v>
      </c>
      <c r="M906" s="34">
        <v>30</v>
      </c>
      <c r="N906" s="34">
        <v>20</v>
      </c>
      <c r="Q906" s="35">
        <f t="shared" si="29"/>
        <v>250</v>
      </c>
      <c r="R906" s="4" t="s">
        <v>22</v>
      </c>
    </row>
    <row r="907" spans="1:18" x14ac:dyDescent="0.25">
      <c r="A907" s="40">
        <v>46148</v>
      </c>
      <c r="B907" s="28">
        <v>1</v>
      </c>
      <c r="C907" s="34" t="s">
        <v>109</v>
      </c>
      <c r="D907" s="34" t="s">
        <v>122</v>
      </c>
      <c r="E907" s="34">
        <v>12</v>
      </c>
      <c r="F907" s="34">
        <v>38</v>
      </c>
      <c r="G907" s="34">
        <v>31</v>
      </c>
      <c r="H907" s="34">
        <v>31</v>
      </c>
      <c r="I907" s="34">
        <v>20</v>
      </c>
      <c r="J907" s="34">
        <v>33</v>
      </c>
      <c r="K907" s="34">
        <v>16</v>
      </c>
      <c r="L907" s="34">
        <v>13</v>
      </c>
      <c r="M907" s="34">
        <v>28</v>
      </c>
      <c r="N907" s="34">
        <v>18</v>
      </c>
      <c r="Q907" s="35">
        <f t="shared" si="29"/>
        <v>240</v>
      </c>
      <c r="R907" s="4" t="s">
        <v>22</v>
      </c>
    </row>
    <row r="908" spans="1:18" x14ac:dyDescent="0.25">
      <c r="A908" s="40"/>
      <c r="B908" s="28">
        <v>1</v>
      </c>
      <c r="C908" s="34" t="s">
        <v>103</v>
      </c>
      <c r="D908" s="34" t="s">
        <v>1158</v>
      </c>
      <c r="M908" s="34">
        <v>10</v>
      </c>
      <c r="N908" s="34">
        <v>24</v>
      </c>
      <c r="Q908" s="35">
        <f t="shared" si="29"/>
        <v>34</v>
      </c>
      <c r="R908" s="4" t="s">
        <v>22</v>
      </c>
    </row>
    <row r="909" spans="1:18" x14ac:dyDescent="0.25">
      <c r="A909" s="40">
        <v>46148</v>
      </c>
      <c r="B909" s="28">
        <v>1</v>
      </c>
      <c r="C909" s="34" t="s">
        <v>1011</v>
      </c>
      <c r="D909" s="34" t="s">
        <v>1012</v>
      </c>
      <c r="Q909" s="35">
        <f t="shared" si="29"/>
        <v>0</v>
      </c>
      <c r="R909" s="4" t="s">
        <v>140</v>
      </c>
    </row>
    <row r="910" spans="1:18" x14ac:dyDescent="0.25">
      <c r="A910" s="40">
        <v>46148</v>
      </c>
      <c r="B910" s="28">
        <v>1</v>
      </c>
      <c r="C910" s="34" t="s">
        <v>807</v>
      </c>
      <c r="D910" s="34" t="s">
        <v>808</v>
      </c>
      <c r="E910" s="34">
        <v>13</v>
      </c>
      <c r="F910" s="34">
        <v>28</v>
      </c>
      <c r="G910" s="34">
        <v>24</v>
      </c>
      <c r="H910" s="34">
        <v>33</v>
      </c>
      <c r="I910" s="34">
        <v>22</v>
      </c>
      <c r="J910" s="34">
        <v>27</v>
      </c>
      <c r="K910" s="34">
        <v>21</v>
      </c>
      <c r="L910" s="34">
        <v>15</v>
      </c>
      <c r="M910" s="34">
        <v>28</v>
      </c>
      <c r="N910" s="34">
        <v>19</v>
      </c>
      <c r="Q910" s="35">
        <f t="shared" si="29"/>
        <v>230</v>
      </c>
      <c r="R910" s="4" t="s">
        <v>140</v>
      </c>
    </row>
    <row r="911" spans="1:18" x14ac:dyDescent="0.25">
      <c r="A911" s="40">
        <v>46148</v>
      </c>
      <c r="B911" s="28">
        <v>1</v>
      </c>
      <c r="C911" s="34" t="s">
        <v>1013</v>
      </c>
      <c r="D911" s="34" t="s">
        <v>1014</v>
      </c>
      <c r="E911" s="34">
        <v>10</v>
      </c>
      <c r="F911" s="34">
        <v>20</v>
      </c>
      <c r="G911" s="34">
        <v>20</v>
      </c>
      <c r="H911" s="34">
        <v>20</v>
      </c>
      <c r="I911" s="34">
        <v>11</v>
      </c>
      <c r="J911" s="34">
        <v>19</v>
      </c>
      <c r="K911" s="34">
        <v>11</v>
      </c>
      <c r="L911" s="34">
        <v>11</v>
      </c>
      <c r="M911" s="34">
        <v>24</v>
      </c>
      <c r="N911" s="34">
        <v>15</v>
      </c>
      <c r="Q911" s="35">
        <f t="shared" si="29"/>
        <v>161</v>
      </c>
      <c r="R911" s="4" t="s">
        <v>140</v>
      </c>
    </row>
    <row r="912" spans="1:18" x14ac:dyDescent="0.25">
      <c r="A912" s="40">
        <v>46148</v>
      </c>
      <c r="B912" s="28">
        <v>1</v>
      </c>
      <c r="C912" s="34" t="s">
        <v>1015</v>
      </c>
      <c r="D912" s="34" t="s">
        <v>142</v>
      </c>
      <c r="E912" s="34">
        <v>7</v>
      </c>
      <c r="F912" s="34">
        <v>10</v>
      </c>
      <c r="G912" s="34">
        <v>13</v>
      </c>
      <c r="H912" s="34">
        <v>11</v>
      </c>
      <c r="I912" s="34">
        <v>9</v>
      </c>
      <c r="J912" s="34">
        <v>11</v>
      </c>
      <c r="K912" s="34">
        <v>10</v>
      </c>
      <c r="L912" s="34">
        <v>7</v>
      </c>
      <c r="M912" s="34">
        <v>16</v>
      </c>
      <c r="N912" s="34">
        <v>12</v>
      </c>
      <c r="Q912" s="35">
        <f t="shared" si="29"/>
        <v>106</v>
      </c>
      <c r="R912" s="4" t="s">
        <v>140</v>
      </c>
    </row>
    <row r="913" spans="1:18" x14ac:dyDescent="0.25">
      <c r="A913" s="40">
        <v>46148</v>
      </c>
      <c r="B913" s="28">
        <v>1</v>
      </c>
      <c r="C913" s="34" t="s">
        <v>985</v>
      </c>
      <c r="D913" s="34" t="s">
        <v>271</v>
      </c>
      <c r="E913" s="34">
        <v>13</v>
      </c>
      <c r="F913" s="34">
        <v>22</v>
      </c>
      <c r="G913" s="34">
        <v>14</v>
      </c>
      <c r="H913" s="34">
        <v>27</v>
      </c>
      <c r="I913" s="34">
        <v>24</v>
      </c>
      <c r="J913" s="34">
        <v>26</v>
      </c>
      <c r="K913" s="34">
        <v>24</v>
      </c>
      <c r="L913" s="34">
        <v>11</v>
      </c>
      <c r="M913" s="34">
        <v>26</v>
      </c>
      <c r="N913" s="34">
        <v>27</v>
      </c>
      <c r="Q913" s="35">
        <f t="shared" si="29"/>
        <v>214</v>
      </c>
      <c r="R913" s="4" t="s">
        <v>140</v>
      </c>
    </row>
    <row r="914" spans="1:18" x14ac:dyDescent="0.25">
      <c r="A914" s="40">
        <v>46148</v>
      </c>
      <c r="B914" s="28">
        <v>1</v>
      </c>
      <c r="C914" s="34" t="s">
        <v>1016</v>
      </c>
      <c r="D914" s="34" t="s">
        <v>1017</v>
      </c>
      <c r="Q914" s="35">
        <f t="shared" si="29"/>
        <v>0</v>
      </c>
      <c r="R914" s="4" t="s">
        <v>140</v>
      </c>
    </row>
    <row r="915" spans="1:18" x14ac:dyDescent="0.25">
      <c r="A915" s="40">
        <v>46148</v>
      </c>
      <c r="B915" s="28">
        <v>1</v>
      </c>
      <c r="C915" s="34" t="s">
        <v>1018</v>
      </c>
      <c r="D915" s="34" t="s">
        <v>1019</v>
      </c>
      <c r="Q915" s="35">
        <f t="shared" si="29"/>
        <v>0</v>
      </c>
      <c r="R915" s="4" t="s">
        <v>140</v>
      </c>
    </row>
    <row r="916" spans="1:18" x14ac:dyDescent="0.25">
      <c r="A916" s="40">
        <v>46148</v>
      </c>
      <c r="B916" s="28">
        <v>1</v>
      </c>
      <c r="C916" s="34" t="s">
        <v>1020</v>
      </c>
      <c r="D916" s="34" t="s">
        <v>1021</v>
      </c>
      <c r="Q916" s="35">
        <f t="shared" si="29"/>
        <v>0</v>
      </c>
      <c r="R916" s="4" t="s">
        <v>140</v>
      </c>
    </row>
    <row r="917" spans="1:18" x14ac:dyDescent="0.25">
      <c r="A917" s="40">
        <v>46148</v>
      </c>
      <c r="B917" s="28">
        <v>1</v>
      </c>
      <c r="C917" s="34" t="s">
        <v>1022</v>
      </c>
      <c r="D917" s="34" t="s">
        <v>1023</v>
      </c>
      <c r="E917" s="34">
        <v>13</v>
      </c>
      <c r="F917" s="34">
        <v>27</v>
      </c>
      <c r="G917" s="34">
        <v>26</v>
      </c>
      <c r="H917" s="34">
        <v>23</v>
      </c>
      <c r="I917" s="34">
        <v>14</v>
      </c>
      <c r="J917" s="34">
        <v>20</v>
      </c>
      <c r="K917" s="34">
        <v>23</v>
      </c>
      <c r="L917" s="34">
        <v>14</v>
      </c>
      <c r="M917" s="34">
        <v>34</v>
      </c>
      <c r="N917" s="34">
        <v>23</v>
      </c>
      <c r="Q917" s="35">
        <f t="shared" si="29"/>
        <v>217</v>
      </c>
      <c r="R917" s="4" t="s">
        <v>140</v>
      </c>
    </row>
    <row r="918" spans="1:18" x14ac:dyDescent="0.25">
      <c r="A918" s="40">
        <v>46148</v>
      </c>
      <c r="B918" s="28">
        <v>1</v>
      </c>
      <c r="C918" s="34" t="s">
        <v>1025</v>
      </c>
      <c r="D918" s="34" t="s">
        <v>1024</v>
      </c>
      <c r="E918" s="34">
        <v>9</v>
      </c>
      <c r="F918" s="34">
        <v>16</v>
      </c>
      <c r="G918" s="34">
        <v>14</v>
      </c>
      <c r="H918" s="34">
        <v>19</v>
      </c>
      <c r="I918" s="34">
        <v>18</v>
      </c>
      <c r="J918" s="34">
        <v>18</v>
      </c>
      <c r="K918" s="34">
        <v>20</v>
      </c>
      <c r="L918" s="34">
        <v>14</v>
      </c>
      <c r="M918" s="34">
        <v>22</v>
      </c>
      <c r="N918" s="34">
        <v>27</v>
      </c>
      <c r="Q918" s="35">
        <f t="shared" si="29"/>
        <v>177</v>
      </c>
      <c r="R918" s="4" t="s">
        <v>140</v>
      </c>
    </row>
    <row r="919" spans="1:18" x14ac:dyDescent="0.25">
      <c r="A919" s="40">
        <v>46148</v>
      </c>
      <c r="B919" s="28">
        <v>1</v>
      </c>
      <c r="C919" s="34" t="s">
        <v>1026</v>
      </c>
      <c r="D919" s="34" t="s">
        <v>1024</v>
      </c>
      <c r="E919" s="34">
        <v>10</v>
      </c>
      <c r="F919" s="34">
        <v>17</v>
      </c>
      <c r="G919" s="34">
        <v>14</v>
      </c>
      <c r="H919" s="34">
        <v>16</v>
      </c>
      <c r="I919" s="34">
        <v>13</v>
      </c>
      <c r="J919" s="34">
        <v>18</v>
      </c>
      <c r="K919" s="34">
        <v>17</v>
      </c>
      <c r="L919" s="34">
        <v>11</v>
      </c>
      <c r="M919" s="34">
        <v>24</v>
      </c>
      <c r="N919" s="34">
        <v>19</v>
      </c>
      <c r="Q919" s="35">
        <f t="shared" si="29"/>
        <v>159</v>
      </c>
      <c r="R919" s="4" t="s">
        <v>140</v>
      </c>
    </row>
    <row r="920" spans="1:18" x14ac:dyDescent="0.25">
      <c r="A920" s="40">
        <v>46148</v>
      </c>
      <c r="B920" s="28">
        <v>1</v>
      </c>
      <c r="C920" s="34" t="s">
        <v>1027</v>
      </c>
      <c r="D920" s="34" t="s">
        <v>1028</v>
      </c>
      <c r="E920" s="34">
        <v>9</v>
      </c>
      <c r="F920" s="34">
        <v>20</v>
      </c>
      <c r="G920" s="34">
        <v>15</v>
      </c>
      <c r="H920" s="34">
        <v>17</v>
      </c>
      <c r="I920" s="34">
        <v>12</v>
      </c>
      <c r="J920" s="34">
        <v>15</v>
      </c>
      <c r="K920" s="34">
        <v>19</v>
      </c>
      <c r="L920" s="34">
        <v>13</v>
      </c>
      <c r="M920" s="34">
        <v>24</v>
      </c>
      <c r="N920" s="34">
        <v>16</v>
      </c>
      <c r="Q920" s="35">
        <f t="shared" si="29"/>
        <v>160</v>
      </c>
      <c r="R920" s="4" t="s">
        <v>140</v>
      </c>
    </row>
    <row r="921" spans="1:18" x14ac:dyDescent="0.25">
      <c r="A921" s="40">
        <v>46148</v>
      </c>
      <c r="B921" s="28">
        <v>1</v>
      </c>
      <c r="C921" s="34" t="s">
        <v>135</v>
      </c>
      <c r="D921" s="34" t="s">
        <v>128</v>
      </c>
      <c r="E921" s="34">
        <v>13</v>
      </c>
      <c r="F921" s="34">
        <v>31</v>
      </c>
      <c r="G921" s="34">
        <v>14</v>
      </c>
      <c r="H921" s="34">
        <v>25</v>
      </c>
      <c r="I921" s="34">
        <v>9</v>
      </c>
      <c r="J921" s="34">
        <v>23</v>
      </c>
      <c r="K921" s="34">
        <v>29</v>
      </c>
      <c r="L921" s="34">
        <v>15</v>
      </c>
      <c r="M921" s="34">
        <v>27</v>
      </c>
      <c r="N921" s="34">
        <v>17</v>
      </c>
      <c r="Q921" s="35">
        <f t="shared" si="29"/>
        <v>203</v>
      </c>
      <c r="R921" s="4" t="s">
        <v>140</v>
      </c>
    </row>
    <row r="922" spans="1:18" x14ac:dyDescent="0.25">
      <c r="A922" s="40"/>
    </row>
    <row r="923" spans="1:18" x14ac:dyDescent="0.25">
      <c r="A923" s="40">
        <v>46148</v>
      </c>
      <c r="B923" s="28">
        <v>2</v>
      </c>
      <c r="C923" s="34" t="s">
        <v>100</v>
      </c>
      <c r="D923" s="34" t="s">
        <v>1038</v>
      </c>
      <c r="E923" s="34">
        <v>26</v>
      </c>
      <c r="F923" s="34">
        <v>12</v>
      </c>
      <c r="G923" s="34">
        <v>31</v>
      </c>
      <c r="H923" s="34">
        <v>12</v>
      </c>
      <c r="I923" s="34">
        <v>12</v>
      </c>
      <c r="J923" s="34">
        <v>35</v>
      </c>
      <c r="K923" s="34">
        <v>31</v>
      </c>
      <c r="L923" s="34">
        <v>31</v>
      </c>
      <c r="M923" s="34">
        <v>17</v>
      </c>
      <c r="N923" s="34">
        <v>23</v>
      </c>
      <c r="Q923" s="35">
        <f t="shared" ref="Q923:Q974" si="30">SUM(E923:P923)</f>
        <v>230</v>
      </c>
      <c r="R923" s="4" t="s">
        <v>22</v>
      </c>
    </row>
    <row r="924" spans="1:18" x14ac:dyDescent="0.25">
      <c r="A924" s="40">
        <v>46148</v>
      </c>
      <c r="B924" s="28">
        <v>2</v>
      </c>
      <c r="C924" s="34" t="s">
        <v>445</v>
      </c>
      <c r="D924" s="34" t="s">
        <v>1039</v>
      </c>
      <c r="E924" s="34">
        <v>11</v>
      </c>
      <c r="F924" s="34">
        <v>30</v>
      </c>
      <c r="G924" s="34">
        <v>1</v>
      </c>
      <c r="H924" s="34">
        <v>11</v>
      </c>
      <c r="I924" s="34">
        <v>9</v>
      </c>
      <c r="J924" s="34">
        <v>17</v>
      </c>
      <c r="K924" s="34">
        <v>16</v>
      </c>
      <c r="L924" s="34">
        <v>19</v>
      </c>
      <c r="M924" s="34">
        <v>12</v>
      </c>
      <c r="N924" s="34">
        <v>10</v>
      </c>
      <c r="Q924" s="35">
        <f t="shared" si="30"/>
        <v>136</v>
      </c>
      <c r="R924" s="4" t="s">
        <v>22</v>
      </c>
    </row>
    <row r="925" spans="1:18" x14ac:dyDescent="0.25">
      <c r="A925" s="40">
        <v>46148</v>
      </c>
      <c r="B925" s="28">
        <v>2</v>
      </c>
      <c r="C925" s="34" t="s">
        <v>103</v>
      </c>
      <c r="D925" s="34" t="s">
        <v>115</v>
      </c>
      <c r="E925" s="34">
        <v>17</v>
      </c>
      <c r="F925" s="34">
        <v>15</v>
      </c>
      <c r="G925" s="34">
        <v>20</v>
      </c>
      <c r="H925" s="34">
        <v>15</v>
      </c>
      <c r="I925" s="34">
        <v>12</v>
      </c>
      <c r="J925" s="34">
        <v>29</v>
      </c>
      <c r="K925" s="34">
        <v>26</v>
      </c>
      <c r="L925" s="34">
        <v>29</v>
      </c>
      <c r="M925" s="34">
        <v>16</v>
      </c>
      <c r="N925" s="34">
        <v>21</v>
      </c>
      <c r="Q925" s="35">
        <f t="shared" si="30"/>
        <v>200</v>
      </c>
      <c r="R925" s="4" t="s">
        <v>22</v>
      </c>
    </row>
    <row r="926" spans="1:18" x14ac:dyDescent="0.25">
      <c r="A926" s="40">
        <v>46148</v>
      </c>
      <c r="B926" s="28">
        <v>2</v>
      </c>
      <c r="C926" s="34" t="s">
        <v>1040</v>
      </c>
      <c r="D926" s="34" t="s">
        <v>118</v>
      </c>
      <c r="E926" s="34">
        <v>23</v>
      </c>
      <c r="F926" s="34">
        <v>27</v>
      </c>
      <c r="G926" s="34">
        <v>21</v>
      </c>
      <c r="H926" s="34">
        <v>10</v>
      </c>
      <c r="I926" s="34">
        <v>13</v>
      </c>
      <c r="J926" s="34">
        <v>26</v>
      </c>
      <c r="K926" s="34">
        <v>21</v>
      </c>
      <c r="L926" s="34">
        <v>25</v>
      </c>
      <c r="M926" s="34">
        <v>11</v>
      </c>
      <c r="N926" s="34">
        <v>6</v>
      </c>
      <c r="Q926" s="35">
        <f t="shared" si="30"/>
        <v>183</v>
      </c>
      <c r="R926" s="4" t="s">
        <v>22</v>
      </c>
    </row>
    <row r="927" spans="1:18" x14ac:dyDescent="0.25">
      <c r="A927" s="40">
        <v>46148</v>
      </c>
      <c r="B927" s="28">
        <v>2</v>
      </c>
      <c r="C927" s="34" t="s">
        <v>757</v>
      </c>
      <c r="D927" s="34" t="s">
        <v>641</v>
      </c>
      <c r="E927" s="34">
        <v>18</v>
      </c>
      <c r="F927" s="34">
        <v>21</v>
      </c>
      <c r="G927" s="34">
        <v>20</v>
      </c>
      <c r="H927" s="34">
        <v>12</v>
      </c>
      <c r="I927" s="34">
        <v>17</v>
      </c>
      <c r="J927" s="34">
        <v>30</v>
      </c>
      <c r="K927" s="34">
        <v>18</v>
      </c>
      <c r="L927" s="34">
        <v>26</v>
      </c>
      <c r="M927" s="34">
        <v>16</v>
      </c>
      <c r="N927" s="34">
        <v>4</v>
      </c>
      <c r="Q927" s="35">
        <f t="shared" si="30"/>
        <v>182</v>
      </c>
      <c r="R927" s="4" t="s">
        <v>22</v>
      </c>
    </row>
    <row r="928" spans="1:18" x14ac:dyDescent="0.25">
      <c r="A928" s="40">
        <v>46148</v>
      </c>
      <c r="B928" s="28">
        <v>2</v>
      </c>
      <c r="C928" s="34" t="s">
        <v>1041</v>
      </c>
      <c r="D928" s="34" t="s">
        <v>128</v>
      </c>
      <c r="Q928" s="35">
        <f t="shared" si="30"/>
        <v>0</v>
      </c>
      <c r="R928" s="4" t="s">
        <v>22</v>
      </c>
    </row>
    <row r="929" spans="1:18" x14ac:dyDescent="0.25">
      <c r="A929" s="40">
        <v>46148</v>
      </c>
      <c r="B929" s="28">
        <v>2</v>
      </c>
      <c r="C929" s="34" t="s">
        <v>1042</v>
      </c>
      <c r="D929" s="34" t="s">
        <v>1043</v>
      </c>
      <c r="E929" s="34">
        <v>15</v>
      </c>
      <c r="F929" s="34">
        <v>36</v>
      </c>
      <c r="G929" s="34">
        <v>19</v>
      </c>
      <c r="H929" s="34">
        <v>15</v>
      </c>
      <c r="I929" s="34">
        <v>10</v>
      </c>
      <c r="J929" s="34">
        <v>37</v>
      </c>
      <c r="K929" s="34">
        <v>26</v>
      </c>
      <c r="L929" s="34">
        <v>28</v>
      </c>
      <c r="M929" s="34">
        <v>15</v>
      </c>
      <c r="N929" s="34">
        <v>15</v>
      </c>
      <c r="Q929" s="35">
        <f t="shared" si="30"/>
        <v>216</v>
      </c>
      <c r="R929" s="4" t="s">
        <v>22</v>
      </c>
    </row>
    <row r="930" spans="1:18" x14ac:dyDescent="0.25">
      <c r="A930" s="40">
        <v>46148</v>
      </c>
      <c r="B930" s="28">
        <v>2</v>
      </c>
      <c r="C930" s="34" t="s">
        <v>749</v>
      </c>
      <c r="D930" s="34" t="s">
        <v>640</v>
      </c>
      <c r="E930" s="34">
        <v>17</v>
      </c>
      <c r="F930" s="34">
        <v>19</v>
      </c>
      <c r="G930" s="34">
        <v>23</v>
      </c>
      <c r="H930" s="34">
        <v>10</v>
      </c>
      <c r="I930" s="34">
        <v>9</v>
      </c>
      <c r="J930" s="34">
        <v>24</v>
      </c>
      <c r="K930" s="34">
        <v>24</v>
      </c>
      <c r="L930" s="34">
        <v>18</v>
      </c>
      <c r="M930" s="34">
        <v>14</v>
      </c>
      <c r="N930" s="34">
        <v>22</v>
      </c>
      <c r="Q930" s="35">
        <f t="shared" si="30"/>
        <v>180</v>
      </c>
      <c r="R930" s="4" t="s">
        <v>22</v>
      </c>
    </row>
    <row r="931" spans="1:18" x14ac:dyDescent="0.25">
      <c r="A931" s="40">
        <v>46148</v>
      </c>
      <c r="B931" s="28">
        <v>2</v>
      </c>
      <c r="C931" s="34" t="s">
        <v>1044</v>
      </c>
      <c r="D931" s="34" t="s">
        <v>363</v>
      </c>
      <c r="E931" s="34">
        <v>22</v>
      </c>
      <c r="F931" s="34">
        <v>30</v>
      </c>
      <c r="G931" s="34">
        <v>30</v>
      </c>
      <c r="H931" s="34">
        <v>17</v>
      </c>
      <c r="I931" s="34">
        <v>8</v>
      </c>
      <c r="J931" s="34">
        <v>39</v>
      </c>
      <c r="K931" s="34">
        <v>22</v>
      </c>
      <c r="L931" s="34">
        <v>31</v>
      </c>
      <c r="M931" s="34">
        <v>19</v>
      </c>
      <c r="N931" s="34">
        <v>24</v>
      </c>
      <c r="Q931" s="35">
        <f t="shared" si="30"/>
        <v>242</v>
      </c>
      <c r="R931" s="4" t="s">
        <v>22</v>
      </c>
    </row>
    <row r="932" spans="1:18" x14ac:dyDescent="0.25">
      <c r="A932" s="40">
        <v>46148</v>
      </c>
      <c r="B932" s="28">
        <v>2</v>
      </c>
      <c r="C932" s="34" t="s">
        <v>1130</v>
      </c>
      <c r="D932" s="34" t="s">
        <v>1005</v>
      </c>
      <c r="E932" s="34">
        <v>22</v>
      </c>
      <c r="F932" s="34">
        <v>47</v>
      </c>
      <c r="G932" s="34">
        <v>8</v>
      </c>
      <c r="H932" s="34">
        <v>16</v>
      </c>
      <c r="I932" s="34">
        <v>10</v>
      </c>
      <c r="J932" s="34">
        <v>32</v>
      </c>
      <c r="K932" s="34">
        <v>19</v>
      </c>
      <c r="L932" s="34">
        <v>24</v>
      </c>
      <c r="M932" s="34">
        <v>15</v>
      </c>
      <c r="N932" s="34">
        <v>7</v>
      </c>
      <c r="Q932" s="35">
        <f t="shared" si="30"/>
        <v>200</v>
      </c>
      <c r="R932" s="4" t="s">
        <v>22</v>
      </c>
    </row>
    <row r="933" spans="1:18" x14ac:dyDescent="0.25">
      <c r="A933" s="40">
        <v>46148</v>
      </c>
      <c r="B933" s="28">
        <v>2</v>
      </c>
      <c r="C933" s="34" t="s">
        <v>739</v>
      </c>
      <c r="D933" s="34" t="s">
        <v>215</v>
      </c>
      <c r="E933" s="34">
        <v>14</v>
      </c>
      <c r="F933" s="34">
        <v>20</v>
      </c>
      <c r="G933" s="34">
        <v>21</v>
      </c>
      <c r="H933" s="34">
        <v>15</v>
      </c>
      <c r="I933" s="34">
        <v>8</v>
      </c>
      <c r="J933" s="34">
        <v>28</v>
      </c>
      <c r="K933" s="34">
        <v>19</v>
      </c>
      <c r="L933" s="34">
        <v>28</v>
      </c>
      <c r="M933" s="34">
        <v>12</v>
      </c>
      <c r="N933" s="34">
        <v>22</v>
      </c>
      <c r="Q933" s="35">
        <f t="shared" si="30"/>
        <v>187</v>
      </c>
      <c r="R933" s="4" t="s">
        <v>140</v>
      </c>
    </row>
    <row r="934" spans="1:18" x14ac:dyDescent="0.25">
      <c r="A934" s="40">
        <v>46148</v>
      </c>
      <c r="B934" s="28">
        <v>2</v>
      </c>
      <c r="C934" s="34" t="s">
        <v>1045</v>
      </c>
      <c r="D934" s="34" t="s">
        <v>1046</v>
      </c>
      <c r="E934" s="34">
        <v>15</v>
      </c>
      <c r="F934" s="34">
        <v>35</v>
      </c>
      <c r="G934" s="34">
        <v>6</v>
      </c>
      <c r="H934" s="34">
        <v>14</v>
      </c>
      <c r="I934" s="34">
        <v>14</v>
      </c>
      <c r="J934" s="34">
        <v>25</v>
      </c>
      <c r="K934" s="34">
        <v>19</v>
      </c>
      <c r="L934" s="34">
        <v>22</v>
      </c>
      <c r="M934" s="34">
        <v>10</v>
      </c>
      <c r="N934" s="34">
        <v>18</v>
      </c>
      <c r="Q934" s="35">
        <f t="shared" si="30"/>
        <v>178</v>
      </c>
      <c r="R934" s="4" t="s">
        <v>140</v>
      </c>
    </row>
    <row r="935" spans="1:18" x14ac:dyDescent="0.25">
      <c r="A935" s="40">
        <v>46148</v>
      </c>
      <c r="B935" s="28">
        <v>2</v>
      </c>
      <c r="C935" s="34" t="s">
        <v>1047</v>
      </c>
      <c r="D935" s="34" t="s">
        <v>809</v>
      </c>
      <c r="E935" s="34">
        <v>18</v>
      </c>
      <c r="F935" s="34">
        <v>32</v>
      </c>
      <c r="G935" s="34">
        <v>19</v>
      </c>
      <c r="H935" s="34">
        <v>14</v>
      </c>
      <c r="I935" s="34">
        <v>10</v>
      </c>
      <c r="J935" s="34">
        <v>25</v>
      </c>
      <c r="K935" s="34">
        <v>19</v>
      </c>
      <c r="L935" s="34">
        <v>20</v>
      </c>
      <c r="M935" s="34">
        <v>12</v>
      </c>
      <c r="N935" s="34">
        <v>9</v>
      </c>
      <c r="Q935" s="35">
        <f t="shared" si="30"/>
        <v>178</v>
      </c>
      <c r="R935" s="4" t="s">
        <v>140</v>
      </c>
    </row>
    <row r="936" spans="1:18" x14ac:dyDescent="0.25">
      <c r="A936" s="40">
        <v>46148</v>
      </c>
      <c r="B936" s="28">
        <v>2</v>
      </c>
      <c r="C936" s="34" t="s">
        <v>1131</v>
      </c>
      <c r="D936" s="34" t="s">
        <v>641</v>
      </c>
      <c r="E936" s="34">
        <v>14</v>
      </c>
      <c r="F936" s="34">
        <v>19</v>
      </c>
      <c r="G936" s="34">
        <v>7</v>
      </c>
      <c r="H936" s="34">
        <v>12</v>
      </c>
      <c r="I936" s="34">
        <v>6</v>
      </c>
      <c r="J936" s="34">
        <v>20</v>
      </c>
      <c r="K936" s="34">
        <v>20</v>
      </c>
      <c r="L936" s="34">
        <v>22</v>
      </c>
      <c r="M936" s="34">
        <v>13</v>
      </c>
      <c r="N936" s="34">
        <v>23</v>
      </c>
      <c r="Q936" s="35">
        <f t="shared" si="30"/>
        <v>156</v>
      </c>
      <c r="R936" s="4" t="s">
        <v>140</v>
      </c>
    </row>
    <row r="937" spans="1:18" x14ac:dyDescent="0.25">
      <c r="A937" s="40">
        <v>46148</v>
      </c>
      <c r="B937" s="28">
        <v>2</v>
      </c>
      <c r="C937" s="34" t="s">
        <v>1132</v>
      </c>
      <c r="D937" s="34" t="s">
        <v>641</v>
      </c>
      <c r="Q937" s="35">
        <f t="shared" si="30"/>
        <v>0</v>
      </c>
      <c r="R937" s="4" t="s">
        <v>140</v>
      </c>
    </row>
    <row r="938" spans="1:18" x14ac:dyDescent="0.25">
      <c r="A938" s="40">
        <v>46148</v>
      </c>
      <c r="B938" s="28">
        <v>2</v>
      </c>
      <c r="C938" s="34" t="s">
        <v>834</v>
      </c>
      <c r="D938" s="34" t="s">
        <v>184</v>
      </c>
      <c r="E938" s="34">
        <v>20</v>
      </c>
      <c r="F938" s="34">
        <v>30</v>
      </c>
      <c r="G938" s="34">
        <v>20</v>
      </c>
      <c r="H938" s="34">
        <v>17</v>
      </c>
      <c r="I938" s="34">
        <v>13</v>
      </c>
      <c r="J938" s="34">
        <v>31</v>
      </c>
      <c r="K938" s="34">
        <v>21</v>
      </c>
      <c r="L938" s="34">
        <v>24</v>
      </c>
      <c r="M938" s="34">
        <v>17</v>
      </c>
      <c r="N938" s="34">
        <v>21</v>
      </c>
      <c r="Q938" s="35">
        <f t="shared" si="30"/>
        <v>214</v>
      </c>
      <c r="R938" s="4" t="s">
        <v>140</v>
      </c>
    </row>
    <row r="939" spans="1:18" x14ac:dyDescent="0.25">
      <c r="A939" s="40">
        <v>46148</v>
      </c>
      <c r="B939" s="28">
        <v>2</v>
      </c>
      <c r="C939" s="34" t="s">
        <v>137</v>
      </c>
      <c r="D939" s="34" t="s">
        <v>130</v>
      </c>
      <c r="E939" s="34">
        <v>16</v>
      </c>
      <c r="F939" s="34">
        <v>34</v>
      </c>
      <c r="G939" s="34">
        <v>13</v>
      </c>
      <c r="H939" s="34">
        <v>17</v>
      </c>
      <c r="I939" s="34">
        <v>8</v>
      </c>
      <c r="J939" s="34">
        <v>29</v>
      </c>
      <c r="K939" s="34">
        <v>24</v>
      </c>
      <c r="L939" s="34">
        <v>23</v>
      </c>
      <c r="M939" s="34">
        <v>15</v>
      </c>
      <c r="N939" s="34">
        <v>27</v>
      </c>
      <c r="Q939" s="35">
        <f t="shared" si="30"/>
        <v>206</v>
      </c>
      <c r="R939" s="4" t="s">
        <v>140</v>
      </c>
    </row>
    <row r="940" spans="1:18" x14ac:dyDescent="0.25">
      <c r="A940" s="40">
        <v>46148</v>
      </c>
      <c r="B940" s="28">
        <v>2</v>
      </c>
      <c r="C940" s="34" t="s">
        <v>1049</v>
      </c>
      <c r="D940" s="34" t="s">
        <v>1050</v>
      </c>
      <c r="E940" s="34">
        <v>13</v>
      </c>
      <c r="F940" s="34">
        <v>21</v>
      </c>
      <c r="G940" s="34">
        <v>3</v>
      </c>
      <c r="H940" s="34">
        <v>13</v>
      </c>
      <c r="I940" s="34">
        <v>6</v>
      </c>
      <c r="J940" s="34">
        <v>21</v>
      </c>
      <c r="K940" s="34">
        <v>15</v>
      </c>
      <c r="L940" s="34">
        <v>17</v>
      </c>
      <c r="M940" s="34">
        <v>12</v>
      </c>
      <c r="N940" s="34">
        <v>18</v>
      </c>
      <c r="Q940" s="35">
        <f t="shared" si="30"/>
        <v>139</v>
      </c>
      <c r="R940" s="4" t="s">
        <v>140</v>
      </c>
    </row>
    <row r="941" spans="1:18" x14ac:dyDescent="0.25">
      <c r="A941" s="40">
        <v>46148</v>
      </c>
      <c r="B941" s="28">
        <v>2</v>
      </c>
      <c r="C941" s="34" t="s">
        <v>134</v>
      </c>
      <c r="D941" s="34" t="s">
        <v>127</v>
      </c>
      <c r="E941" s="34">
        <v>16</v>
      </c>
      <c r="F941" s="34">
        <v>19</v>
      </c>
      <c r="G941" s="34">
        <v>22</v>
      </c>
      <c r="H941" s="34">
        <v>11</v>
      </c>
      <c r="I941" s="34">
        <v>9</v>
      </c>
      <c r="J941" s="34">
        <v>25</v>
      </c>
      <c r="K941" s="34">
        <v>21</v>
      </c>
      <c r="L941" s="34">
        <v>19</v>
      </c>
      <c r="M941" s="34">
        <v>12</v>
      </c>
      <c r="N941" s="34">
        <v>15</v>
      </c>
      <c r="Q941" s="35">
        <f t="shared" si="30"/>
        <v>169</v>
      </c>
      <c r="R941" s="4" t="s">
        <v>140</v>
      </c>
    </row>
    <row r="942" spans="1:18" x14ac:dyDescent="0.25">
      <c r="A942" s="40">
        <v>46148</v>
      </c>
      <c r="B942" s="28">
        <v>2</v>
      </c>
      <c r="C942" s="34" t="s">
        <v>1070</v>
      </c>
      <c r="D942" s="34" t="s">
        <v>1071</v>
      </c>
      <c r="E942" s="34">
        <v>9</v>
      </c>
      <c r="F942" s="34">
        <v>19</v>
      </c>
      <c r="G942" s="34">
        <v>19</v>
      </c>
      <c r="H942" s="34">
        <v>14</v>
      </c>
      <c r="I942" s="34">
        <v>12</v>
      </c>
      <c r="J942" s="34">
        <v>23</v>
      </c>
      <c r="K942" s="34">
        <v>15</v>
      </c>
      <c r="L942" s="34">
        <v>20</v>
      </c>
      <c r="M942" s="34">
        <v>10</v>
      </c>
      <c r="N942" s="34">
        <v>11</v>
      </c>
      <c r="Q942" s="35">
        <f t="shared" si="30"/>
        <v>152</v>
      </c>
      <c r="R942" s="4" t="s">
        <v>140</v>
      </c>
    </row>
    <row r="943" spans="1:18" x14ac:dyDescent="0.25">
      <c r="A943" s="40">
        <v>46148</v>
      </c>
      <c r="B943" s="28">
        <v>2</v>
      </c>
      <c r="C943" s="34" t="s">
        <v>1051</v>
      </c>
      <c r="D943" s="34" t="s">
        <v>1133</v>
      </c>
      <c r="Q943" s="35">
        <f t="shared" si="30"/>
        <v>0</v>
      </c>
      <c r="R943" s="4" t="s">
        <v>140</v>
      </c>
    </row>
    <row r="944" spans="1:18" x14ac:dyDescent="0.25">
      <c r="A944" s="40">
        <v>46148</v>
      </c>
      <c r="B944" s="28">
        <v>2</v>
      </c>
      <c r="C944" s="34" t="s">
        <v>1051</v>
      </c>
      <c r="D944" s="34" t="s">
        <v>1052</v>
      </c>
      <c r="Q944" s="35">
        <f t="shared" si="30"/>
        <v>0</v>
      </c>
      <c r="R944" s="4" t="s">
        <v>140</v>
      </c>
    </row>
    <row r="945" spans="1:18" x14ac:dyDescent="0.25">
      <c r="A945" s="40">
        <v>46148</v>
      </c>
      <c r="B945" s="28">
        <v>2</v>
      </c>
      <c r="C945" s="34" t="s">
        <v>1053</v>
      </c>
      <c r="D945" s="34" t="s">
        <v>1052</v>
      </c>
      <c r="E945" s="34">
        <v>14</v>
      </c>
      <c r="F945" s="34">
        <v>36</v>
      </c>
      <c r="G945" s="34">
        <v>11</v>
      </c>
      <c r="H945" s="34">
        <v>12</v>
      </c>
      <c r="I945" s="34">
        <v>9</v>
      </c>
      <c r="J945" s="34">
        <v>23</v>
      </c>
      <c r="K945" s="34">
        <v>18</v>
      </c>
      <c r="L945" s="34">
        <v>24</v>
      </c>
      <c r="M945" s="34">
        <v>13</v>
      </c>
      <c r="N945" s="34">
        <v>17</v>
      </c>
      <c r="Q945" s="35">
        <f t="shared" si="30"/>
        <v>177</v>
      </c>
      <c r="R945" s="4" t="s">
        <v>140</v>
      </c>
    </row>
    <row r="946" spans="1:18" x14ac:dyDescent="0.25">
      <c r="A946" s="40">
        <v>46148</v>
      </c>
      <c r="B946" s="28">
        <v>2</v>
      </c>
      <c r="C946" s="34" t="s">
        <v>1150</v>
      </c>
      <c r="D946" s="34" t="s">
        <v>1005</v>
      </c>
      <c r="E946" s="34">
        <v>8</v>
      </c>
      <c r="F946" s="34">
        <v>17</v>
      </c>
      <c r="G946" s="34">
        <v>15</v>
      </c>
      <c r="H946" s="34">
        <v>11</v>
      </c>
      <c r="I946" s="34">
        <v>8</v>
      </c>
      <c r="J946" s="34">
        <v>24</v>
      </c>
      <c r="K946" s="34">
        <v>14</v>
      </c>
      <c r="L946" s="34">
        <v>16</v>
      </c>
      <c r="M946" s="34">
        <v>11</v>
      </c>
      <c r="N946" s="34">
        <v>18</v>
      </c>
      <c r="Q946" s="35">
        <f t="shared" si="30"/>
        <v>142</v>
      </c>
      <c r="R946" s="4" t="s">
        <v>140</v>
      </c>
    </row>
    <row r="947" spans="1:18" x14ac:dyDescent="0.25">
      <c r="A947" s="40">
        <v>46148</v>
      </c>
      <c r="B947" s="28">
        <v>2</v>
      </c>
      <c r="C947" s="34" t="s">
        <v>749</v>
      </c>
      <c r="D947" s="34" t="s">
        <v>395</v>
      </c>
      <c r="E947" s="34">
        <v>12</v>
      </c>
      <c r="F947" s="34">
        <v>17</v>
      </c>
      <c r="G947" s="34">
        <v>12</v>
      </c>
      <c r="H947" s="34">
        <v>12</v>
      </c>
      <c r="I947" s="34">
        <v>8</v>
      </c>
      <c r="J947" s="34">
        <v>25</v>
      </c>
      <c r="K947" s="34">
        <v>17</v>
      </c>
      <c r="L947" s="34">
        <v>25</v>
      </c>
      <c r="M947" s="34">
        <v>11</v>
      </c>
      <c r="N947" s="34">
        <v>9</v>
      </c>
      <c r="Q947" s="35">
        <f t="shared" si="30"/>
        <v>148</v>
      </c>
      <c r="R947" s="4" t="s">
        <v>140</v>
      </c>
    </row>
    <row r="948" spans="1:18" x14ac:dyDescent="0.25">
      <c r="Q948" s="35">
        <f t="shared" si="30"/>
        <v>0</v>
      </c>
    </row>
    <row r="949" spans="1:18" x14ac:dyDescent="0.25">
      <c r="A949" s="40">
        <v>46149</v>
      </c>
      <c r="B949" s="28">
        <v>1</v>
      </c>
      <c r="C949" s="34" t="s">
        <v>1001</v>
      </c>
      <c r="D949" s="34" t="s">
        <v>124</v>
      </c>
      <c r="E949" s="34">
        <v>15</v>
      </c>
      <c r="F949" s="34">
        <v>21</v>
      </c>
      <c r="G949" s="34">
        <v>22</v>
      </c>
      <c r="H949" s="34">
        <v>20</v>
      </c>
      <c r="I949" s="34">
        <v>15</v>
      </c>
      <c r="J949" s="34">
        <v>22</v>
      </c>
      <c r="K949" s="34">
        <v>18</v>
      </c>
      <c r="L949" s="34">
        <v>11</v>
      </c>
      <c r="M949" s="34">
        <v>24</v>
      </c>
      <c r="N949" s="34">
        <v>26</v>
      </c>
      <c r="Q949" s="35">
        <f t="shared" si="30"/>
        <v>194</v>
      </c>
      <c r="R949" s="4" t="s">
        <v>22</v>
      </c>
    </row>
    <row r="950" spans="1:18" x14ac:dyDescent="0.25">
      <c r="A950" s="40">
        <v>46149</v>
      </c>
      <c r="B950" s="28">
        <v>1</v>
      </c>
      <c r="C950" s="34" t="s">
        <v>1002</v>
      </c>
      <c r="D950" s="34" t="s">
        <v>1003</v>
      </c>
      <c r="Q950" s="35">
        <f t="shared" si="30"/>
        <v>0</v>
      </c>
      <c r="R950" s="4" t="s">
        <v>22</v>
      </c>
    </row>
    <row r="951" spans="1:18" x14ac:dyDescent="0.25">
      <c r="A951" s="40">
        <v>46149</v>
      </c>
      <c r="B951" s="28">
        <v>1</v>
      </c>
      <c r="C951" s="34" t="s">
        <v>1006</v>
      </c>
      <c r="D951" s="34" t="s">
        <v>1004</v>
      </c>
      <c r="E951" s="34">
        <v>11</v>
      </c>
      <c r="F951" s="34">
        <v>19</v>
      </c>
      <c r="G951" s="34">
        <v>20</v>
      </c>
      <c r="H951" s="34">
        <v>22</v>
      </c>
      <c r="I951" s="34">
        <v>16</v>
      </c>
      <c r="J951" s="34">
        <v>24</v>
      </c>
      <c r="K951" s="34">
        <v>21</v>
      </c>
      <c r="L951" s="34">
        <v>10</v>
      </c>
      <c r="M951" s="34">
        <v>28</v>
      </c>
      <c r="N951" s="34">
        <v>29</v>
      </c>
      <c r="Q951" s="35">
        <f t="shared" si="30"/>
        <v>200</v>
      </c>
      <c r="R951" s="4" t="s">
        <v>22</v>
      </c>
    </row>
    <row r="952" spans="1:18" x14ac:dyDescent="0.25">
      <c r="A952" s="40">
        <v>46149</v>
      </c>
      <c r="B952" s="28">
        <v>1</v>
      </c>
      <c r="C952" s="34" t="s">
        <v>1007</v>
      </c>
      <c r="D952" s="34" t="s">
        <v>1005</v>
      </c>
      <c r="Q952" s="35">
        <f t="shared" si="30"/>
        <v>0</v>
      </c>
      <c r="R952" s="4" t="s">
        <v>22</v>
      </c>
    </row>
    <row r="953" spans="1:18" x14ac:dyDescent="0.25">
      <c r="A953" s="40">
        <v>46149</v>
      </c>
      <c r="B953" s="28">
        <v>1</v>
      </c>
      <c r="C953" s="34" t="s">
        <v>1008</v>
      </c>
      <c r="D953" s="34" t="s">
        <v>1009</v>
      </c>
      <c r="Q953" s="35">
        <f t="shared" si="30"/>
        <v>0</v>
      </c>
      <c r="R953" s="4" t="s">
        <v>22</v>
      </c>
    </row>
    <row r="954" spans="1:18" x14ac:dyDescent="0.25">
      <c r="A954" s="40">
        <v>46149</v>
      </c>
      <c r="B954" s="28">
        <v>1</v>
      </c>
      <c r="C954" s="34" t="s">
        <v>1010</v>
      </c>
      <c r="D954" s="34" t="s">
        <v>120</v>
      </c>
      <c r="E954" s="34">
        <v>22</v>
      </c>
      <c r="F954" s="34">
        <v>27</v>
      </c>
      <c r="G954" s="34">
        <v>34</v>
      </c>
      <c r="H954" s="34">
        <v>36</v>
      </c>
      <c r="I954" s="34">
        <v>30</v>
      </c>
      <c r="J954" s="34">
        <v>41</v>
      </c>
      <c r="K954" s="34">
        <v>24</v>
      </c>
      <c r="L954" s="34">
        <v>20</v>
      </c>
      <c r="M954" s="34">
        <v>43</v>
      </c>
      <c r="N954" s="34">
        <v>42</v>
      </c>
      <c r="Q954" s="35">
        <f t="shared" si="30"/>
        <v>319</v>
      </c>
      <c r="R954" s="4" t="s">
        <v>22</v>
      </c>
    </row>
    <row r="955" spans="1:18" x14ac:dyDescent="0.25">
      <c r="A955" s="40">
        <v>46149</v>
      </c>
      <c r="B955" s="28">
        <v>1</v>
      </c>
      <c r="C955" s="34" t="s">
        <v>485</v>
      </c>
      <c r="D955" s="34" t="s">
        <v>738</v>
      </c>
      <c r="E955" s="34">
        <v>19</v>
      </c>
      <c r="F955" s="34">
        <v>29</v>
      </c>
      <c r="G955" s="34">
        <v>31</v>
      </c>
      <c r="H955" s="34">
        <v>25</v>
      </c>
      <c r="I955" s="34">
        <v>16</v>
      </c>
      <c r="J955" s="34">
        <v>22</v>
      </c>
      <c r="K955" s="34">
        <v>27</v>
      </c>
      <c r="L955" s="34">
        <v>14</v>
      </c>
      <c r="M955" s="34">
        <v>27</v>
      </c>
      <c r="N955" s="34">
        <v>40</v>
      </c>
      <c r="Q955" s="35">
        <f t="shared" si="30"/>
        <v>250</v>
      </c>
      <c r="R955" s="4" t="s">
        <v>22</v>
      </c>
    </row>
    <row r="956" spans="1:18" x14ac:dyDescent="0.25">
      <c r="A956" s="40">
        <v>46149</v>
      </c>
      <c r="B956" s="28">
        <v>1</v>
      </c>
      <c r="C956" s="34" t="s">
        <v>101</v>
      </c>
      <c r="D956" s="34" t="s">
        <v>113</v>
      </c>
      <c r="E956" s="34">
        <v>14</v>
      </c>
      <c r="F956" s="34">
        <v>23</v>
      </c>
      <c r="G956" s="34">
        <v>26</v>
      </c>
      <c r="H956" s="34">
        <v>33</v>
      </c>
      <c r="I956" s="34">
        <v>24</v>
      </c>
      <c r="J956" s="34">
        <v>35</v>
      </c>
      <c r="K956" s="34">
        <v>28</v>
      </c>
      <c r="L956" s="34">
        <v>15</v>
      </c>
      <c r="M956" s="34">
        <v>34</v>
      </c>
      <c r="N956" s="34">
        <v>31</v>
      </c>
      <c r="Q956" s="35">
        <f t="shared" si="30"/>
        <v>263</v>
      </c>
      <c r="R956" s="4" t="s">
        <v>22</v>
      </c>
    </row>
    <row r="957" spans="1:18" x14ac:dyDescent="0.25">
      <c r="A957" s="40">
        <v>46149</v>
      </c>
      <c r="B957" s="28">
        <v>1</v>
      </c>
      <c r="C957" s="34" t="s">
        <v>396</v>
      </c>
      <c r="D957" s="34" t="s">
        <v>395</v>
      </c>
      <c r="E957" s="34">
        <v>20</v>
      </c>
      <c r="F957" s="34">
        <v>28</v>
      </c>
      <c r="G957" s="34">
        <v>34</v>
      </c>
      <c r="H957" s="34">
        <v>29</v>
      </c>
      <c r="I957" s="34">
        <v>24</v>
      </c>
      <c r="J957" s="34">
        <v>35</v>
      </c>
      <c r="K957" s="34">
        <v>24</v>
      </c>
      <c r="L957" s="34">
        <v>15</v>
      </c>
      <c r="M957" s="34">
        <v>43</v>
      </c>
      <c r="N957" s="34">
        <v>31</v>
      </c>
      <c r="Q957" s="35">
        <f t="shared" si="30"/>
        <v>283</v>
      </c>
      <c r="R957" s="4" t="s">
        <v>22</v>
      </c>
    </row>
    <row r="958" spans="1:18" x14ac:dyDescent="0.25">
      <c r="A958" s="40">
        <v>46149</v>
      </c>
      <c r="B958" s="28">
        <v>1</v>
      </c>
      <c r="C958" s="34" t="s">
        <v>108</v>
      </c>
      <c r="D958" s="34" t="s">
        <v>121</v>
      </c>
      <c r="E958" s="34">
        <v>15</v>
      </c>
      <c r="F958" s="34">
        <v>21</v>
      </c>
      <c r="G958" s="34">
        <v>26</v>
      </c>
      <c r="H958" s="34">
        <v>26</v>
      </c>
      <c r="I958" s="34">
        <v>13</v>
      </c>
      <c r="J958" s="34">
        <v>33</v>
      </c>
      <c r="K958" s="34">
        <v>20</v>
      </c>
      <c r="L958" s="34">
        <v>16</v>
      </c>
      <c r="M958" s="34">
        <v>32</v>
      </c>
      <c r="N958" s="34">
        <v>33</v>
      </c>
      <c r="Q958" s="35">
        <f t="shared" si="30"/>
        <v>235</v>
      </c>
      <c r="R958" s="4" t="s">
        <v>22</v>
      </c>
    </row>
    <row r="959" spans="1:18" x14ac:dyDescent="0.25">
      <c r="A959" s="40">
        <v>46149</v>
      </c>
      <c r="B959" s="28">
        <v>1</v>
      </c>
      <c r="C959" s="34" t="s">
        <v>110</v>
      </c>
      <c r="D959" s="34" t="s">
        <v>123</v>
      </c>
      <c r="E959" s="34">
        <v>20</v>
      </c>
      <c r="F959" s="34">
        <v>26</v>
      </c>
      <c r="G959" s="34">
        <v>28</v>
      </c>
      <c r="H959" s="34">
        <v>33</v>
      </c>
      <c r="I959" s="34">
        <v>25</v>
      </c>
      <c r="J959" s="34">
        <v>36</v>
      </c>
      <c r="K959" s="34">
        <v>31</v>
      </c>
      <c r="L959" s="34">
        <v>20</v>
      </c>
      <c r="M959" s="34">
        <v>37</v>
      </c>
      <c r="N959" s="34">
        <v>35</v>
      </c>
      <c r="Q959" s="35">
        <f t="shared" si="30"/>
        <v>291</v>
      </c>
      <c r="R959" s="4" t="s">
        <v>22</v>
      </c>
    </row>
    <row r="960" spans="1:18" x14ac:dyDescent="0.25">
      <c r="A960" s="40">
        <v>46149</v>
      </c>
      <c r="B960" s="28">
        <v>1</v>
      </c>
      <c r="C960" s="34" t="s">
        <v>109</v>
      </c>
      <c r="D960" s="34" t="s">
        <v>122</v>
      </c>
      <c r="E960" s="34">
        <v>22</v>
      </c>
      <c r="F960" s="34">
        <v>28</v>
      </c>
      <c r="G960" s="34">
        <v>31</v>
      </c>
      <c r="H960" s="34">
        <v>32</v>
      </c>
      <c r="I960" s="34">
        <v>26</v>
      </c>
      <c r="J960" s="34">
        <v>38</v>
      </c>
      <c r="K960" s="34">
        <v>23</v>
      </c>
      <c r="L960" s="34">
        <v>17</v>
      </c>
      <c r="M960" s="34">
        <v>39</v>
      </c>
      <c r="N960" s="34">
        <v>28</v>
      </c>
      <c r="Q960" s="35">
        <f t="shared" si="30"/>
        <v>284</v>
      </c>
      <c r="R960" s="4" t="s">
        <v>22</v>
      </c>
    </row>
    <row r="961" spans="1:18" x14ac:dyDescent="0.25">
      <c r="A961" s="40">
        <v>46149</v>
      </c>
      <c r="B961" s="28">
        <v>1</v>
      </c>
      <c r="C961" s="34" t="s">
        <v>1011</v>
      </c>
      <c r="D961" s="34" t="s">
        <v>1012</v>
      </c>
      <c r="Q961" s="35">
        <f t="shared" si="30"/>
        <v>0</v>
      </c>
      <c r="R961" s="4" t="s">
        <v>140</v>
      </c>
    </row>
    <row r="962" spans="1:18" x14ac:dyDescent="0.25">
      <c r="A962" s="40">
        <v>46149</v>
      </c>
      <c r="B962" s="28">
        <v>1</v>
      </c>
      <c r="C962" s="34" t="s">
        <v>807</v>
      </c>
      <c r="D962" s="34" t="s">
        <v>808</v>
      </c>
      <c r="E962" s="34">
        <v>17</v>
      </c>
      <c r="F962" s="34">
        <v>24</v>
      </c>
      <c r="G962" s="34">
        <v>25</v>
      </c>
      <c r="H962" s="34">
        <v>21</v>
      </c>
      <c r="I962" s="34">
        <v>15</v>
      </c>
      <c r="J962" s="34">
        <v>26</v>
      </c>
      <c r="K962" s="34">
        <v>22</v>
      </c>
      <c r="L962" s="34">
        <v>16</v>
      </c>
      <c r="M962" s="34">
        <v>30</v>
      </c>
      <c r="N962" s="34">
        <v>30</v>
      </c>
      <c r="Q962" s="35">
        <f t="shared" si="30"/>
        <v>226</v>
      </c>
      <c r="R962" s="4" t="s">
        <v>140</v>
      </c>
    </row>
    <row r="963" spans="1:18" x14ac:dyDescent="0.25">
      <c r="A963" s="40">
        <v>46149</v>
      </c>
      <c r="B963" s="28">
        <v>1</v>
      </c>
      <c r="C963" s="34" t="s">
        <v>1013</v>
      </c>
      <c r="D963" s="34" t="s">
        <v>1014</v>
      </c>
      <c r="E963" s="34">
        <v>16</v>
      </c>
      <c r="F963" s="34">
        <v>21</v>
      </c>
      <c r="G963" s="34">
        <v>25</v>
      </c>
      <c r="H963" s="34">
        <v>19</v>
      </c>
      <c r="I963" s="34">
        <v>15</v>
      </c>
      <c r="J963" s="34">
        <v>19</v>
      </c>
      <c r="K963" s="34">
        <v>13</v>
      </c>
      <c r="L963" s="34">
        <v>9</v>
      </c>
      <c r="M963" s="34">
        <v>13</v>
      </c>
      <c r="N963" s="34">
        <v>15</v>
      </c>
      <c r="Q963" s="35">
        <f t="shared" si="30"/>
        <v>165</v>
      </c>
      <c r="R963" s="4" t="s">
        <v>140</v>
      </c>
    </row>
    <row r="964" spans="1:18" x14ac:dyDescent="0.25">
      <c r="A964" s="40">
        <v>46149</v>
      </c>
      <c r="B964" s="28">
        <v>1</v>
      </c>
      <c r="C964" s="34" t="s">
        <v>1015</v>
      </c>
      <c r="D964" s="34" t="s">
        <v>142</v>
      </c>
      <c r="E964" s="34">
        <v>7</v>
      </c>
      <c r="F964" s="34">
        <v>10</v>
      </c>
      <c r="G964" s="34">
        <v>14</v>
      </c>
      <c r="H964" s="34">
        <v>12</v>
      </c>
      <c r="I964" s="34">
        <v>11</v>
      </c>
      <c r="J964" s="34">
        <v>15</v>
      </c>
      <c r="K964" s="34">
        <v>10</v>
      </c>
      <c r="L964" s="34">
        <v>8</v>
      </c>
      <c r="M964" s="34">
        <v>15</v>
      </c>
      <c r="N964" s="34">
        <v>15</v>
      </c>
      <c r="Q964" s="35">
        <f t="shared" si="30"/>
        <v>117</v>
      </c>
      <c r="R964" s="4" t="s">
        <v>140</v>
      </c>
    </row>
    <row r="965" spans="1:18" x14ac:dyDescent="0.25">
      <c r="A965" s="40">
        <v>46149</v>
      </c>
      <c r="B965" s="28">
        <v>1</v>
      </c>
      <c r="C965" s="34" t="s">
        <v>985</v>
      </c>
      <c r="D965" s="34" t="s">
        <v>271</v>
      </c>
      <c r="E965" s="34">
        <v>11</v>
      </c>
      <c r="F965" s="34">
        <v>20</v>
      </c>
      <c r="G965" s="34">
        <v>22</v>
      </c>
      <c r="H965" s="34">
        <v>28</v>
      </c>
      <c r="I965" s="34">
        <v>21</v>
      </c>
      <c r="J965" s="34">
        <v>29</v>
      </c>
      <c r="K965" s="34">
        <v>24</v>
      </c>
      <c r="L965" s="34">
        <v>15</v>
      </c>
      <c r="M965" s="34">
        <v>31</v>
      </c>
      <c r="N965" s="34">
        <v>48</v>
      </c>
      <c r="Q965" s="35">
        <f t="shared" si="30"/>
        <v>249</v>
      </c>
      <c r="R965" s="4" t="s">
        <v>140</v>
      </c>
    </row>
    <row r="966" spans="1:18" x14ac:dyDescent="0.25">
      <c r="A966" s="40">
        <v>46149</v>
      </c>
      <c r="B966" s="28">
        <v>1</v>
      </c>
      <c r="C966" s="34" t="s">
        <v>1016</v>
      </c>
      <c r="D966" s="34" t="s">
        <v>1017</v>
      </c>
      <c r="Q966" s="35">
        <f t="shared" si="30"/>
        <v>0</v>
      </c>
      <c r="R966" s="4" t="s">
        <v>140</v>
      </c>
    </row>
    <row r="967" spans="1:18" x14ac:dyDescent="0.25">
      <c r="A967" s="40">
        <v>46149</v>
      </c>
      <c r="B967" s="28">
        <v>1</v>
      </c>
      <c r="C967" s="34" t="s">
        <v>1018</v>
      </c>
      <c r="D967" s="34" t="s">
        <v>1019</v>
      </c>
      <c r="Q967" s="35">
        <f t="shared" si="30"/>
        <v>0</v>
      </c>
      <c r="R967" s="4" t="s">
        <v>140</v>
      </c>
    </row>
    <row r="968" spans="1:18" x14ac:dyDescent="0.25">
      <c r="A968" s="40">
        <v>46149</v>
      </c>
      <c r="B968" s="28">
        <v>1</v>
      </c>
      <c r="C968" s="34" t="s">
        <v>1020</v>
      </c>
      <c r="D968" s="34" t="s">
        <v>1021</v>
      </c>
      <c r="Q968" s="35">
        <f t="shared" si="30"/>
        <v>0</v>
      </c>
      <c r="R968" s="4" t="s">
        <v>140</v>
      </c>
    </row>
    <row r="969" spans="1:18" x14ac:dyDescent="0.25">
      <c r="A969" s="40">
        <v>46149</v>
      </c>
      <c r="B969" s="28">
        <v>1</v>
      </c>
      <c r="C969" s="34" t="s">
        <v>1022</v>
      </c>
      <c r="D969" s="34" t="s">
        <v>1023</v>
      </c>
      <c r="E969" s="34">
        <v>23</v>
      </c>
      <c r="F969" s="34">
        <v>26</v>
      </c>
      <c r="G969" s="34">
        <v>33</v>
      </c>
      <c r="H969" s="34">
        <v>22</v>
      </c>
      <c r="I969" s="34">
        <v>17</v>
      </c>
      <c r="J969" s="34">
        <v>22</v>
      </c>
      <c r="K969" s="34">
        <v>19</v>
      </c>
      <c r="L969" s="34">
        <v>13</v>
      </c>
      <c r="M969" s="34">
        <v>21</v>
      </c>
      <c r="N969" s="34">
        <v>20</v>
      </c>
      <c r="Q969" s="35">
        <f t="shared" si="30"/>
        <v>216</v>
      </c>
      <c r="R969" s="4" t="s">
        <v>140</v>
      </c>
    </row>
    <row r="970" spans="1:18" x14ac:dyDescent="0.25">
      <c r="A970" s="40">
        <v>46149</v>
      </c>
      <c r="B970" s="28">
        <v>1</v>
      </c>
      <c r="C970" s="34" t="s">
        <v>1025</v>
      </c>
      <c r="D970" s="34" t="s">
        <v>1024</v>
      </c>
      <c r="E970" s="34">
        <v>15</v>
      </c>
      <c r="F970" s="34">
        <v>17</v>
      </c>
      <c r="G970" s="34">
        <v>23</v>
      </c>
      <c r="H970" s="34">
        <v>18</v>
      </c>
      <c r="I970" s="34">
        <v>13</v>
      </c>
      <c r="J970" s="34">
        <v>17</v>
      </c>
      <c r="K970" s="34">
        <v>14</v>
      </c>
      <c r="L970" s="34">
        <v>13</v>
      </c>
      <c r="M970" s="34">
        <v>18</v>
      </c>
      <c r="N970" s="34">
        <v>17</v>
      </c>
      <c r="Q970" s="35">
        <f t="shared" si="30"/>
        <v>165</v>
      </c>
      <c r="R970" s="4" t="s">
        <v>140</v>
      </c>
    </row>
    <row r="971" spans="1:18" x14ac:dyDescent="0.25">
      <c r="A971" s="40">
        <v>46149</v>
      </c>
      <c r="B971" s="28">
        <v>1</v>
      </c>
      <c r="C971" s="34" t="s">
        <v>1026</v>
      </c>
      <c r="D971" s="34" t="s">
        <v>1024</v>
      </c>
      <c r="Q971" s="35">
        <f t="shared" si="30"/>
        <v>0</v>
      </c>
      <c r="R971" s="4" t="s">
        <v>140</v>
      </c>
    </row>
    <row r="972" spans="1:18" x14ac:dyDescent="0.25">
      <c r="A972" s="40">
        <v>46149</v>
      </c>
      <c r="B972" s="28">
        <v>1</v>
      </c>
      <c r="C972" s="34" t="s">
        <v>1027</v>
      </c>
      <c r="D972" s="34" t="s">
        <v>1028</v>
      </c>
      <c r="Q972" s="35">
        <f t="shared" si="30"/>
        <v>0</v>
      </c>
      <c r="R972" s="4" t="s">
        <v>140</v>
      </c>
    </row>
    <row r="973" spans="1:18" x14ac:dyDescent="0.25">
      <c r="A973" s="40">
        <v>46149</v>
      </c>
      <c r="B973" s="28">
        <v>1</v>
      </c>
      <c r="C973" s="34" t="s">
        <v>135</v>
      </c>
      <c r="D973" s="34" t="s">
        <v>128</v>
      </c>
      <c r="E973" s="34">
        <v>12</v>
      </c>
      <c r="F973" s="34">
        <v>13</v>
      </c>
      <c r="G973" s="34">
        <v>16</v>
      </c>
      <c r="H973" s="34">
        <v>17</v>
      </c>
      <c r="I973" s="34">
        <v>12</v>
      </c>
      <c r="J973" s="34">
        <v>20</v>
      </c>
      <c r="K973" s="34">
        <v>18</v>
      </c>
      <c r="L973" s="34">
        <v>9</v>
      </c>
      <c r="M973" s="34">
        <v>26</v>
      </c>
      <c r="N973" s="34">
        <v>27</v>
      </c>
      <c r="Q973" s="35">
        <f t="shared" si="30"/>
        <v>170</v>
      </c>
      <c r="R973" s="4" t="s">
        <v>140</v>
      </c>
    </row>
    <row r="974" spans="1:18" x14ac:dyDescent="0.25">
      <c r="A974" s="40">
        <v>46149</v>
      </c>
      <c r="B974" s="28">
        <v>1</v>
      </c>
      <c r="C974" s="34" t="s">
        <v>1186</v>
      </c>
      <c r="D974" s="34" t="s">
        <v>1018</v>
      </c>
      <c r="L974" s="34">
        <v>3</v>
      </c>
      <c r="M974" s="34">
        <v>15</v>
      </c>
      <c r="N974" s="34">
        <v>13</v>
      </c>
      <c r="Q974" s="35">
        <f t="shared" si="30"/>
        <v>31</v>
      </c>
      <c r="R974" s="4" t="s">
        <v>140</v>
      </c>
    </row>
    <row r="976" spans="1:18" x14ac:dyDescent="0.25">
      <c r="A976" s="40">
        <v>46149</v>
      </c>
      <c r="B976" s="28">
        <v>2</v>
      </c>
      <c r="C976" s="34" t="s">
        <v>100</v>
      </c>
      <c r="D976" s="34" t="s">
        <v>1038</v>
      </c>
      <c r="E976" s="34">
        <v>35</v>
      </c>
      <c r="F976" s="34">
        <v>45</v>
      </c>
      <c r="G976" s="34">
        <v>37</v>
      </c>
      <c r="H976" s="34">
        <v>36</v>
      </c>
      <c r="I976" s="34">
        <v>21</v>
      </c>
      <c r="J976" s="34">
        <v>44</v>
      </c>
      <c r="K976" s="34">
        <v>23</v>
      </c>
      <c r="L976" s="34">
        <v>19</v>
      </c>
      <c r="M976" s="34">
        <v>15</v>
      </c>
      <c r="N976" s="34">
        <v>21</v>
      </c>
      <c r="Q976" s="35">
        <f t="shared" ref="Q976:Q1027" si="31">SUM(E976:P976)</f>
        <v>296</v>
      </c>
      <c r="R976" s="4" t="s">
        <v>22</v>
      </c>
    </row>
    <row r="977" spans="1:18" x14ac:dyDescent="0.25">
      <c r="A977" s="40">
        <v>46149</v>
      </c>
      <c r="B977" s="28">
        <v>2</v>
      </c>
      <c r="C977" s="34" t="s">
        <v>445</v>
      </c>
      <c r="D977" s="34" t="s">
        <v>1039</v>
      </c>
      <c r="E977" s="34">
        <v>5</v>
      </c>
      <c r="F977" s="34">
        <v>14</v>
      </c>
      <c r="G977" s="34">
        <v>22</v>
      </c>
      <c r="H977" s="34">
        <v>20</v>
      </c>
      <c r="I977" s="34">
        <v>12</v>
      </c>
      <c r="J977" s="34">
        <v>21</v>
      </c>
      <c r="K977" s="34">
        <v>23</v>
      </c>
      <c r="L977" s="34">
        <v>20</v>
      </c>
      <c r="M977" s="34">
        <v>8</v>
      </c>
      <c r="N977" s="34">
        <v>15</v>
      </c>
      <c r="Q977" s="35">
        <f t="shared" si="31"/>
        <v>160</v>
      </c>
      <c r="R977" s="4" t="s">
        <v>22</v>
      </c>
    </row>
    <row r="978" spans="1:18" x14ac:dyDescent="0.25">
      <c r="A978" s="40">
        <v>46149</v>
      </c>
      <c r="B978" s="28">
        <v>2</v>
      </c>
      <c r="C978" s="34" t="s">
        <v>103</v>
      </c>
      <c r="D978" s="34" t="s">
        <v>115</v>
      </c>
      <c r="E978" s="34">
        <v>23</v>
      </c>
      <c r="F978" s="34">
        <v>28</v>
      </c>
      <c r="G978" s="34">
        <v>30</v>
      </c>
      <c r="H978" s="34">
        <v>31</v>
      </c>
      <c r="I978" s="34">
        <v>16</v>
      </c>
      <c r="J978" s="34">
        <v>24</v>
      </c>
      <c r="K978" s="34">
        <v>26</v>
      </c>
      <c r="L978" s="34">
        <v>23</v>
      </c>
      <c r="M978" s="34">
        <v>18</v>
      </c>
      <c r="N978" s="34">
        <v>22</v>
      </c>
      <c r="Q978" s="35">
        <f t="shared" si="31"/>
        <v>241</v>
      </c>
      <c r="R978" s="4" t="s">
        <v>22</v>
      </c>
    </row>
    <row r="979" spans="1:18" x14ac:dyDescent="0.25">
      <c r="A979" s="40">
        <v>46149</v>
      </c>
      <c r="B979" s="28">
        <v>2</v>
      </c>
      <c r="C979" s="34" t="s">
        <v>1040</v>
      </c>
      <c r="D979" s="34" t="s">
        <v>118</v>
      </c>
      <c r="Q979" s="35">
        <f t="shared" si="31"/>
        <v>0</v>
      </c>
      <c r="R979" s="4" t="s">
        <v>22</v>
      </c>
    </row>
    <row r="980" spans="1:18" x14ac:dyDescent="0.25">
      <c r="A980" s="40">
        <v>46149</v>
      </c>
      <c r="B980" s="28">
        <v>2</v>
      </c>
      <c r="C980" s="34" t="s">
        <v>757</v>
      </c>
      <c r="D980" s="34" t="s">
        <v>641</v>
      </c>
      <c r="E980" s="34">
        <v>28</v>
      </c>
      <c r="F980" s="34">
        <v>27</v>
      </c>
      <c r="G980" s="34">
        <v>30</v>
      </c>
      <c r="H980" s="34">
        <v>16</v>
      </c>
      <c r="I980" s="34">
        <v>13</v>
      </c>
      <c r="J980" s="34">
        <v>23</v>
      </c>
      <c r="K980" s="34">
        <v>34</v>
      </c>
      <c r="L980" s="34">
        <v>20</v>
      </c>
      <c r="M980" s="34">
        <v>13</v>
      </c>
      <c r="N980" s="34">
        <v>20</v>
      </c>
      <c r="Q980" s="35">
        <f t="shared" si="31"/>
        <v>224</v>
      </c>
      <c r="R980" s="4" t="s">
        <v>22</v>
      </c>
    </row>
    <row r="981" spans="1:18" x14ac:dyDescent="0.25">
      <c r="A981" s="40">
        <v>46149</v>
      </c>
      <c r="B981" s="28">
        <v>2</v>
      </c>
      <c r="C981" s="34" t="s">
        <v>1041</v>
      </c>
      <c r="D981" s="34" t="s">
        <v>128</v>
      </c>
      <c r="Q981" s="35">
        <f t="shared" si="31"/>
        <v>0</v>
      </c>
      <c r="R981" s="4" t="s">
        <v>22</v>
      </c>
    </row>
    <row r="982" spans="1:18" x14ac:dyDescent="0.25">
      <c r="A982" s="40">
        <v>46149</v>
      </c>
      <c r="B982" s="28">
        <v>2</v>
      </c>
      <c r="C982" s="34" t="s">
        <v>1042</v>
      </c>
      <c r="D982" s="34" t="s">
        <v>1043</v>
      </c>
      <c r="E982" s="34">
        <v>37</v>
      </c>
      <c r="F982" s="34">
        <v>37</v>
      </c>
      <c r="G982" s="34">
        <v>26</v>
      </c>
      <c r="H982" s="34">
        <v>23</v>
      </c>
      <c r="I982" s="34">
        <v>14</v>
      </c>
      <c r="J982" s="34">
        <v>28</v>
      </c>
      <c r="K982" s="34">
        <v>27</v>
      </c>
      <c r="L982" s="34">
        <v>19</v>
      </c>
      <c r="M982" s="34">
        <v>14</v>
      </c>
      <c r="N982" s="34">
        <v>19</v>
      </c>
      <c r="Q982" s="35">
        <f t="shared" si="31"/>
        <v>244</v>
      </c>
      <c r="R982" s="4" t="s">
        <v>22</v>
      </c>
    </row>
    <row r="983" spans="1:18" x14ac:dyDescent="0.25">
      <c r="A983" s="40">
        <v>46149</v>
      </c>
      <c r="B983" s="28">
        <v>2</v>
      </c>
      <c r="C983" s="34" t="s">
        <v>749</v>
      </c>
      <c r="D983" s="34" t="s">
        <v>640</v>
      </c>
      <c r="E983" s="34">
        <v>24</v>
      </c>
      <c r="F983" s="34">
        <v>27</v>
      </c>
      <c r="G983" s="34">
        <v>28</v>
      </c>
      <c r="H983" s="34">
        <v>18</v>
      </c>
      <c r="I983" s="34">
        <v>13</v>
      </c>
      <c r="J983" s="34">
        <v>25</v>
      </c>
      <c r="K983" s="34">
        <v>23</v>
      </c>
      <c r="L983" s="34">
        <v>11</v>
      </c>
      <c r="M983" s="34">
        <v>12</v>
      </c>
      <c r="N983" s="34">
        <v>19</v>
      </c>
      <c r="Q983" s="35">
        <f t="shared" si="31"/>
        <v>200</v>
      </c>
      <c r="R983" s="4" t="s">
        <v>22</v>
      </c>
    </row>
    <row r="984" spans="1:18" x14ac:dyDescent="0.25">
      <c r="A984" s="40">
        <v>46149</v>
      </c>
      <c r="B984" s="28">
        <v>2</v>
      </c>
      <c r="C984" s="34" t="s">
        <v>1044</v>
      </c>
      <c r="D984" s="34" t="s">
        <v>363</v>
      </c>
      <c r="E984" s="34">
        <v>39</v>
      </c>
      <c r="F984" s="34">
        <v>40</v>
      </c>
      <c r="G984" s="34">
        <v>26</v>
      </c>
      <c r="H984" s="34">
        <v>27</v>
      </c>
      <c r="I984" s="34">
        <v>17</v>
      </c>
      <c r="J984" s="34">
        <v>28</v>
      </c>
      <c r="K984" s="34">
        <v>33</v>
      </c>
      <c r="L984" s="34">
        <v>25</v>
      </c>
      <c r="M984" s="34">
        <v>17</v>
      </c>
      <c r="N984" s="34">
        <v>22</v>
      </c>
      <c r="Q984" s="35">
        <f t="shared" si="31"/>
        <v>274</v>
      </c>
      <c r="R984" s="4" t="s">
        <v>22</v>
      </c>
    </row>
    <row r="985" spans="1:18" x14ac:dyDescent="0.25">
      <c r="A985" s="40">
        <v>46149</v>
      </c>
      <c r="B985" s="28">
        <v>2</v>
      </c>
      <c r="C985" s="34" t="s">
        <v>1130</v>
      </c>
      <c r="D985" s="34" t="s">
        <v>1005</v>
      </c>
      <c r="E985" s="34">
        <v>19</v>
      </c>
      <c r="F985" s="34">
        <v>26</v>
      </c>
      <c r="G985" s="34">
        <v>27</v>
      </c>
      <c r="H985" s="34">
        <v>24</v>
      </c>
      <c r="I985" s="34">
        <v>15</v>
      </c>
      <c r="J985" s="34">
        <v>34</v>
      </c>
      <c r="K985" s="34">
        <v>27</v>
      </c>
      <c r="L985" s="34">
        <v>19</v>
      </c>
      <c r="M985" s="34">
        <v>16</v>
      </c>
      <c r="N985" s="34">
        <v>22</v>
      </c>
      <c r="Q985" s="35">
        <f t="shared" si="31"/>
        <v>229</v>
      </c>
      <c r="R985" s="4" t="s">
        <v>22</v>
      </c>
    </row>
    <row r="986" spans="1:18" x14ac:dyDescent="0.25">
      <c r="A986" s="40">
        <v>46149</v>
      </c>
      <c r="B986" s="28">
        <v>2</v>
      </c>
      <c r="C986" s="34" t="s">
        <v>739</v>
      </c>
      <c r="D986" s="34" t="s">
        <v>215</v>
      </c>
      <c r="E986" s="34">
        <v>17</v>
      </c>
      <c r="F986" s="34">
        <v>22</v>
      </c>
      <c r="G986" s="34">
        <v>19</v>
      </c>
      <c r="H986" s="34">
        <v>20</v>
      </c>
      <c r="I986" s="34">
        <v>11</v>
      </c>
      <c r="J986" s="34">
        <v>24</v>
      </c>
      <c r="K986" s="34">
        <v>24</v>
      </c>
      <c r="L986" s="34">
        <v>7</v>
      </c>
      <c r="M986" s="34">
        <v>13</v>
      </c>
      <c r="N986" s="34">
        <v>21</v>
      </c>
      <c r="Q986" s="35">
        <f t="shared" si="31"/>
        <v>178</v>
      </c>
      <c r="R986" s="4" t="s">
        <v>140</v>
      </c>
    </row>
    <row r="987" spans="1:18" x14ac:dyDescent="0.25">
      <c r="A987" s="40">
        <v>46149</v>
      </c>
      <c r="B987" s="28">
        <v>2</v>
      </c>
      <c r="C987" s="34" t="s">
        <v>1045</v>
      </c>
      <c r="D987" s="34" t="s">
        <v>1046</v>
      </c>
      <c r="E987" s="34">
        <v>19</v>
      </c>
      <c r="F987" s="34">
        <v>21</v>
      </c>
      <c r="G987" s="34">
        <v>22</v>
      </c>
      <c r="H987" s="34">
        <v>25</v>
      </c>
      <c r="I987" s="34">
        <v>14</v>
      </c>
      <c r="J987" s="34">
        <v>18</v>
      </c>
      <c r="K987" s="34">
        <v>29</v>
      </c>
      <c r="L987" s="34">
        <v>18</v>
      </c>
      <c r="M987" s="34">
        <v>29</v>
      </c>
      <c r="N987" s="34">
        <v>19</v>
      </c>
      <c r="Q987" s="35">
        <f t="shared" si="31"/>
        <v>214</v>
      </c>
      <c r="R987" s="4" t="s">
        <v>140</v>
      </c>
    </row>
    <row r="988" spans="1:18" x14ac:dyDescent="0.25">
      <c r="A988" s="40">
        <v>46149</v>
      </c>
      <c r="B988" s="28">
        <v>2</v>
      </c>
      <c r="C988" s="34" t="s">
        <v>1047</v>
      </c>
      <c r="D988" s="34" t="s">
        <v>809</v>
      </c>
      <c r="E988" s="34">
        <v>20</v>
      </c>
      <c r="F988" s="34">
        <v>20</v>
      </c>
      <c r="G988" s="34">
        <v>22</v>
      </c>
      <c r="H988" s="34">
        <v>23</v>
      </c>
      <c r="I988" s="34">
        <v>15</v>
      </c>
      <c r="J988" s="34">
        <v>22</v>
      </c>
      <c r="K988" s="34">
        <v>23</v>
      </c>
      <c r="L988" s="34">
        <v>18</v>
      </c>
      <c r="M988" s="34">
        <v>13</v>
      </c>
      <c r="N988" s="34">
        <v>14</v>
      </c>
      <c r="Q988" s="35">
        <f t="shared" si="31"/>
        <v>190</v>
      </c>
      <c r="R988" s="4" t="s">
        <v>140</v>
      </c>
    </row>
    <row r="989" spans="1:18" x14ac:dyDescent="0.25">
      <c r="A989" s="40">
        <v>46149</v>
      </c>
      <c r="B989" s="28">
        <v>2</v>
      </c>
      <c r="C989" s="34" t="s">
        <v>1131</v>
      </c>
      <c r="D989" s="34" t="s">
        <v>641</v>
      </c>
      <c r="E989" s="34">
        <v>26</v>
      </c>
      <c r="F989" s="34">
        <v>26</v>
      </c>
      <c r="G989" s="34">
        <v>17</v>
      </c>
      <c r="H989" s="34">
        <v>22</v>
      </c>
      <c r="I989" s="34">
        <v>12</v>
      </c>
      <c r="J989" s="34">
        <v>26</v>
      </c>
      <c r="K989" s="34">
        <v>23</v>
      </c>
      <c r="L989" s="34">
        <v>17</v>
      </c>
      <c r="M989" s="34">
        <v>10</v>
      </c>
      <c r="N989" s="34">
        <v>20</v>
      </c>
      <c r="Q989" s="35">
        <f t="shared" si="31"/>
        <v>199</v>
      </c>
      <c r="R989" s="4" t="s">
        <v>140</v>
      </c>
    </row>
    <row r="990" spans="1:18" x14ac:dyDescent="0.25">
      <c r="A990" s="40">
        <v>46149</v>
      </c>
      <c r="B990" s="28">
        <v>2</v>
      </c>
      <c r="C990" s="34" t="s">
        <v>1132</v>
      </c>
      <c r="D990" s="34" t="s">
        <v>641</v>
      </c>
      <c r="Q990" s="35">
        <f t="shared" si="31"/>
        <v>0</v>
      </c>
      <c r="R990" s="4" t="s">
        <v>140</v>
      </c>
    </row>
    <row r="991" spans="1:18" x14ac:dyDescent="0.25">
      <c r="A991" s="40">
        <v>46149</v>
      </c>
      <c r="B991" s="28">
        <v>2</v>
      </c>
      <c r="C991" s="34" t="s">
        <v>834</v>
      </c>
      <c r="D991" s="34" t="s">
        <v>184</v>
      </c>
      <c r="E991" s="34">
        <v>27</v>
      </c>
      <c r="F991" s="34">
        <v>33</v>
      </c>
      <c r="G991" s="34">
        <v>13</v>
      </c>
      <c r="H991" s="34">
        <v>15</v>
      </c>
      <c r="I991" s="34">
        <v>16</v>
      </c>
      <c r="J991" s="34">
        <v>20</v>
      </c>
      <c r="K991" s="34">
        <v>26</v>
      </c>
      <c r="L991" s="34">
        <v>19</v>
      </c>
      <c r="M991" s="34">
        <v>16</v>
      </c>
      <c r="N991" s="34">
        <v>18</v>
      </c>
      <c r="Q991" s="35">
        <f t="shared" si="31"/>
        <v>203</v>
      </c>
      <c r="R991" s="4" t="s">
        <v>140</v>
      </c>
    </row>
    <row r="992" spans="1:18" x14ac:dyDescent="0.25">
      <c r="A992" s="40">
        <v>46149</v>
      </c>
      <c r="B992" s="28">
        <v>2</v>
      </c>
      <c r="C992" s="34" t="s">
        <v>137</v>
      </c>
      <c r="D992" s="34" t="s">
        <v>130</v>
      </c>
      <c r="E992" s="34">
        <v>19</v>
      </c>
      <c r="F992" s="34">
        <v>24</v>
      </c>
      <c r="G992" s="34">
        <v>24</v>
      </c>
      <c r="H992" s="34">
        <v>26</v>
      </c>
      <c r="I992" s="34">
        <v>14</v>
      </c>
      <c r="J992" s="34">
        <v>28</v>
      </c>
      <c r="K992" s="34">
        <v>25</v>
      </c>
      <c r="L992" s="34">
        <v>21</v>
      </c>
      <c r="M992" s="34">
        <v>21</v>
      </c>
      <c r="N992" s="34">
        <v>19</v>
      </c>
      <c r="Q992" s="35">
        <f t="shared" si="31"/>
        <v>221</v>
      </c>
      <c r="R992" s="4" t="s">
        <v>140</v>
      </c>
    </row>
    <row r="993" spans="1:18" x14ac:dyDescent="0.25">
      <c r="A993" s="40">
        <v>46149</v>
      </c>
      <c r="B993" s="28">
        <v>2</v>
      </c>
      <c r="C993" s="34" t="s">
        <v>1049</v>
      </c>
      <c r="D993" s="34" t="s">
        <v>1050</v>
      </c>
      <c r="E993" s="34">
        <v>28</v>
      </c>
      <c r="F993" s="34">
        <v>28</v>
      </c>
      <c r="G993" s="34">
        <v>19</v>
      </c>
      <c r="H993" s="34">
        <v>18</v>
      </c>
      <c r="I993" s="34">
        <v>8</v>
      </c>
      <c r="J993" s="34">
        <v>22</v>
      </c>
      <c r="K993" s="34">
        <v>20</v>
      </c>
      <c r="L993" s="34">
        <v>17</v>
      </c>
      <c r="M993" s="34">
        <v>11</v>
      </c>
      <c r="N993" s="34">
        <v>18</v>
      </c>
      <c r="Q993" s="35">
        <f t="shared" si="31"/>
        <v>189</v>
      </c>
      <c r="R993" s="4" t="s">
        <v>140</v>
      </c>
    </row>
    <row r="994" spans="1:18" x14ac:dyDescent="0.25">
      <c r="A994" s="40">
        <v>46149</v>
      </c>
      <c r="B994" s="28">
        <v>2</v>
      </c>
      <c r="C994" s="34" t="s">
        <v>134</v>
      </c>
      <c r="D994" s="34" t="s">
        <v>127</v>
      </c>
      <c r="E994" s="34">
        <v>3</v>
      </c>
      <c r="F994" s="34">
        <v>30</v>
      </c>
      <c r="G994" s="34">
        <v>31</v>
      </c>
      <c r="H994" s="34">
        <v>26</v>
      </c>
      <c r="I994" s="34">
        <v>14</v>
      </c>
      <c r="J994" s="34">
        <v>34</v>
      </c>
      <c r="K994" s="34">
        <v>21</v>
      </c>
      <c r="L994" s="34">
        <v>15</v>
      </c>
      <c r="M994" s="34">
        <v>11</v>
      </c>
      <c r="N994" s="34">
        <v>17</v>
      </c>
      <c r="Q994" s="35">
        <f t="shared" si="31"/>
        <v>202</v>
      </c>
      <c r="R994" s="4" t="s">
        <v>140</v>
      </c>
    </row>
    <row r="995" spans="1:18" x14ac:dyDescent="0.25">
      <c r="A995" s="40">
        <v>46149</v>
      </c>
      <c r="B995" s="28">
        <v>2</v>
      </c>
      <c r="C995" s="34" t="s">
        <v>1070</v>
      </c>
      <c r="D995" s="34" t="s">
        <v>1071</v>
      </c>
      <c r="E995" s="34">
        <v>16</v>
      </c>
      <c r="F995" s="34">
        <v>30</v>
      </c>
      <c r="G995" s="34">
        <v>29</v>
      </c>
      <c r="H995" s="34">
        <v>17</v>
      </c>
      <c r="I995" s="34">
        <v>8</v>
      </c>
      <c r="J995" s="34">
        <v>19</v>
      </c>
      <c r="K995" s="34">
        <v>19</v>
      </c>
      <c r="L995" s="34">
        <v>19</v>
      </c>
      <c r="M995" s="34">
        <v>10</v>
      </c>
      <c r="N995" s="34">
        <v>6</v>
      </c>
      <c r="Q995" s="35">
        <f t="shared" si="31"/>
        <v>173</v>
      </c>
      <c r="R995" s="4" t="s">
        <v>140</v>
      </c>
    </row>
    <row r="996" spans="1:18" x14ac:dyDescent="0.25">
      <c r="A996" s="40">
        <v>46149</v>
      </c>
      <c r="B996" s="28">
        <v>2</v>
      </c>
      <c r="C996" s="34" t="s">
        <v>1051</v>
      </c>
      <c r="D996" s="34" t="s">
        <v>1133</v>
      </c>
      <c r="Q996" s="35">
        <f t="shared" si="31"/>
        <v>0</v>
      </c>
      <c r="R996" s="4" t="s">
        <v>140</v>
      </c>
    </row>
    <row r="997" spans="1:18" x14ac:dyDescent="0.25">
      <c r="A997" s="40">
        <v>46149</v>
      </c>
      <c r="B997" s="28">
        <v>2</v>
      </c>
      <c r="C997" s="34" t="s">
        <v>1051</v>
      </c>
      <c r="D997" s="34" t="s">
        <v>1052</v>
      </c>
      <c r="Q997" s="35">
        <f t="shared" si="31"/>
        <v>0</v>
      </c>
      <c r="R997" s="4" t="s">
        <v>140</v>
      </c>
    </row>
    <row r="998" spans="1:18" x14ac:dyDescent="0.25">
      <c r="A998" s="40">
        <v>46149</v>
      </c>
      <c r="B998" s="28">
        <v>2</v>
      </c>
      <c r="C998" s="34" t="s">
        <v>1053</v>
      </c>
      <c r="D998" s="34" t="s">
        <v>1052</v>
      </c>
      <c r="E998" s="34">
        <v>19</v>
      </c>
      <c r="F998" s="34">
        <v>27</v>
      </c>
      <c r="G998" s="34">
        <v>28</v>
      </c>
      <c r="H998" s="34">
        <v>18</v>
      </c>
      <c r="I998" s="34">
        <v>11</v>
      </c>
      <c r="J998" s="34">
        <v>23</v>
      </c>
      <c r="K998" s="34">
        <v>21</v>
      </c>
      <c r="L998" s="34">
        <v>17</v>
      </c>
      <c r="M998" s="34">
        <v>12</v>
      </c>
      <c r="N998" s="34">
        <v>18</v>
      </c>
      <c r="Q998" s="35">
        <f t="shared" si="31"/>
        <v>194</v>
      </c>
      <c r="R998" s="4" t="s">
        <v>140</v>
      </c>
    </row>
    <row r="999" spans="1:18" x14ac:dyDescent="0.25">
      <c r="A999" s="40">
        <v>46149</v>
      </c>
      <c r="B999" s="28">
        <v>2</v>
      </c>
      <c r="C999" s="34" t="s">
        <v>1150</v>
      </c>
      <c r="D999" s="34" t="s">
        <v>1005</v>
      </c>
      <c r="E999" s="34">
        <v>14</v>
      </c>
      <c r="F999" s="34">
        <v>23</v>
      </c>
      <c r="G999" s="34">
        <v>15</v>
      </c>
      <c r="H999" s="34">
        <v>16</v>
      </c>
      <c r="I999" s="34">
        <v>8</v>
      </c>
      <c r="J999" s="34">
        <v>20</v>
      </c>
      <c r="K999" s="34">
        <v>16</v>
      </c>
      <c r="L999" s="34">
        <v>7</v>
      </c>
      <c r="Q999" s="35">
        <f t="shared" si="31"/>
        <v>119</v>
      </c>
      <c r="R999" s="4" t="s">
        <v>140</v>
      </c>
    </row>
    <row r="1000" spans="1:18" x14ac:dyDescent="0.25">
      <c r="A1000" s="40">
        <v>46149</v>
      </c>
      <c r="B1000" s="28">
        <v>2</v>
      </c>
      <c r="C1000" s="34" t="s">
        <v>749</v>
      </c>
      <c r="D1000" s="34" t="s">
        <v>395</v>
      </c>
      <c r="E1000" s="34">
        <v>8</v>
      </c>
      <c r="F1000" s="34">
        <v>28</v>
      </c>
      <c r="G1000" s="34">
        <v>32</v>
      </c>
      <c r="H1000" s="34">
        <v>25</v>
      </c>
      <c r="I1000" s="34">
        <v>10</v>
      </c>
      <c r="J1000" s="34">
        <v>15</v>
      </c>
      <c r="K1000" s="34">
        <v>24</v>
      </c>
      <c r="L1000" s="34">
        <v>14</v>
      </c>
      <c r="M1000" s="34">
        <v>6</v>
      </c>
      <c r="N1000" s="34">
        <v>11</v>
      </c>
      <c r="Q1000" s="35">
        <f t="shared" si="31"/>
        <v>173</v>
      </c>
      <c r="R1000" s="4" t="s">
        <v>140</v>
      </c>
    </row>
    <row r="1001" spans="1:18" x14ac:dyDescent="0.25">
      <c r="A1001" s="40">
        <v>46150</v>
      </c>
      <c r="B1001" s="28">
        <v>1</v>
      </c>
      <c r="C1001" s="34" t="s">
        <v>1001</v>
      </c>
      <c r="D1001" s="34" t="s">
        <v>124</v>
      </c>
      <c r="E1001" s="34">
        <v>13</v>
      </c>
      <c r="F1001" s="34">
        <v>19</v>
      </c>
      <c r="G1001" s="34">
        <v>8</v>
      </c>
      <c r="H1001" s="34">
        <v>20</v>
      </c>
      <c r="I1001" s="34">
        <v>27</v>
      </c>
      <c r="J1001" s="34">
        <v>24</v>
      </c>
      <c r="K1001" s="34">
        <v>26</v>
      </c>
      <c r="L1001" s="34">
        <v>16</v>
      </c>
      <c r="M1001" s="34">
        <v>24</v>
      </c>
      <c r="N1001" s="34">
        <v>28</v>
      </c>
      <c r="Q1001" s="35">
        <f t="shared" si="31"/>
        <v>205</v>
      </c>
      <c r="R1001" s="4" t="s">
        <v>22</v>
      </c>
    </row>
    <row r="1002" spans="1:18" x14ac:dyDescent="0.25">
      <c r="A1002" s="40">
        <v>46150</v>
      </c>
      <c r="B1002" s="28">
        <v>1</v>
      </c>
      <c r="C1002" s="34" t="s">
        <v>1002</v>
      </c>
      <c r="D1002" s="34" t="s">
        <v>1003</v>
      </c>
      <c r="Q1002" s="35">
        <f t="shared" si="31"/>
        <v>0</v>
      </c>
      <c r="R1002" s="4" t="s">
        <v>22</v>
      </c>
    </row>
    <row r="1003" spans="1:18" x14ac:dyDescent="0.25">
      <c r="A1003" s="40">
        <v>46150</v>
      </c>
      <c r="B1003" s="28">
        <v>1</v>
      </c>
      <c r="C1003" s="34" t="s">
        <v>1006</v>
      </c>
      <c r="D1003" s="34" t="s">
        <v>1004</v>
      </c>
      <c r="E1003" s="34">
        <v>16</v>
      </c>
      <c r="F1003" s="34">
        <v>22</v>
      </c>
      <c r="G1003" s="34">
        <v>11</v>
      </c>
      <c r="H1003" s="34">
        <v>24</v>
      </c>
      <c r="I1003" s="34">
        <v>26</v>
      </c>
      <c r="J1003" s="34">
        <v>29</v>
      </c>
      <c r="K1003" s="34">
        <v>18</v>
      </c>
      <c r="L1003" s="34">
        <v>10</v>
      </c>
      <c r="M1003" s="34">
        <v>16</v>
      </c>
      <c r="N1003" s="34">
        <v>28</v>
      </c>
      <c r="Q1003" s="35">
        <f t="shared" si="31"/>
        <v>200</v>
      </c>
      <c r="R1003" s="4" t="s">
        <v>22</v>
      </c>
    </row>
    <row r="1004" spans="1:18" x14ac:dyDescent="0.25">
      <c r="A1004" s="40">
        <v>46150</v>
      </c>
      <c r="B1004" s="28">
        <v>1</v>
      </c>
      <c r="C1004" s="34" t="s">
        <v>1007</v>
      </c>
      <c r="D1004" s="34" t="s">
        <v>1005</v>
      </c>
      <c r="Q1004" s="35">
        <f t="shared" si="31"/>
        <v>0</v>
      </c>
      <c r="R1004" s="4" t="s">
        <v>22</v>
      </c>
    </row>
    <row r="1005" spans="1:18" x14ac:dyDescent="0.25">
      <c r="A1005" s="40">
        <v>46150</v>
      </c>
      <c r="B1005" s="28">
        <v>1</v>
      </c>
      <c r="C1005" s="34" t="s">
        <v>1008</v>
      </c>
      <c r="D1005" s="34" t="s">
        <v>1009</v>
      </c>
      <c r="E1005" s="34">
        <v>17</v>
      </c>
      <c r="F1005" s="34">
        <v>33</v>
      </c>
      <c r="G1005" s="34">
        <v>15</v>
      </c>
      <c r="H1005" s="34">
        <v>31</v>
      </c>
      <c r="I1005" s="34">
        <v>33</v>
      </c>
      <c r="J1005" s="34">
        <v>27</v>
      </c>
      <c r="K1005" s="34">
        <v>24</v>
      </c>
      <c r="L1005" s="34">
        <v>16</v>
      </c>
      <c r="M1005" s="34">
        <v>25</v>
      </c>
      <c r="N1005" s="34">
        <v>34</v>
      </c>
      <c r="Q1005" s="35">
        <f t="shared" si="31"/>
        <v>255</v>
      </c>
      <c r="R1005" s="4" t="s">
        <v>22</v>
      </c>
    </row>
    <row r="1006" spans="1:18" x14ac:dyDescent="0.25">
      <c r="A1006" s="40">
        <v>46150</v>
      </c>
      <c r="B1006" s="28">
        <v>1</v>
      </c>
      <c r="C1006" s="34" t="s">
        <v>1010</v>
      </c>
      <c r="D1006" s="34" t="s">
        <v>120</v>
      </c>
      <c r="E1006" s="34">
        <v>14</v>
      </c>
      <c r="F1006" s="34">
        <v>32</v>
      </c>
      <c r="G1006" s="34">
        <v>16</v>
      </c>
      <c r="H1006" s="34">
        <v>31</v>
      </c>
      <c r="I1006" s="34">
        <v>33</v>
      </c>
      <c r="J1006" s="34">
        <v>28</v>
      </c>
      <c r="K1006" s="34">
        <v>29</v>
      </c>
      <c r="L1006" s="34">
        <v>17</v>
      </c>
      <c r="M1006" s="34">
        <v>29</v>
      </c>
      <c r="N1006" s="34">
        <v>29</v>
      </c>
      <c r="Q1006" s="35">
        <f t="shared" si="31"/>
        <v>258</v>
      </c>
      <c r="R1006" s="4" t="s">
        <v>22</v>
      </c>
    </row>
    <row r="1007" spans="1:18" x14ac:dyDescent="0.25">
      <c r="A1007" s="40">
        <v>46150</v>
      </c>
      <c r="B1007" s="28">
        <v>1</v>
      </c>
      <c r="C1007" s="34" t="s">
        <v>485</v>
      </c>
      <c r="D1007" s="34" t="s">
        <v>738</v>
      </c>
      <c r="E1007" s="34">
        <v>23</v>
      </c>
      <c r="F1007" s="34">
        <v>36</v>
      </c>
      <c r="G1007" s="34">
        <v>13</v>
      </c>
      <c r="H1007" s="34">
        <v>41</v>
      </c>
      <c r="I1007" s="34">
        <v>50</v>
      </c>
      <c r="J1007" s="34">
        <v>50</v>
      </c>
      <c r="K1007" s="34">
        <v>34</v>
      </c>
      <c r="L1007" s="34">
        <v>19</v>
      </c>
      <c r="M1007" s="34">
        <v>35</v>
      </c>
      <c r="N1007" s="34">
        <v>47</v>
      </c>
      <c r="Q1007" s="35">
        <f t="shared" si="31"/>
        <v>348</v>
      </c>
      <c r="R1007" s="4" t="s">
        <v>22</v>
      </c>
    </row>
    <row r="1008" spans="1:18" x14ac:dyDescent="0.25">
      <c r="A1008" s="40">
        <v>46150</v>
      </c>
      <c r="B1008" s="28">
        <v>1</v>
      </c>
      <c r="C1008" s="34" t="s">
        <v>101</v>
      </c>
      <c r="D1008" s="34" t="s">
        <v>113</v>
      </c>
      <c r="E1008" s="34">
        <v>19</v>
      </c>
      <c r="F1008" s="34">
        <v>31</v>
      </c>
      <c r="G1008" s="34">
        <v>11</v>
      </c>
      <c r="H1008" s="34">
        <v>24</v>
      </c>
      <c r="I1008" s="34">
        <v>29</v>
      </c>
      <c r="J1008" s="34">
        <v>26</v>
      </c>
      <c r="K1008" s="34">
        <v>21</v>
      </c>
      <c r="L1008" s="34">
        <v>9</v>
      </c>
      <c r="M1008" s="34">
        <v>23</v>
      </c>
      <c r="N1008" s="34">
        <v>29</v>
      </c>
      <c r="Q1008" s="35">
        <f t="shared" si="31"/>
        <v>222</v>
      </c>
      <c r="R1008" s="4" t="s">
        <v>22</v>
      </c>
    </row>
    <row r="1009" spans="1:22" x14ac:dyDescent="0.25">
      <c r="A1009" s="40">
        <v>46150</v>
      </c>
      <c r="B1009" s="28">
        <v>1</v>
      </c>
      <c r="C1009" s="34" t="s">
        <v>396</v>
      </c>
      <c r="D1009" s="34" t="s">
        <v>395</v>
      </c>
      <c r="E1009" s="34">
        <v>18</v>
      </c>
      <c r="F1009" s="34">
        <v>32</v>
      </c>
      <c r="G1009" s="34">
        <v>18</v>
      </c>
      <c r="H1009" s="34">
        <v>32</v>
      </c>
      <c r="I1009" s="34">
        <v>29</v>
      </c>
      <c r="J1009" s="34">
        <v>27</v>
      </c>
      <c r="K1009" s="34">
        <v>20</v>
      </c>
      <c r="L1009" s="34">
        <v>15</v>
      </c>
      <c r="M1009" s="34">
        <v>26</v>
      </c>
      <c r="N1009" s="34">
        <v>33</v>
      </c>
      <c r="Q1009" s="35">
        <f t="shared" si="31"/>
        <v>250</v>
      </c>
      <c r="R1009" s="4" t="s">
        <v>22</v>
      </c>
    </row>
    <row r="1010" spans="1:22" x14ac:dyDescent="0.25">
      <c r="A1010" s="40">
        <v>46150</v>
      </c>
      <c r="B1010" s="28">
        <v>1</v>
      </c>
      <c r="C1010" s="34" t="s">
        <v>108</v>
      </c>
      <c r="D1010" s="34" t="s">
        <v>121</v>
      </c>
      <c r="Q1010" s="35">
        <f t="shared" si="31"/>
        <v>0</v>
      </c>
      <c r="R1010" s="4" t="s">
        <v>22</v>
      </c>
    </row>
    <row r="1011" spans="1:22" x14ac:dyDescent="0.25">
      <c r="A1011" s="40">
        <v>46150</v>
      </c>
      <c r="B1011" s="28">
        <v>1</v>
      </c>
      <c r="C1011" s="34" t="s">
        <v>110</v>
      </c>
      <c r="D1011" s="34" t="s">
        <v>123</v>
      </c>
      <c r="E1011" s="34">
        <v>20</v>
      </c>
      <c r="F1011" s="34">
        <v>33</v>
      </c>
      <c r="G1011" s="34">
        <v>20</v>
      </c>
      <c r="H1011" s="34">
        <v>27</v>
      </c>
      <c r="I1011" s="34">
        <v>27</v>
      </c>
      <c r="J1011" s="34">
        <v>27</v>
      </c>
      <c r="K1011" s="34">
        <v>21</v>
      </c>
      <c r="L1011" s="34">
        <v>14</v>
      </c>
      <c r="M1011" s="34">
        <v>24</v>
      </c>
      <c r="N1011" s="34">
        <v>37</v>
      </c>
      <c r="Q1011" s="35">
        <f t="shared" si="31"/>
        <v>250</v>
      </c>
      <c r="R1011" s="4" t="s">
        <v>22</v>
      </c>
    </row>
    <row r="1012" spans="1:22" x14ac:dyDescent="0.25">
      <c r="A1012" s="40">
        <v>46150</v>
      </c>
      <c r="B1012" s="28">
        <v>1</v>
      </c>
      <c r="C1012" s="34" t="s">
        <v>109</v>
      </c>
      <c r="D1012" s="34" t="s">
        <v>122</v>
      </c>
      <c r="E1012" s="34">
        <v>23</v>
      </c>
      <c r="F1012" s="34">
        <v>32</v>
      </c>
      <c r="G1012" s="34">
        <v>17</v>
      </c>
      <c r="H1012" s="34">
        <v>28</v>
      </c>
      <c r="I1012" s="34">
        <v>27</v>
      </c>
      <c r="J1012" s="34">
        <v>27</v>
      </c>
      <c r="K1012" s="34">
        <v>23</v>
      </c>
      <c r="L1012" s="34">
        <v>12</v>
      </c>
      <c r="M1012" s="34">
        <v>22</v>
      </c>
      <c r="N1012" s="34">
        <v>29</v>
      </c>
      <c r="Q1012" s="35">
        <f t="shared" si="31"/>
        <v>240</v>
      </c>
      <c r="R1012" s="4" t="s">
        <v>22</v>
      </c>
    </row>
    <row r="1013" spans="1:22" x14ac:dyDescent="0.25">
      <c r="A1013" s="40">
        <v>46150</v>
      </c>
      <c r="B1013" s="28">
        <v>1</v>
      </c>
      <c r="C1013" s="34" t="s">
        <v>1011</v>
      </c>
      <c r="D1013" s="34" t="s">
        <v>1012</v>
      </c>
      <c r="Q1013" s="35">
        <f t="shared" si="31"/>
        <v>0</v>
      </c>
      <c r="R1013" s="4" t="s">
        <v>140</v>
      </c>
    </row>
    <row r="1014" spans="1:22" x14ac:dyDescent="0.25">
      <c r="A1014" s="40">
        <v>46150</v>
      </c>
      <c r="B1014" s="28">
        <v>1</v>
      </c>
      <c r="C1014" s="34" t="s">
        <v>807</v>
      </c>
      <c r="D1014" s="34" t="s">
        <v>808</v>
      </c>
      <c r="E1014" s="34">
        <v>15</v>
      </c>
      <c r="F1014" s="34">
        <v>24</v>
      </c>
      <c r="G1014" s="34">
        <v>11</v>
      </c>
      <c r="H1014" s="34">
        <v>27</v>
      </c>
      <c r="I1014" s="34">
        <v>29</v>
      </c>
      <c r="J1014" s="34">
        <v>30</v>
      </c>
      <c r="K1014" s="34">
        <v>20</v>
      </c>
      <c r="L1014" s="34">
        <v>14</v>
      </c>
      <c r="M1014" s="34">
        <v>23</v>
      </c>
      <c r="N1014" s="34">
        <v>29</v>
      </c>
      <c r="Q1014" s="35">
        <f t="shared" si="31"/>
        <v>222</v>
      </c>
      <c r="R1014" s="4" t="s">
        <v>140</v>
      </c>
    </row>
    <row r="1015" spans="1:22" x14ac:dyDescent="0.25">
      <c r="A1015" s="40">
        <v>46150</v>
      </c>
      <c r="B1015" s="28">
        <v>1</v>
      </c>
      <c r="C1015" s="34" t="s">
        <v>1013</v>
      </c>
      <c r="D1015" s="34" t="s">
        <v>1014</v>
      </c>
      <c r="E1015" s="34">
        <v>10</v>
      </c>
      <c r="F1015" s="34">
        <v>18</v>
      </c>
      <c r="G1015" s="34">
        <v>12</v>
      </c>
      <c r="H1015" s="34">
        <v>23</v>
      </c>
      <c r="I1015" s="34">
        <v>22</v>
      </c>
      <c r="J1015" s="34">
        <v>20</v>
      </c>
      <c r="K1015" s="34">
        <v>22</v>
      </c>
      <c r="L1015" s="34">
        <v>14</v>
      </c>
      <c r="M1015" s="34">
        <v>19</v>
      </c>
      <c r="N1015" s="34">
        <v>20</v>
      </c>
      <c r="Q1015" s="35">
        <f t="shared" si="31"/>
        <v>180</v>
      </c>
      <c r="R1015" s="4" t="s">
        <v>140</v>
      </c>
      <c r="V1015">
        <f>60/50</f>
        <v>1.2</v>
      </c>
    </row>
    <row r="1016" spans="1:22" x14ac:dyDescent="0.25">
      <c r="A1016" s="40">
        <v>46150</v>
      </c>
      <c r="B1016" s="28">
        <v>1</v>
      </c>
      <c r="C1016" s="34" t="s">
        <v>1015</v>
      </c>
      <c r="D1016" s="34" t="s">
        <v>142</v>
      </c>
      <c r="E1016" s="34">
        <v>4</v>
      </c>
      <c r="F1016" s="34">
        <v>12</v>
      </c>
      <c r="G1016" s="34">
        <v>7</v>
      </c>
      <c r="H1016" s="34">
        <v>12</v>
      </c>
      <c r="I1016" s="34">
        <v>12</v>
      </c>
      <c r="J1016" s="34">
        <v>13</v>
      </c>
      <c r="K1016" s="34">
        <v>10</v>
      </c>
      <c r="L1016" s="34">
        <v>11</v>
      </c>
      <c r="M1016" s="34">
        <v>12</v>
      </c>
      <c r="N1016" s="34">
        <v>20</v>
      </c>
      <c r="Q1016" s="35">
        <f t="shared" si="31"/>
        <v>113</v>
      </c>
      <c r="R1016" s="4" t="s">
        <v>140</v>
      </c>
      <c r="V1016" t="e">
        <f>60/1007:1007</f>
        <v>#DIV/0!</v>
      </c>
    </row>
    <row r="1017" spans="1:22" x14ac:dyDescent="0.25">
      <c r="A1017" s="40">
        <v>46150</v>
      </c>
      <c r="B1017" s="28">
        <v>1</v>
      </c>
      <c r="C1017" s="34" t="s">
        <v>985</v>
      </c>
      <c r="D1017" s="34" t="s">
        <v>271</v>
      </c>
      <c r="E1017" s="34">
        <v>9</v>
      </c>
      <c r="F1017" s="34">
        <v>21</v>
      </c>
      <c r="G1017" s="34">
        <v>11</v>
      </c>
      <c r="H1017" s="34">
        <v>24</v>
      </c>
      <c r="I1017" s="34">
        <v>27</v>
      </c>
      <c r="J1017" s="34">
        <v>19</v>
      </c>
      <c r="K1017" s="34">
        <v>20</v>
      </c>
      <c r="L1017" s="34">
        <v>11</v>
      </c>
      <c r="M1017" s="34">
        <v>19</v>
      </c>
      <c r="N1017" s="34">
        <v>29</v>
      </c>
      <c r="Q1017" s="35">
        <f t="shared" si="31"/>
        <v>190</v>
      </c>
      <c r="R1017" s="4" t="s">
        <v>140</v>
      </c>
    </row>
    <row r="1018" spans="1:22" x14ac:dyDescent="0.25">
      <c r="A1018" s="40">
        <v>46150</v>
      </c>
      <c r="B1018" s="28">
        <v>1</v>
      </c>
      <c r="C1018" s="34" t="s">
        <v>1016</v>
      </c>
      <c r="D1018" s="34" t="s">
        <v>1017</v>
      </c>
      <c r="Q1018" s="35">
        <f t="shared" si="31"/>
        <v>0</v>
      </c>
      <c r="R1018" s="4" t="s">
        <v>140</v>
      </c>
    </row>
    <row r="1019" spans="1:22" x14ac:dyDescent="0.25">
      <c r="A1019" s="40">
        <v>46150</v>
      </c>
      <c r="B1019" s="28">
        <v>1</v>
      </c>
      <c r="C1019" s="34" t="s">
        <v>1018</v>
      </c>
      <c r="D1019" s="34" t="s">
        <v>1019</v>
      </c>
      <c r="Q1019" s="35">
        <f t="shared" si="31"/>
        <v>0</v>
      </c>
      <c r="R1019" s="4" t="s">
        <v>140</v>
      </c>
    </row>
    <row r="1020" spans="1:22" x14ac:dyDescent="0.25">
      <c r="A1020" s="40">
        <v>46150</v>
      </c>
      <c r="B1020" s="28">
        <v>1</v>
      </c>
      <c r="C1020" s="34" t="s">
        <v>1020</v>
      </c>
      <c r="D1020" s="34" t="s">
        <v>1021</v>
      </c>
      <c r="Q1020" s="35">
        <f t="shared" si="31"/>
        <v>0</v>
      </c>
      <c r="R1020" s="4" t="s">
        <v>140</v>
      </c>
    </row>
    <row r="1021" spans="1:22" x14ac:dyDescent="0.25">
      <c r="A1021" s="40">
        <v>46150</v>
      </c>
      <c r="B1021" s="28">
        <v>1</v>
      </c>
      <c r="C1021" s="34" t="s">
        <v>1022</v>
      </c>
      <c r="D1021" s="34" t="s">
        <v>1023</v>
      </c>
      <c r="E1021" s="34">
        <v>10</v>
      </c>
      <c r="F1021" s="34">
        <v>28</v>
      </c>
      <c r="G1021" s="34">
        <v>12</v>
      </c>
      <c r="H1021" s="34">
        <v>28</v>
      </c>
      <c r="I1021" s="34">
        <v>34</v>
      </c>
      <c r="J1021" s="34">
        <v>20</v>
      </c>
      <c r="K1021" s="34">
        <v>25</v>
      </c>
      <c r="L1021" s="34">
        <v>14</v>
      </c>
      <c r="M1021" s="34">
        <v>25</v>
      </c>
      <c r="N1021" s="34">
        <v>28</v>
      </c>
      <c r="Q1021" s="35">
        <f t="shared" si="31"/>
        <v>224</v>
      </c>
      <c r="R1021" s="4" t="s">
        <v>140</v>
      </c>
    </row>
    <row r="1022" spans="1:22" x14ac:dyDescent="0.25">
      <c r="A1022" s="40">
        <v>46150</v>
      </c>
      <c r="B1022" s="28">
        <v>1</v>
      </c>
      <c r="C1022" s="34" t="s">
        <v>1025</v>
      </c>
      <c r="D1022" s="34" t="s">
        <v>1024</v>
      </c>
      <c r="Q1022" s="35">
        <f t="shared" si="31"/>
        <v>0</v>
      </c>
      <c r="R1022" s="4" t="s">
        <v>140</v>
      </c>
    </row>
    <row r="1023" spans="1:22" x14ac:dyDescent="0.25">
      <c r="A1023" s="40">
        <v>46150</v>
      </c>
      <c r="B1023" s="28">
        <v>1</v>
      </c>
      <c r="C1023" s="34" t="s">
        <v>1026</v>
      </c>
      <c r="D1023" s="34" t="s">
        <v>1024</v>
      </c>
      <c r="Q1023" s="35">
        <f t="shared" si="31"/>
        <v>0</v>
      </c>
      <c r="R1023" s="4" t="s">
        <v>140</v>
      </c>
    </row>
    <row r="1024" spans="1:22" x14ac:dyDescent="0.25">
      <c r="A1024" s="40">
        <v>46150</v>
      </c>
      <c r="B1024" s="28">
        <v>1</v>
      </c>
      <c r="C1024" s="34" t="s">
        <v>1027</v>
      </c>
      <c r="D1024" s="34" t="s">
        <v>1028</v>
      </c>
      <c r="Q1024" s="35">
        <f t="shared" si="31"/>
        <v>0</v>
      </c>
      <c r="R1024" s="4" t="s">
        <v>140</v>
      </c>
    </row>
    <row r="1025" spans="1:18" x14ac:dyDescent="0.25">
      <c r="A1025" s="40">
        <v>46150</v>
      </c>
      <c r="B1025" s="28">
        <v>1</v>
      </c>
      <c r="C1025" s="34" t="s">
        <v>135</v>
      </c>
      <c r="D1025" s="34" t="s">
        <v>128</v>
      </c>
      <c r="E1025" s="34">
        <v>12</v>
      </c>
      <c r="F1025" s="34">
        <v>17</v>
      </c>
      <c r="G1025" s="34">
        <v>5</v>
      </c>
      <c r="H1025" s="34">
        <v>27</v>
      </c>
      <c r="I1025" s="34">
        <v>27</v>
      </c>
      <c r="J1025" s="34">
        <v>26</v>
      </c>
      <c r="K1025" s="34">
        <v>26</v>
      </c>
      <c r="L1025" s="34">
        <v>14</v>
      </c>
      <c r="M1025" s="34">
        <v>21</v>
      </c>
      <c r="N1025" s="34">
        <v>24</v>
      </c>
      <c r="Q1025" s="35">
        <f t="shared" si="31"/>
        <v>199</v>
      </c>
      <c r="R1025" s="4" t="s">
        <v>140</v>
      </c>
    </row>
    <row r="1026" spans="1:18" x14ac:dyDescent="0.25">
      <c r="A1026" s="40">
        <v>46150</v>
      </c>
      <c r="B1026" s="28">
        <v>1</v>
      </c>
      <c r="C1026" s="34" t="s">
        <v>1018</v>
      </c>
      <c r="D1026" s="34" t="s">
        <v>1236</v>
      </c>
      <c r="E1026" s="34">
        <v>12</v>
      </c>
      <c r="F1026" s="34">
        <v>18</v>
      </c>
      <c r="G1026" s="34">
        <v>6</v>
      </c>
      <c r="H1026" s="34">
        <v>19</v>
      </c>
      <c r="I1026" s="34">
        <v>20</v>
      </c>
      <c r="J1026" s="34">
        <v>20</v>
      </c>
      <c r="K1026" s="34">
        <v>22</v>
      </c>
      <c r="L1026" s="34">
        <v>19</v>
      </c>
      <c r="M1026" s="34">
        <v>22</v>
      </c>
      <c r="N1026" s="34">
        <v>24</v>
      </c>
      <c r="Q1026" s="35">
        <f t="shared" si="31"/>
        <v>182</v>
      </c>
      <c r="R1026" s="4" t="s">
        <v>140</v>
      </c>
    </row>
    <row r="1027" spans="1:18" x14ac:dyDescent="0.25">
      <c r="A1027" s="40">
        <v>46150</v>
      </c>
      <c r="B1027" s="28">
        <v>1</v>
      </c>
      <c r="C1027" s="34" t="s">
        <v>1234</v>
      </c>
      <c r="D1027" s="34" t="s">
        <v>1235</v>
      </c>
      <c r="E1027" s="34">
        <v>5</v>
      </c>
      <c r="F1027" s="34">
        <v>14</v>
      </c>
      <c r="G1027" s="34">
        <v>9</v>
      </c>
      <c r="H1027" s="34">
        <v>19</v>
      </c>
      <c r="I1027" s="34">
        <v>19</v>
      </c>
      <c r="J1027" s="34">
        <v>12</v>
      </c>
      <c r="K1027" s="34">
        <v>17</v>
      </c>
      <c r="L1027" s="34">
        <v>9</v>
      </c>
      <c r="M1027" s="34">
        <v>22</v>
      </c>
      <c r="N1027" s="34">
        <v>21</v>
      </c>
      <c r="Q1027" s="35">
        <f t="shared" si="31"/>
        <v>147</v>
      </c>
      <c r="R1027" s="4" t="s">
        <v>140</v>
      </c>
    </row>
    <row r="1029" spans="1:18" x14ac:dyDescent="0.25">
      <c r="A1029" s="40">
        <v>46150</v>
      </c>
      <c r="B1029" s="28">
        <v>2</v>
      </c>
      <c r="C1029" s="34" t="s">
        <v>100</v>
      </c>
      <c r="D1029" s="34" t="s">
        <v>1038</v>
      </c>
      <c r="E1029" s="34">
        <v>30</v>
      </c>
      <c r="F1029" s="34">
        <v>28</v>
      </c>
      <c r="G1029" s="34">
        <v>37</v>
      </c>
      <c r="H1029" s="34">
        <v>23</v>
      </c>
      <c r="I1029" s="34">
        <v>18</v>
      </c>
      <c r="J1029" s="34">
        <v>26</v>
      </c>
      <c r="K1029" s="34">
        <v>28</v>
      </c>
      <c r="L1029" s="34">
        <v>21</v>
      </c>
      <c r="M1029" s="34">
        <v>15</v>
      </c>
      <c r="N1029" s="34">
        <v>24</v>
      </c>
      <c r="Q1029" s="35">
        <f t="shared" ref="Q1029:Q1083" si="32">SUM(E1029:P1029)</f>
        <v>250</v>
      </c>
      <c r="R1029" s="4" t="s">
        <v>22</v>
      </c>
    </row>
    <row r="1030" spans="1:18" x14ac:dyDescent="0.25">
      <c r="A1030" s="40">
        <v>46150</v>
      </c>
      <c r="B1030" s="28">
        <v>2</v>
      </c>
      <c r="C1030" s="34" t="s">
        <v>445</v>
      </c>
      <c r="D1030" s="34" t="s">
        <v>1039</v>
      </c>
      <c r="E1030" s="34">
        <v>9</v>
      </c>
      <c r="F1030" s="34">
        <v>13</v>
      </c>
      <c r="G1030" s="34">
        <v>19</v>
      </c>
      <c r="H1030" s="34">
        <v>12</v>
      </c>
      <c r="I1030" s="34">
        <v>15</v>
      </c>
      <c r="J1030" s="34">
        <v>19</v>
      </c>
      <c r="K1030" s="34">
        <v>24</v>
      </c>
      <c r="L1030" s="34">
        <v>13</v>
      </c>
      <c r="M1030" s="34">
        <v>13</v>
      </c>
      <c r="N1030" s="34">
        <v>18</v>
      </c>
      <c r="Q1030" s="35">
        <f t="shared" si="32"/>
        <v>155</v>
      </c>
      <c r="R1030" s="4" t="s">
        <v>22</v>
      </c>
    </row>
    <row r="1031" spans="1:18" x14ac:dyDescent="0.25">
      <c r="A1031" s="40">
        <v>46150</v>
      </c>
      <c r="B1031" s="28">
        <v>2</v>
      </c>
      <c r="C1031" s="34" t="s">
        <v>103</v>
      </c>
      <c r="D1031" s="34" t="s">
        <v>115</v>
      </c>
      <c r="E1031" s="34">
        <v>18</v>
      </c>
      <c r="F1031" s="34">
        <v>18</v>
      </c>
      <c r="G1031" s="34">
        <v>35</v>
      </c>
      <c r="H1031" s="34">
        <v>15</v>
      </c>
      <c r="I1031" s="34">
        <v>25</v>
      </c>
      <c r="J1031" s="34">
        <v>25</v>
      </c>
      <c r="K1031" s="34">
        <v>22</v>
      </c>
      <c r="L1031" s="34">
        <v>17</v>
      </c>
      <c r="M1031" s="34">
        <v>18</v>
      </c>
      <c r="N1031" s="34">
        <v>25</v>
      </c>
      <c r="Q1031" s="35">
        <f t="shared" si="32"/>
        <v>218</v>
      </c>
      <c r="R1031" s="4" t="s">
        <v>22</v>
      </c>
    </row>
    <row r="1032" spans="1:18" x14ac:dyDescent="0.25">
      <c r="A1032" s="40">
        <v>46150</v>
      </c>
      <c r="B1032" s="28">
        <v>2</v>
      </c>
      <c r="C1032" s="34" t="s">
        <v>1040</v>
      </c>
      <c r="D1032" s="34" t="s">
        <v>118</v>
      </c>
      <c r="Q1032" s="35">
        <f t="shared" si="32"/>
        <v>0</v>
      </c>
      <c r="R1032" s="4" t="s">
        <v>22</v>
      </c>
    </row>
    <row r="1033" spans="1:18" x14ac:dyDescent="0.25">
      <c r="A1033" s="40">
        <v>46150</v>
      </c>
      <c r="B1033" s="28">
        <v>2</v>
      </c>
      <c r="C1033" s="34" t="s">
        <v>757</v>
      </c>
      <c r="D1033" s="34" t="s">
        <v>641</v>
      </c>
      <c r="E1033" s="34">
        <v>15</v>
      </c>
      <c r="F1033" s="34">
        <v>21</v>
      </c>
      <c r="G1033" s="34">
        <v>38</v>
      </c>
      <c r="H1033" s="34">
        <v>17</v>
      </c>
      <c r="I1033" s="34">
        <v>18</v>
      </c>
      <c r="J1033" s="34">
        <v>28</v>
      </c>
      <c r="K1033" s="34">
        <v>28</v>
      </c>
      <c r="L1033" s="34">
        <v>18</v>
      </c>
      <c r="M1033" s="34">
        <v>18</v>
      </c>
      <c r="N1033" s="34">
        <v>23</v>
      </c>
      <c r="Q1033" s="35">
        <f t="shared" si="32"/>
        <v>224</v>
      </c>
      <c r="R1033" s="4" t="s">
        <v>22</v>
      </c>
    </row>
    <row r="1034" spans="1:18" x14ac:dyDescent="0.25">
      <c r="A1034" s="40">
        <v>46150</v>
      </c>
      <c r="B1034" s="28">
        <v>2</v>
      </c>
      <c r="C1034" s="34" t="s">
        <v>1041</v>
      </c>
      <c r="D1034" s="34" t="s">
        <v>128</v>
      </c>
      <c r="Q1034" s="35">
        <f t="shared" si="32"/>
        <v>0</v>
      </c>
      <c r="R1034" s="4" t="s">
        <v>22</v>
      </c>
    </row>
    <row r="1035" spans="1:18" x14ac:dyDescent="0.25">
      <c r="A1035" s="40">
        <v>46150</v>
      </c>
      <c r="B1035" s="28">
        <v>2</v>
      </c>
      <c r="C1035" s="34" t="s">
        <v>1042</v>
      </c>
      <c r="D1035" s="34" t="s">
        <v>1043</v>
      </c>
      <c r="E1035" s="34">
        <v>28</v>
      </c>
      <c r="F1035" s="34">
        <v>27</v>
      </c>
      <c r="G1035" s="34">
        <v>45</v>
      </c>
      <c r="H1035" s="34">
        <v>20</v>
      </c>
      <c r="I1035" s="34">
        <v>20</v>
      </c>
      <c r="J1035" s="34">
        <v>22</v>
      </c>
      <c r="K1035" s="34">
        <v>28</v>
      </c>
      <c r="L1035" s="34">
        <v>19</v>
      </c>
      <c r="M1035" s="34">
        <v>19</v>
      </c>
      <c r="N1035" s="34">
        <v>22</v>
      </c>
      <c r="Q1035" s="35">
        <f t="shared" si="32"/>
        <v>250</v>
      </c>
      <c r="R1035" s="4" t="s">
        <v>22</v>
      </c>
    </row>
    <row r="1036" spans="1:18" x14ac:dyDescent="0.25">
      <c r="A1036" s="40">
        <v>46150</v>
      </c>
      <c r="B1036" s="28">
        <v>2</v>
      </c>
      <c r="C1036" s="34" t="s">
        <v>749</v>
      </c>
      <c r="D1036" s="34" t="s">
        <v>640</v>
      </c>
      <c r="E1036" s="34">
        <v>18</v>
      </c>
      <c r="F1036" s="34">
        <v>18</v>
      </c>
      <c r="G1036" s="34">
        <v>23</v>
      </c>
      <c r="H1036" s="34">
        <v>12</v>
      </c>
      <c r="I1036" s="34">
        <v>16</v>
      </c>
      <c r="J1036" s="34">
        <v>18</v>
      </c>
      <c r="K1036" s="34">
        <v>19</v>
      </c>
      <c r="L1036" s="34">
        <v>16</v>
      </c>
      <c r="M1036" s="34">
        <v>15</v>
      </c>
      <c r="N1036" s="34">
        <v>22</v>
      </c>
      <c r="Q1036" s="35">
        <f t="shared" si="32"/>
        <v>177</v>
      </c>
      <c r="R1036" s="4" t="s">
        <v>22</v>
      </c>
    </row>
    <row r="1037" spans="1:18" x14ac:dyDescent="0.25">
      <c r="A1037" s="40">
        <v>46150</v>
      </c>
      <c r="B1037" s="28">
        <v>2</v>
      </c>
      <c r="C1037" s="34" t="s">
        <v>1044</v>
      </c>
      <c r="D1037" s="34" t="s">
        <v>363</v>
      </c>
      <c r="E1037" s="34">
        <v>28</v>
      </c>
      <c r="F1037" s="34">
        <v>28</v>
      </c>
      <c r="G1037" s="34">
        <v>44</v>
      </c>
      <c r="H1037" s="34">
        <v>24</v>
      </c>
      <c r="I1037" s="34">
        <v>25</v>
      </c>
      <c r="J1037" s="34">
        <v>41</v>
      </c>
      <c r="K1037" s="34">
        <v>35</v>
      </c>
      <c r="L1037" s="34">
        <v>26</v>
      </c>
      <c r="M1037" s="34">
        <v>18</v>
      </c>
      <c r="N1037" s="34">
        <v>26</v>
      </c>
      <c r="Q1037" s="35">
        <f t="shared" si="32"/>
        <v>295</v>
      </c>
      <c r="R1037" s="4" t="s">
        <v>22</v>
      </c>
    </row>
    <row r="1038" spans="1:18" x14ac:dyDescent="0.25">
      <c r="A1038" s="40">
        <v>46150</v>
      </c>
      <c r="B1038" s="28">
        <v>2</v>
      </c>
      <c r="C1038" s="34" t="s">
        <v>1130</v>
      </c>
      <c r="D1038" s="34" t="s">
        <v>1005</v>
      </c>
      <c r="E1038" s="34">
        <v>26</v>
      </c>
      <c r="F1038" s="34">
        <v>23</v>
      </c>
      <c r="G1038" s="34">
        <v>36</v>
      </c>
      <c r="H1038" s="34">
        <v>23</v>
      </c>
      <c r="I1038" s="34">
        <v>22</v>
      </c>
      <c r="J1038" s="34">
        <v>19</v>
      </c>
      <c r="K1038" s="34">
        <v>22</v>
      </c>
      <c r="L1038" s="34">
        <v>18</v>
      </c>
      <c r="M1038" s="34">
        <v>18</v>
      </c>
      <c r="N1038" s="34">
        <v>22</v>
      </c>
      <c r="Q1038" s="35">
        <f t="shared" si="32"/>
        <v>229</v>
      </c>
      <c r="R1038" s="4" t="s">
        <v>22</v>
      </c>
    </row>
    <row r="1039" spans="1:18" x14ac:dyDescent="0.25">
      <c r="A1039" s="40">
        <v>46150</v>
      </c>
      <c r="B1039" s="28">
        <v>2</v>
      </c>
      <c r="C1039" s="34" t="s">
        <v>739</v>
      </c>
      <c r="D1039" s="34" t="s">
        <v>215</v>
      </c>
      <c r="E1039" s="34">
        <v>25</v>
      </c>
      <c r="F1039" s="34">
        <v>19</v>
      </c>
      <c r="G1039" s="34">
        <v>34</v>
      </c>
      <c r="H1039" s="34">
        <v>13</v>
      </c>
      <c r="I1039" s="34">
        <v>14</v>
      </c>
      <c r="J1039" s="34">
        <v>18</v>
      </c>
      <c r="K1039" s="34">
        <v>22</v>
      </c>
      <c r="L1039" s="34">
        <v>18</v>
      </c>
      <c r="M1039" s="34">
        <v>17</v>
      </c>
      <c r="N1039" s="34">
        <v>22</v>
      </c>
      <c r="Q1039" s="35">
        <f t="shared" si="32"/>
        <v>202</v>
      </c>
      <c r="R1039" s="4" t="s">
        <v>140</v>
      </c>
    </row>
    <row r="1040" spans="1:18" x14ac:dyDescent="0.25">
      <c r="A1040" s="40">
        <v>46150</v>
      </c>
      <c r="B1040" s="28">
        <v>2</v>
      </c>
      <c r="C1040" s="34" t="s">
        <v>1045</v>
      </c>
      <c r="D1040" s="34" t="s">
        <v>1046</v>
      </c>
      <c r="E1040" s="34">
        <v>20</v>
      </c>
      <c r="F1040" s="34">
        <v>17</v>
      </c>
      <c r="G1040" s="34">
        <v>29</v>
      </c>
      <c r="H1040" s="34">
        <v>14</v>
      </c>
      <c r="I1040" s="34">
        <v>16</v>
      </c>
      <c r="J1040" s="34">
        <v>20</v>
      </c>
      <c r="K1040" s="34">
        <v>22</v>
      </c>
      <c r="L1040" s="34">
        <v>13</v>
      </c>
      <c r="M1040" s="34">
        <v>15</v>
      </c>
      <c r="N1040" s="34">
        <v>22</v>
      </c>
      <c r="Q1040" s="35">
        <f t="shared" si="32"/>
        <v>188</v>
      </c>
      <c r="R1040" s="4" t="s">
        <v>140</v>
      </c>
    </row>
    <row r="1041" spans="1:18" x14ac:dyDescent="0.25">
      <c r="A1041" s="40">
        <v>46150</v>
      </c>
      <c r="B1041" s="28">
        <v>2</v>
      </c>
      <c r="C1041" s="34" t="s">
        <v>1047</v>
      </c>
      <c r="D1041" s="34" t="s">
        <v>809</v>
      </c>
      <c r="E1041" s="34">
        <v>17</v>
      </c>
      <c r="F1041" s="34">
        <v>15</v>
      </c>
      <c r="G1041" s="34">
        <v>23</v>
      </c>
      <c r="H1041" s="34">
        <v>18</v>
      </c>
      <c r="I1041" s="34">
        <v>19</v>
      </c>
      <c r="J1041" s="34">
        <v>22</v>
      </c>
      <c r="K1041" s="34">
        <v>22</v>
      </c>
      <c r="L1041" s="34">
        <v>15</v>
      </c>
      <c r="M1041" s="34">
        <v>13</v>
      </c>
      <c r="N1041" s="34">
        <v>18</v>
      </c>
      <c r="Q1041" s="35">
        <f t="shared" si="32"/>
        <v>182</v>
      </c>
      <c r="R1041" s="4" t="s">
        <v>140</v>
      </c>
    </row>
    <row r="1042" spans="1:18" x14ac:dyDescent="0.25">
      <c r="A1042" s="40">
        <v>46150</v>
      </c>
      <c r="B1042" s="28">
        <v>2</v>
      </c>
      <c r="C1042" s="34" t="s">
        <v>1131</v>
      </c>
      <c r="D1042" s="34" t="s">
        <v>641</v>
      </c>
      <c r="E1042" s="34">
        <v>20</v>
      </c>
      <c r="F1042" s="34">
        <v>17</v>
      </c>
      <c r="G1042" s="34">
        <v>28</v>
      </c>
      <c r="H1042" s="34">
        <v>17</v>
      </c>
      <c r="I1042" s="34">
        <v>16</v>
      </c>
      <c r="J1042" s="34">
        <v>26</v>
      </c>
      <c r="K1042" s="34">
        <v>16</v>
      </c>
      <c r="L1042" s="34">
        <v>14</v>
      </c>
      <c r="M1042" s="34">
        <v>15</v>
      </c>
      <c r="N1042" s="34">
        <v>19</v>
      </c>
      <c r="Q1042" s="35">
        <f t="shared" si="32"/>
        <v>188</v>
      </c>
      <c r="R1042" s="4" t="s">
        <v>140</v>
      </c>
    </row>
    <row r="1043" spans="1:18" x14ac:dyDescent="0.25">
      <c r="A1043" s="40">
        <v>46150</v>
      </c>
      <c r="B1043" s="28">
        <v>2</v>
      </c>
      <c r="C1043" s="34" t="s">
        <v>1132</v>
      </c>
      <c r="D1043" s="34" t="s">
        <v>641</v>
      </c>
      <c r="Q1043" s="35">
        <f t="shared" si="32"/>
        <v>0</v>
      </c>
      <c r="R1043" s="4" t="s">
        <v>140</v>
      </c>
    </row>
    <row r="1044" spans="1:18" x14ac:dyDescent="0.25">
      <c r="A1044" s="40">
        <v>46150</v>
      </c>
      <c r="B1044" s="28">
        <v>2</v>
      </c>
      <c r="C1044" s="34" t="s">
        <v>834</v>
      </c>
      <c r="D1044" s="34" t="s">
        <v>184</v>
      </c>
      <c r="E1044" s="34">
        <v>20</v>
      </c>
      <c r="F1044" s="34">
        <v>19</v>
      </c>
      <c r="G1044" s="34">
        <v>27</v>
      </c>
      <c r="H1044" s="34">
        <v>14</v>
      </c>
      <c r="I1044" s="34">
        <v>17</v>
      </c>
      <c r="J1044" s="34">
        <v>20</v>
      </c>
      <c r="K1044" s="34">
        <v>23</v>
      </c>
      <c r="L1044" s="34">
        <v>16</v>
      </c>
      <c r="M1044" s="34">
        <v>15</v>
      </c>
      <c r="N1044" s="34">
        <v>22</v>
      </c>
      <c r="Q1044" s="35">
        <f t="shared" si="32"/>
        <v>193</v>
      </c>
      <c r="R1044" s="4" t="s">
        <v>140</v>
      </c>
    </row>
    <row r="1045" spans="1:18" x14ac:dyDescent="0.25">
      <c r="A1045" s="40">
        <v>46150</v>
      </c>
      <c r="B1045" s="28">
        <v>2</v>
      </c>
      <c r="C1045" s="34" t="s">
        <v>137</v>
      </c>
      <c r="D1045" s="34" t="s">
        <v>130</v>
      </c>
      <c r="E1045" s="34">
        <v>25</v>
      </c>
      <c r="F1045" s="34">
        <v>24</v>
      </c>
      <c r="G1045" s="34">
        <v>37</v>
      </c>
      <c r="H1045" s="34">
        <v>16</v>
      </c>
      <c r="I1045" s="34">
        <v>17</v>
      </c>
      <c r="J1045" s="34">
        <v>21</v>
      </c>
      <c r="K1045" s="34">
        <v>26</v>
      </c>
      <c r="L1045" s="34">
        <v>21</v>
      </c>
      <c r="M1045" s="34">
        <v>19</v>
      </c>
      <c r="N1045" s="34">
        <v>25</v>
      </c>
      <c r="Q1045" s="35">
        <f t="shared" si="32"/>
        <v>231</v>
      </c>
      <c r="R1045" s="4" t="s">
        <v>140</v>
      </c>
    </row>
    <row r="1046" spans="1:18" x14ac:dyDescent="0.25">
      <c r="A1046" s="40">
        <v>46150</v>
      </c>
      <c r="B1046" s="28">
        <v>2</v>
      </c>
      <c r="C1046" s="34" t="s">
        <v>1049</v>
      </c>
      <c r="D1046" s="34" t="s">
        <v>1050</v>
      </c>
      <c r="E1046" s="34">
        <v>16</v>
      </c>
      <c r="F1046" s="34">
        <v>14</v>
      </c>
      <c r="G1046" s="34">
        <v>22</v>
      </c>
      <c r="H1046" s="34">
        <v>15</v>
      </c>
      <c r="I1046" s="34">
        <v>16</v>
      </c>
      <c r="J1046" s="34">
        <v>19</v>
      </c>
      <c r="K1046" s="34">
        <v>20</v>
      </c>
      <c r="L1046" s="34">
        <v>15</v>
      </c>
      <c r="M1046" s="34">
        <v>13</v>
      </c>
      <c r="N1046" s="34">
        <v>21</v>
      </c>
      <c r="Q1046" s="35">
        <f t="shared" si="32"/>
        <v>171</v>
      </c>
      <c r="R1046" s="4" t="s">
        <v>140</v>
      </c>
    </row>
    <row r="1047" spans="1:18" x14ac:dyDescent="0.25">
      <c r="A1047" s="40">
        <v>46150</v>
      </c>
      <c r="B1047" s="28">
        <v>2</v>
      </c>
      <c r="C1047" s="34" t="s">
        <v>134</v>
      </c>
      <c r="D1047" s="34" t="s">
        <v>127</v>
      </c>
      <c r="E1047" s="34">
        <v>17</v>
      </c>
      <c r="F1047" s="34">
        <v>23</v>
      </c>
      <c r="G1047" s="34">
        <v>43</v>
      </c>
      <c r="H1047" s="34">
        <v>15</v>
      </c>
      <c r="I1047" s="34">
        <v>14</v>
      </c>
      <c r="J1047" s="34">
        <v>20</v>
      </c>
      <c r="K1047" s="34">
        <v>20</v>
      </c>
      <c r="L1047" s="34">
        <v>15</v>
      </c>
      <c r="M1047" s="34">
        <v>20</v>
      </c>
      <c r="N1047" s="34">
        <v>26</v>
      </c>
      <c r="Q1047" s="35">
        <f t="shared" si="32"/>
        <v>213</v>
      </c>
      <c r="R1047" s="4" t="s">
        <v>140</v>
      </c>
    </row>
    <row r="1048" spans="1:18" x14ac:dyDescent="0.25">
      <c r="A1048" s="40">
        <v>46150</v>
      </c>
      <c r="B1048" s="28">
        <v>2</v>
      </c>
      <c r="C1048" s="34" t="s">
        <v>1070</v>
      </c>
      <c r="D1048" s="34" t="s">
        <v>1071</v>
      </c>
      <c r="E1048" s="34">
        <v>4</v>
      </c>
      <c r="F1048" s="34">
        <v>16</v>
      </c>
      <c r="G1048" s="34">
        <v>29</v>
      </c>
      <c r="H1048" s="34">
        <v>17</v>
      </c>
      <c r="I1048" s="34">
        <v>17</v>
      </c>
      <c r="J1048" s="34">
        <v>21</v>
      </c>
      <c r="K1048" s="34">
        <v>28</v>
      </c>
      <c r="L1048" s="34">
        <v>18</v>
      </c>
      <c r="M1048" s="34">
        <v>9</v>
      </c>
      <c r="N1048" s="34">
        <v>20</v>
      </c>
      <c r="Q1048" s="35">
        <f t="shared" si="32"/>
        <v>179</v>
      </c>
      <c r="R1048" s="4" t="s">
        <v>140</v>
      </c>
    </row>
    <row r="1049" spans="1:18" x14ac:dyDescent="0.25">
      <c r="A1049" s="40">
        <v>46150</v>
      </c>
      <c r="B1049" s="28">
        <v>2</v>
      </c>
      <c r="C1049" s="34" t="s">
        <v>1051</v>
      </c>
      <c r="D1049" s="34" t="s">
        <v>1133</v>
      </c>
      <c r="Q1049" s="35">
        <f t="shared" si="32"/>
        <v>0</v>
      </c>
      <c r="R1049" s="4" t="s">
        <v>140</v>
      </c>
    </row>
    <row r="1050" spans="1:18" x14ac:dyDescent="0.25">
      <c r="A1050" s="40">
        <v>46150</v>
      </c>
      <c r="B1050" s="28">
        <v>2</v>
      </c>
      <c r="C1050" s="34" t="s">
        <v>1051</v>
      </c>
      <c r="D1050" s="34" t="s">
        <v>1052</v>
      </c>
      <c r="E1050" s="34">
        <v>16</v>
      </c>
      <c r="F1050" s="34">
        <v>19</v>
      </c>
      <c r="G1050" s="34">
        <v>29</v>
      </c>
      <c r="H1050" s="34">
        <v>14</v>
      </c>
      <c r="I1050" s="34">
        <v>18</v>
      </c>
      <c r="J1050" s="34">
        <v>23</v>
      </c>
      <c r="K1050" s="34">
        <v>19</v>
      </c>
      <c r="L1050" s="34">
        <v>10</v>
      </c>
      <c r="M1050" s="34">
        <v>16</v>
      </c>
      <c r="N1050" s="34">
        <v>22</v>
      </c>
      <c r="Q1050" s="35">
        <f t="shared" si="32"/>
        <v>186</v>
      </c>
      <c r="R1050" s="4" t="s">
        <v>140</v>
      </c>
    </row>
    <row r="1051" spans="1:18" x14ac:dyDescent="0.25">
      <c r="A1051" s="40">
        <v>46150</v>
      </c>
      <c r="B1051" s="28">
        <v>2</v>
      </c>
      <c r="C1051" s="34" t="s">
        <v>1053</v>
      </c>
      <c r="D1051" s="34" t="s">
        <v>1052</v>
      </c>
      <c r="E1051" s="34">
        <v>20</v>
      </c>
      <c r="F1051" s="34">
        <v>18</v>
      </c>
      <c r="G1051" s="34">
        <v>25</v>
      </c>
      <c r="H1051" s="34">
        <v>19</v>
      </c>
      <c r="I1051" s="34">
        <v>20</v>
      </c>
      <c r="J1051" s="34">
        <v>21</v>
      </c>
      <c r="K1051" s="34">
        <v>24</v>
      </c>
      <c r="L1051" s="34">
        <v>17</v>
      </c>
      <c r="M1051" s="34">
        <v>17</v>
      </c>
      <c r="N1051" s="34">
        <v>20</v>
      </c>
      <c r="Q1051" s="35">
        <f t="shared" si="32"/>
        <v>201</v>
      </c>
      <c r="R1051" s="4" t="s">
        <v>140</v>
      </c>
    </row>
    <row r="1052" spans="1:18" x14ac:dyDescent="0.25">
      <c r="A1052" s="40">
        <v>46150</v>
      </c>
      <c r="B1052" s="28">
        <v>2</v>
      </c>
      <c r="C1052" s="34" t="s">
        <v>1150</v>
      </c>
      <c r="D1052" s="34" t="s">
        <v>1005</v>
      </c>
      <c r="Q1052" s="35">
        <f t="shared" si="32"/>
        <v>0</v>
      </c>
      <c r="R1052" s="4" t="s">
        <v>140</v>
      </c>
    </row>
    <row r="1053" spans="1:18" x14ac:dyDescent="0.25">
      <c r="A1053" s="40">
        <v>46150</v>
      </c>
      <c r="B1053" s="28">
        <v>2</v>
      </c>
      <c r="C1053" s="34" t="s">
        <v>749</v>
      </c>
      <c r="D1053" s="34" t="s">
        <v>395</v>
      </c>
      <c r="E1053" s="34">
        <v>7</v>
      </c>
      <c r="F1053" s="34">
        <v>11</v>
      </c>
      <c r="G1053" s="34">
        <v>23</v>
      </c>
      <c r="H1053" s="34">
        <v>11</v>
      </c>
      <c r="I1053" s="34">
        <v>16</v>
      </c>
      <c r="J1053" s="34">
        <v>15</v>
      </c>
      <c r="K1053" s="34">
        <v>17</v>
      </c>
      <c r="L1053" s="34">
        <v>12</v>
      </c>
      <c r="M1053" s="34">
        <v>13</v>
      </c>
      <c r="N1053" s="34">
        <v>19</v>
      </c>
      <c r="Q1053" s="35">
        <f t="shared" si="32"/>
        <v>144</v>
      </c>
      <c r="R1053" s="4" t="s">
        <v>140</v>
      </c>
    </row>
    <row r="1054" spans="1:18" x14ac:dyDescent="0.25">
      <c r="A1054" s="40">
        <v>46150</v>
      </c>
      <c r="B1054" s="28">
        <v>2</v>
      </c>
      <c r="C1054" s="34" t="s">
        <v>1266</v>
      </c>
      <c r="D1054" s="34" t="s">
        <v>1267</v>
      </c>
      <c r="J1054" s="34">
        <v>8</v>
      </c>
      <c r="K1054" s="34">
        <v>7</v>
      </c>
      <c r="L1054" s="34">
        <v>4</v>
      </c>
      <c r="M1054" s="34">
        <v>5</v>
      </c>
      <c r="N1054" s="34">
        <v>11</v>
      </c>
      <c r="Q1054" s="35">
        <f t="shared" si="32"/>
        <v>35</v>
      </c>
      <c r="R1054" s="4" t="s">
        <v>140</v>
      </c>
    </row>
    <row r="1056" spans="1:18" x14ac:dyDescent="0.25">
      <c r="A1056" s="40">
        <v>46151</v>
      </c>
      <c r="B1056" s="28">
        <v>1</v>
      </c>
      <c r="C1056" s="34" t="s">
        <v>1001</v>
      </c>
      <c r="D1056" s="34" t="s">
        <v>124</v>
      </c>
      <c r="E1056" s="34">
        <v>11</v>
      </c>
      <c r="F1056" s="34">
        <v>30</v>
      </c>
      <c r="G1056" s="34">
        <v>24</v>
      </c>
      <c r="H1056" s="34">
        <v>19</v>
      </c>
      <c r="I1056" s="34">
        <v>17</v>
      </c>
      <c r="J1056" s="34">
        <v>23</v>
      </c>
      <c r="K1056" s="34">
        <v>17</v>
      </c>
      <c r="L1056" s="34">
        <v>9</v>
      </c>
      <c r="M1056" s="34">
        <v>20</v>
      </c>
      <c r="N1056" s="34">
        <v>18</v>
      </c>
      <c r="Q1056" s="35">
        <f t="shared" si="32"/>
        <v>188</v>
      </c>
      <c r="R1056" s="4" t="s">
        <v>22</v>
      </c>
    </row>
    <row r="1057" spans="1:18" x14ac:dyDescent="0.25">
      <c r="A1057" s="40">
        <v>46151</v>
      </c>
      <c r="B1057" s="28">
        <v>1</v>
      </c>
      <c r="C1057" s="34" t="s">
        <v>1002</v>
      </c>
      <c r="D1057" s="34" t="s">
        <v>1003</v>
      </c>
      <c r="E1057" s="34">
        <v>11</v>
      </c>
      <c r="F1057" s="34">
        <v>20</v>
      </c>
      <c r="G1057" s="34">
        <v>23</v>
      </c>
      <c r="H1057" s="34">
        <v>18</v>
      </c>
      <c r="I1057" s="34">
        <v>20</v>
      </c>
      <c r="J1057" s="34">
        <v>20</v>
      </c>
      <c r="K1057" s="34">
        <v>21</v>
      </c>
      <c r="L1057" s="34">
        <v>11</v>
      </c>
      <c r="M1057" s="34">
        <v>22</v>
      </c>
      <c r="N1057" s="34">
        <v>18</v>
      </c>
      <c r="Q1057" s="35">
        <f t="shared" si="32"/>
        <v>184</v>
      </c>
      <c r="R1057" s="4" t="s">
        <v>22</v>
      </c>
    </row>
    <row r="1058" spans="1:18" x14ac:dyDescent="0.25">
      <c r="A1058" s="40">
        <v>46151</v>
      </c>
      <c r="B1058" s="28">
        <v>1</v>
      </c>
      <c r="C1058" s="34" t="s">
        <v>1006</v>
      </c>
      <c r="D1058" s="34" t="s">
        <v>1004</v>
      </c>
      <c r="Q1058" s="35">
        <f t="shared" si="32"/>
        <v>0</v>
      </c>
      <c r="R1058" s="4" t="s">
        <v>22</v>
      </c>
    </row>
    <row r="1059" spans="1:18" x14ac:dyDescent="0.25">
      <c r="A1059" s="40">
        <v>46151</v>
      </c>
      <c r="B1059" s="28">
        <v>1</v>
      </c>
      <c r="C1059" s="34" t="s">
        <v>1007</v>
      </c>
      <c r="D1059" s="34" t="s">
        <v>1005</v>
      </c>
      <c r="Q1059" s="35">
        <f t="shared" si="32"/>
        <v>0</v>
      </c>
      <c r="R1059" s="4" t="s">
        <v>22</v>
      </c>
    </row>
    <row r="1060" spans="1:18" x14ac:dyDescent="0.25">
      <c r="A1060" s="40">
        <v>46151</v>
      </c>
      <c r="B1060" s="28">
        <v>1</v>
      </c>
      <c r="C1060" s="34" t="s">
        <v>1008</v>
      </c>
      <c r="D1060" s="34" t="s">
        <v>1009</v>
      </c>
      <c r="E1060" s="34">
        <v>13</v>
      </c>
      <c r="F1060" s="34">
        <v>31</v>
      </c>
      <c r="G1060" s="34">
        <v>28</v>
      </c>
      <c r="H1060" s="34">
        <v>16</v>
      </c>
      <c r="I1060" s="34">
        <v>17</v>
      </c>
      <c r="J1060" s="34">
        <v>25</v>
      </c>
      <c r="K1060" s="34">
        <v>26</v>
      </c>
      <c r="L1060" s="34">
        <v>15</v>
      </c>
      <c r="M1060" s="34">
        <v>29</v>
      </c>
      <c r="N1060" s="34">
        <v>20</v>
      </c>
      <c r="Q1060" s="35">
        <f t="shared" si="32"/>
        <v>220</v>
      </c>
      <c r="R1060" s="4" t="s">
        <v>22</v>
      </c>
    </row>
    <row r="1061" spans="1:18" x14ac:dyDescent="0.25">
      <c r="A1061" s="40">
        <v>46151</v>
      </c>
      <c r="B1061" s="28">
        <v>1</v>
      </c>
      <c r="C1061" s="34" t="s">
        <v>1010</v>
      </c>
      <c r="D1061" s="34" t="s">
        <v>120</v>
      </c>
      <c r="E1061" s="34">
        <v>12</v>
      </c>
      <c r="F1061" s="34">
        <v>25</v>
      </c>
      <c r="G1061" s="34">
        <v>33</v>
      </c>
      <c r="H1061" s="34">
        <v>21</v>
      </c>
      <c r="I1061" s="34">
        <v>20</v>
      </c>
      <c r="J1061" s="34">
        <v>31</v>
      </c>
      <c r="K1061" s="34">
        <v>29</v>
      </c>
      <c r="L1061" s="34">
        <v>19</v>
      </c>
      <c r="M1061" s="34">
        <v>26</v>
      </c>
      <c r="N1061" s="34">
        <v>29</v>
      </c>
      <c r="Q1061" s="35">
        <f t="shared" si="32"/>
        <v>245</v>
      </c>
      <c r="R1061" s="4" t="s">
        <v>22</v>
      </c>
    </row>
    <row r="1062" spans="1:18" x14ac:dyDescent="0.25">
      <c r="A1062" s="40">
        <v>46151</v>
      </c>
      <c r="B1062" s="28">
        <v>1</v>
      </c>
      <c r="C1062" s="34" t="s">
        <v>485</v>
      </c>
      <c r="D1062" s="34" t="s">
        <v>738</v>
      </c>
      <c r="E1062" s="34">
        <v>7</v>
      </c>
      <c r="F1062" s="34">
        <v>26</v>
      </c>
      <c r="G1062" s="34">
        <v>28</v>
      </c>
      <c r="H1062" s="34">
        <v>19</v>
      </c>
      <c r="I1062" s="34">
        <v>17</v>
      </c>
      <c r="J1062" s="34">
        <v>30</v>
      </c>
      <c r="K1062" s="34">
        <v>24</v>
      </c>
      <c r="L1062" s="34">
        <v>10</v>
      </c>
      <c r="M1062" s="34">
        <v>23</v>
      </c>
      <c r="N1062" s="34">
        <v>16</v>
      </c>
      <c r="Q1062" s="35">
        <f t="shared" si="32"/>
        <v>200</v>
      </c>
      <c r="R1062" s="4" t="s">
        <v>22</v>
      </c>
    </row>
    <row r="1063" spans="1:18" x14ac:dyDescent="0.25">
      <c r="A1063" s="40">
        <v>46151</v>
      </c>
      <c r="B1063" s="28">
        <v>1</v>
      </c>
      <c r="C1063" s="34" t="s">
        <v>101</v>
      </c>
      <c r="D1063" s="34" t="s">
        <v>113</v>
      </c>
      <c r="E1063" s="34">
        <v>12</v>
      </c>
      <c r="F1063" s="34">
        <v>28</v>
      </c>
      <c r="G1063" s="34">
        <v>22</v>
      </c>
      <c r="H1063" s="34">
        <v>13</v>
      </c>
      <c r="I1063" s="34">
        <v>23</v>
      </c>
      <c r="J1063" s="34">
        <v>29</v>
      </c>
      <c r="K1063" s="34">
        <v>22</v>
      </c>
      <c r="L1063" s="34">
        <v>12</v>
      </c>
      <c r="M1063" s="34">
        <v>23</v>
      </c>
      <c r="N1063" s="34">
        <v>25</v>
      </c>
      <c r="Q1063" s="35">
        <f t="shared" si="32"/>
        <v>209</v>
      </c>
      <c r="R1063" s="4" t="s">
        <v>22</v>
      </c>
    </row>
    <row r="1064" spans="1:18" x14ac:dyDescent="0.25">
      <c r="A1064" s="40">
        <v>46151</v>
      </c>
      <c r="B1064" s="28">
        <v>1</v>
      </c>
      <c r="C1064" s="34" t="s">
        <v>396</v>
      </c>
      <c r="D1064" s="34" t="s">
        <v>395</v>
      </c>
      <c r="E1064" s="34">
        <v>13</v>
      </c>
      <c r="F1064" s="34">
        <v>29</v>
      </c>
      <c r="G1064" s="34">
        <v>27</v>
      </c>
      <c r="H1064" s="34">
        <v>23</v>
      </c>
      <c r="I1064" s="34">
        <v>26</v>
      </c>
      <c r="J1064" s="34">
        <v>37</v>
      </c>
      <c r="K1064" s="34">
        <v>12</v>
      </c>
      <c r="Q1064" s="35">
        <f t="shared" si="32"/>
        <v>167</v>
      </c>
      <c r="R1064" s="4" t="s">
        <v>22</v>
      </c>
    </row>
    <row r="1065" spans="1:18" x14ac:dyDescent="0.25">
      <c r="A1065" s="40">
        <v>46151</v>
      </c>
      <c r="B1065" s="28">
        <v>1</v>
      </c>
      <c r="C1065" s="34" t="s">
        <v>108</v>
      </c>
      <c r="D1065" s="34" t="s">
        <v>121</v>
      </c>
      <c r="E1065" s="34">
        <v>10</v>
      </c>
      <c r="F1065" s="34">
        <v>25</v>
      </c>
      <c r="G1065" s="34">
        <v>24</v>
      </c>
      <c r="H1065" s="34">
        <v>20</v>
      </c>
      <c r="I1065" s="34">
        <v>15</v>
      </c>
      <c r="J1065" s="34">
        <v>18</v>
      </c>
      <c r="K1065" s="34">
        <v>20</v>
      </c>
      <c r="L1065" s="34">
        <v>12</v>
      </c>
      <c r="M1065" s="34">
        <v>19</v>
      </c>
      <c r="N1065" s="34">
        <v>17</v>
      </c>
      <c r="Q1065" s="35">
        <f t="shared" si="32"/>
        <v>180</v>
      </c>
      <c r="R1065" s="4" t="s">
        <v>22</v>
      </c>
    </row>
    <row r="1066" spans="1:18" x14ac:dyDescent="0.25">
      <c r="A1066" s="40">
        <v>46151</v>
      </c>
      <c r="B1066" s="28">
        <v>1</v>
      </c>
      <c r="C1066" s="34" t="s">
        <v>110</v>
      </c>
      <c r="D1066" s="34" t="s">
        <v>123</v>
      </c>
      <c r="E1066" s="34">
        <v>16</v>
      </c>
      <c r="F1066" s="34">
        <v>30</v>
      </c>
      <c r="G1066" s="34">
        <v>29</v>
      </c>
      <c r="H1066" s="34">
        <v>25</v>
      </c>
      <c r="I1066" s="34">
        <v>24</v>
      </c>
      <c r="J1066" s="34">
        <v>36</v>
      </c>
      <c r="K1066" s="34">
        <v>24</v>
      </c>
      <c r="L1066" s="34">
        <v>13</v>
      </c>
      <c r="M1066" s="34">
        <v>26</v>
      </c>
      <c r="N1066" s="34">
        <v>30</v>
      </c>
      <c r="Q1066" s="35">
        <f t="shared" si="32"/>
        <v>253</v>
      </c>
      <c r="R1066" s="4" t="s">
        <v>22</v>
      </c>
    </row>
    <row r="1067" spans="1:18" x14ac:dyDescent="0.25">
      <c r="A1067" s="40">
        <v>46151</v>
      </c>
      <c r="B1067" s="28">
        <v>1</v>
      </c>
      <c r="C1067" s="34" t="s">
        <v>109</v>
      </c>
      <c r="D1067" s="34" t="s">
        <v>122</v>
      </c>
      <c r="E1067" s="34">
        <v>15</v>
      </c>
      <c r="F1067" s="34">
        <v>29</v>
      </c>
      <c r="G1067" s="34">
        <v>26</v>
      </c>
      <c r="H1067" s="34">
        <v>18</v>
      </c>
      <c r="I1067" s="34">
        <v>19</v>
      </c>
      <c r="J1067" s="34">
        <v>34</v>
      </c>
      <c r="K1067" s="34">
        <v>20</v>
      </c>
      <c r="L1067" s="34">
        <v>9</v>
      </c>
      <c r="Q1067" s="35">
        <f t="shared" si="32"/>
        <v>170</v>
      </c>
      <c r="R1067" s="4" t="s">
        <v>22</v>
      </c>
    </row>
    <row r="1068" spans="1:18" x14ac:dyDescent="0.25">
      <c r="A1068" s="40">
        <v>46151</v>
      </c>
      <c r="B1068" s="28">
        <v>1</v>
      </c>
      <c r="C1068" s="34" t="s">
        <v>1013</v>
      </c>
      <c r="D1068" s="34" t="s">
        <v>1014</v>
      </c>
      <c r="E1068" s="34">
        <v>12</v>
      </c>
      <c r="F1068" s="34">
        <v>21</v>
      </c>
      <c r="G1068" s="34">
        <v>24</v>
      </c>
      <c r="H1068" s="34">
        <v>10</v>
      </c>
      <c r="I1068" s="34">
        <v>13</v>
      </c>
      <c r="J1068" s="34">
        <v>21</v>
      </c>
      <c r="K1068" s="34">
        <v>14</v>
      </c>
      <c r="L1068" s="34">
        <v>9</v>
      </c>
      <c r="M1068" s="34">
        <v>18</v>
      </c>
      <c r="N1068" s="34">
        <v>16</v>
      </c>
      <c r="Q1068" s="35">
        <f t="shared" si="32"/>
        <v>158</v>
      </c>
      <c r="R1068" s="4" t="s">
        <v>140</v>
      </c>
    </row>
    <row r="1069" spans="1:18" x14ac:dyDescent="0.25">
      <c r="A1069" s="40">
        <v>46151</v>
      </c>
      <c r="B1069" s="28">
        <v>1</v>
      </c>
      <c r="C1069" s="34" t="s">
        <v>807</v>
      </c>
      <c r="D1069" s="34" t="s">
        <v>808</v>
      </c>
      <c r="E1069" s="34">
        <v>12</v>
      </c>
      <c r="F1069" s="34">
        <v>21</v>
      </c>
      <c r="G1069" s="34">
        <v>21</v>
      </c>
      <c r="H1069" s="34">
        <v>18</v>
      </c>
      <c r="I1069" s="34">
        <v>18</v>
      </c>
      <c r="J1069" s="34">
        <v>25</v>
      </c>
      <c r="K1069" s="34">
        <v>22</v>
      </c>
      <c r="L1069" s="34">
        <v>9</v>
      </c>
      <c r="M1069" s="34">
        <v>23</v>
      </c>
      <c r="N1069" s="34">
        <v>18</v>
      </c>
      <c r="Q1069" s="35">
        <f t="shared" si="32"/>
        <v>187</v>
      </c>
      <c r="R1069" s="4" t="s">
        <v>140</v>
      </c>
    </row>
    <row r="1070" spans="1:18" x14ac:dyDescent="0.25">
      <c r="A1070" s="40">
        <v>46151</v>
      </c>
      <c r="B1070" s="28">
        <v>1</v>
      </c>
      <c r="C1070" s="34" t="s">
        <v>1015</v>
      </c>
      <c r="D1070" s="34" t="s">
        <v>142</v>
      </c>
      <c r="E1070" s="34">
        <v>11</v>
      </c>
      <c r="F1070" s="34">
        <v>16</v>
      </c>
      <c r="G1070" s="34">
        <v>17</v>
      </c>
      <c r="H1070" s="34">
        <v>9</v>
      </c>
      <c r="I1070" s="34">
        <v>8</v>
      </c>
      <c r="J1070" s="34">
        <v>11</v>
      </c>
      <c r="K1070" s="34">
        <v>12</v>
      </c>
      <c r="L1070" s="34">
        <v>7</v>
      </c>
      <c r="M1070" s="34">
        <v>13</v>
      </c>
      <c r="N1070" s="34">
        <v>16</v>
      </c>
      <c r="Q1070" s="35">
        <f t="shared" si="32"/>
        <v>120</v>
      </c>
      <c r="R1070" s="4" t="s">
        <v>140</v>
      </c>
    </row>
    <row r="1071" spans="1:18" x14ac:dyDescent="0.25">
      <c r="A1071" s="40">
        <v>46151</v>
      </c>
      <c r="B1071" s="28">
        <v>1</v>
      </c>
      <c r="C1071" s="34" t="s">
        <v>1018</v>
      </c>
      <c r="D1071" s="34" t="s">
        <v>1236</v>
      </c>
      <c r="E1071" s="34">
        <v>9</v>
      </c>
      <c r="F1071" s="34">
        <v>34</v>
      </c>
      <c r="G1071" s="34">
        <v>23</v>
      </c>
      <c r="H1071" s="34">
        <v>18</v>
      </c>
      <c r="I1071" s="34">
        <v>17</v>
      </c>
      <c r="J1071" s="34">
        <v>24</v>
      </c>
      <c r="K1071" s="34">
        <v>16</v>
      </c>
      <c r="L1071" s="34">
        <v>11</v>
      </c>
      <c r="M1071" s="34">
        <v>22</v>
      </c>
      <c r="N1071" s="34">
        <v>26</v>
      </c>
      <c r="Q1071" s="35">
        <f t="shared" si="32"/>
        <v>200</v>
      </c>
      <c r="R1071" s="4" t="s">
        <v>140</v>
      </c>
    </row>
    <row r="1072" spans="1:18" x14ac:dyDescent="0.25">
      <c r="A1072" s="40">
        <v>46151</v>
      </c>
      <c r="B1072" s="28">
        <v>1</v>
      </c>
      <c r="C1072" s="34" t="s">
        <v>985</v>
      </c>
      <c r="D1072" s="34" t="s">
        <v>271</v>
      </c>
      <c r="E1072" s="34">
        <v>9</v>
      </c>
      <c r="F1072" s="34">
        <v>24</v>
      </c>
      <c r="G1072" s="34">
        <v>24</v>
      </c>
      <c r="H1072" s="34">
        <v>19</v>
      </c>
      <c r="I1072" s="34">
        <v>13</v>
      </c>
      <c r="J1072" s="34">
        <v>27</v>
      </c>
      <c r="K1072" s="34">
        <v>19</v>
      </c>
      <c r="L1072" s="34">
        <v>13</v>
      </c>
      <c r="M1072" s="34">
        <v>20</v>
      </c>
      <c r="N1072" s="34">
        <v>19</v>
      </c>
      <c r="Q1072" s="35">
        <f t="shared" si="32"/>
        <v>187</v>
      </c>
      <c r="R1072" s="4" t="s">
        <v>140</v>
      </c>
    </row>
    <row r="1073" spans="1:18" x14ac:dyDescent="0.25">
      <c r="A1073" s="40">
        <v>46151</v>
      </c>
      <c r="B1073" s="28">
        <v>1</v>
      </c>
      <c r="C1073" s="34" t="s">
        <v>1016</v>
      </c>
      <c r="D1073" s="34" t="s">
        <v>1017</v>
      </c>
      <c r="Q1073" s="35">
        <f t="shared" si="32"/>
        <v>0</v>
      </c>
      <c r="R1073" s="4" t="s">
        <v>140</v>
      </c>
    </row>
    <row r="1074" spans="1:18" x14ac:dyDescent="0.25">
      <c r="A1074" s="40">
        <v>46151</v>
      </c>
      <c r="B1074" s="28">
        <v>1</v>
      </c>
      <c r="C1074" s="34" t="s">
        <v>135</v>
      </c>
      <c r="D1074" s="34" t="s">
        <v>128</v>
      </c>
      <c r="E1074" s="34">
        <v>9</v>
      </c>
      <c r="F1074" s="34">
        <v>35</v>
      </c>
      <c r="G1074" s="34">
        <v>17</v>
      </c>
      <c r="H1074" s="34">
        <v>21</v>
      </c>
      <c r="I1074" s="34">
        <v>16</v>
      </c>
      <c r="J1074" s="34">
        <v>16</v>
      </c>
      <c r="K1074" s="34">
        <v>14</v>
      </c>
      <c r="L1074" s="34">
        <v>8</v>
      </c>
      <c r="M1074" s="34">
        <v>15</v>
      </c>
      <c r="N1074" s="34">
        <v>21</v>
      </c>
      <c r="Q1074" s="35">
        <f t="shared" si="32"/>
        <v>172</v>
      </c>
      <c r="R1074" s="4" t="s">
        <v>140</v>
      </c>
    </row>
    <row r="1075" spans="1:18" x14ac:dyDescent="0.25">
      <c r="A1075" s="40">
        <v>46151</v>
      </c>
      <c r="B1075" s="28">
        <v>1</v>
      </c>
      <c r="C1075" s="34" t="s">
        <v>1020</v>
      </c>
      <c r="D1075" s="34" t="s">
        <v>1021</v>
      </c>
      <c r="Q1075" s="35">
        <f t="shared" si="32"/>
        <v>0</v>
      </c>
      <c r="R1075" s="4" t="s">
        <v>140</v>
      </c>
    </row>
    <row r="1076" spans="1:18" x14ac:dyDescent="0.25">
      <c r="A1076" s="40">
        <v>46151</v>
      </c>
      <c r="B1076" s="28">
        <v>1</v>
      </c>
      <c r="C1076" s="34" t="s">
        <v>1022</v>
      </c>
      <c r="D1076" s="34" t="s">
        <v>1023</v>
      </c>
      <c r="E1076" s="34">
        <v>14</v>
      </c>
      <c r="F1076" s="34">
        <v>33</v>
      </c>
      <c r="G1076" s="34">
        <v>26</v>
      </c>
      <c r="H1076" s="34">
        <v>15</v>
      </c>
      <c r="I1076" s="34">
        <v>19</v>
      </c>
      <c r="J1076" s="34">
        <v>29</v>
      </c>
      <c r="K1076" s="34">
        <v>21</v>
      </c>
      <c r="L1076" s="34">
        <v>12</v>
      </c>
      <c r="M1076" s="34">
        <v>25</v>
      </c>
      <c r="N1076" s="34">
        <v>25</v>
      </c>
      <c r="Q1076" s="35">
        <f t="shared" si="32"/>
        <v>219</v>
      </c>
      <c r="R1076" s="4" t="s">
        <v>140</v>
      </c>
    </row>
    <row r="1077" spans="1:18" x14ac:dyDescent="0.25">
      <c r="A1077" s="40">
        <v>46151</v>
      </c>
      <c r="B1077" s="28">
        <v>1</v>
      </c>
      <c r="C1077" s="34" t="s">
        <v>1025</v>
      </c>
      <c r="D1077" s="34" t="s">
        <v>1024</v>
      </c>
      <c r="Q1077" s="35">
        <f t="shared" si="32"/>
        <v>0</v>
      </c>
      <c r="R1077" s="4" t="s">
        <v>140</v>
      </c>
    </row>
    <row r="1078" spans="1:18" x14ac:dyDescent="0.25">
      <c r="A1078" s="40">
        <v>46151</v>
      </c>
      <c r="B1078" s="28">
        <v>1</v>
      </c>
      <c r="C1078" s="34" t="s">
        <v>1026</v>
      </c>
      <c r="D1078" s="34" t="s">
        <v>1024</v>
      </c>
      <c r="Q1078" s="35">
        <f t="shared" si="32"/>
        <v>0</v>
      </c>
      <c r="R1078" s="4" t="s">
        <v>140</v>
      </c>
    </row>
    <row r="1079" spans="1:18" x14ac:dyDescent="0.25">
      <c r="A1079" s="40">
        <v>46151</v>
      </c>
      <c r="B1079" s="28">
        <v>1</v>
      </c>
      <c r="C1079" s="34" t="s">
        <v>1027</v>
      </c>
      <c r="D1079" s="34" t="s">
        <v>1028</v>
      </c>
      <c r="Q1079" s="35">
        <f t="shared" si="32"/>
        <v>0</v>
      </c>
      <c r="R1079" s="4" t="s">
        <v>140</v>
      </c>
    </row>
    <row r="1080" spans="1:18" x14ac:dyDescent="0.25">
      <c r="A1080" s="40">
        <v>46151</v>
      </c>
      <c r="B1080" s="28">
        <v>1</v>
      </c>
      <c r="C1080" s="34" t="s">
        <v>1018</v>
      </c>
      <c r="D1080" s="34" t="s">
        <v>1236</v>
      </c>
      <c r="Q1080" s="35">
        <f t="shared" si="32"/>
        <v>0</v>
      </c>
      <c r="R1080" s="4" t="s">
        <v>140</v>
      </c>
    </row>
    <row r="1081" spans="1:18" x14ac:dyDescent="0.25">
      <c r="A1081" s="40">
        <v>46151</v>
      </c>
      <c r="B1081" s="28">
        <v>1</v>
      </c>
      <c r="C1081" s="34" t="s">
        <v>1234</v>
      </c>
      <c r="D1081" s="34" t="s">
        <v>1235</v>
      </c>
      <c r="K1081" s="34">
        <v>7</v>
      </c>
      <c r="L1081" s="34">
        <v>10</v>
      </c>
      <c r="M1081" s="34">
        <v>15</v>
      </c>
      <c r="N1081" s="34">
        <v>18</v>
      </c>
      <c r="Q1081" s="35">
        <f t="shared" si="32"/>
        <v>50</v>
      </c>
      <c r="R1081" s="4" t="s">
        <v>140</v>
      </c>
    </row>
    <row r="1082" spans="1:18" x14ac:dyDescent="0.25">
      <c r="A1082" s="40">
        <v>46151</v>
      </c>
      <c r="B1082" s="28">
        <v>1</v>
      </c>
      <c r="C1082" s="34" t="s">
        <v>1007</v>
      </c>
      <c r="D1082" s="34" t="s">
        <v>1038</v>
      </c>
      <c r="E1082" s="34">
        <v>7</v>
      </c>
      <c r="F1082" s="34">
        <v>21</v>
      </c>
      <c r="G1082" s="34">
        <v>20</v>
      </c>
      <c r="H1082" s="34">
        <v>6</v>
      </c>
      <c r="I1082" s="34">
        <v>9</v>
      </c>
      <c r="J1082" s="34">
        <v>12</v>
      </c>
      <c r="K1082" s="34">
        <v>15</v>
      </c>
      <c r="L1082" s="34">
        <v>6</v>
      </c>
      <c r="M1082" s="34">
        <v>14</v>
      </c>
      <c r="N1082" s="34">
        <v>14</v>
      </c>
      <c r="Q1082" s="35">
        <f t="shared" si="32"/>
        <v>124</v>
      </c>
      <c r="R1082" s="4" t="s">
        <v>140</v>
      </c>
    </row>
    <row r="1083" spans="1:18" x14ac:dyDescent="0.25">
      <c r="A1083" s="40">
        <v>46151</v>
      </c>
      <c r="B1083" s="28">
        <v>1</v>
      </c>
      <c r="C1083" s="34" t="s">
        <v>808</v>
      </c>
      <c r="D1083" s="34" t="s">
        <v>1304</v>
      </c>
      <c r="E1083" s="34">
        <v>4</v>
      </c>
      <c r="F1083" s="34">
        <v>13</v>
      </c>
      <c r="G1083" s="34">
        <v>10</v>
      </c>
      <c r="H1083" s="34">
        <v>13</v>
      </c>
      <c r="I1083" s="34">
        <v>9</v>
      </c>
      <c r="J1083" s="34">
        <v>14</v>
      </c>
      <c r="K1083" s="34">
        <v>13</v>
      </c>
      <c r="L1083" s="34">
        <v>10</v>
      </c>
      <c r="M1083" s="34">
        <v>20</v>
      </c>
      <c r="N1083" s="34">
        <v>24</v>
      </c>
      <c r="Q1083" s="35">
        <f t="shared" si="32"/>
        <v>130</v>
      </c>
      <c r="R1083" s="4" t="s">
        <v>140</v>
      </c>
    </row>
    <row r="1085" spans="1:18" x14ac:dyDescent="0.25">
      <c r="A1085" s="40">
        <v>46151</v>
      </c>
      <c r="B1085" s="28">
        <v>2</v>
      </c>
      <c r="C1085" s="34" t="s">
        <v>100</v>
      </c>
      <c r="D1085" s="34" t="s">
        <v>1038</v>
      </c>
      <c r="E1085" s="34">
        <v>24</v>
      </c>
      <c r="F1085" s="34">
        <v>21</v>
      </c>
      <c r="G1085" s="34">
        <v>26</v>
      </c>
      <c r="H1085" s="34">
        <v>16</v>
      </c>
      <c r="I1085" s="34">
        <v>8</v>
      </c>
      <c r="J1085" s="34">
        <v>29</v>
      </c>
      <c r="K1085" s="34">
        <v>21</v>
      </c>
      <c r="L1085" s="34">
        <v>21</v>
      </c>
      <c r="M1085" s="34">
        <v>10</v>
      </c>
      <c r="Q1085" s="35">
        <f t="shared" ref="Q1085:Q1114" si="33">SUM(E1085:P1085)</f>
        <v>176</v>
      </c>
      <c r="R1085" s="4" t="s">
        <v>22</v>
      </c>
    </row>
    <row r="1086" spans="1:18" x14ac:dyDescent="0.25">
      <c r="A1086" s="40">
        <v>46151</v>
      </c>
      <c r="B1086" s="28">
        <v>2</v>
      </c>
      <c r="C1086" s="34" t="s">
        <v>445</v>
      </c>
      <c r="D1086" s="34" t="s">
        <v>1039</v>
      </c>
      <c r="E1086" s="34">
        <v>15</v>
      </c>
      <c r="F1086" s="34">
        <v>14</v>
      </c>
      <c r="G1086" s="34">
        <v>17</v>
      </c>
      <c r="H1086" s="34">
        <v>15</v>
      </c>
      <c r="I1086" s="34">
        <v>9</v>
      </c>
      <c r="J1086" s="34">
        <v>30</v>
      </c>
      <c r="K1086" s="34">
        <v>13</v>
      </c>
      <c r="L1086" s="34">
        <v>18</v>
      </c>
      <c r="M1086" s="34">
        <v>9</v>
      </c>
      <c r="N1086" s="34">
        <v>12</v>
      </c>
      <c r="Q1086" s="35">
        <f t="shared" si="33"/>
        <v>152</v>
      </c>
      <c r="R1086" s="4" t="s">
        <v>22</v>
      </c>
    </row>
    <row r="1087" spans="1:18" x14ac:dyDescent="0.25">
      <c r="A1087" s="40">
        <v>46151</v>
      </c>
      <c r="B1087" s="28">
        <v>2</v>
      </c>
      <c r="C1087" s="34" t="s">
        <v>103</v>
      </c>
      <c r="D1087" s="34" t="s">
        <v>115</v>
      </c>
      <c r="Q1087" s="35">
        <f t="shared" si="33"/>
        <v>0</v>
      </c>
      <c r="R1087" s="4" t="s">
        <v>22</v>
      </c>
    </row>
    <row r="1088" spans="1:18" x14ac:dyDescent="0.25">
      <c r="A1088" s="40">
        <v>46151</v>
      </c>
      <c r="B1088" s="28">
        <v>2</v>
      </c>
      <c r="C1088" s="34" t="s">
        <v>1040</v>
      </c>
      <c r="D1088" s="34" t="s">
        <v>118</v>
      </c>
      <c r="E1088" s="34">
        <v>27</v>
      </c>
      <c r="F1088" s="34">
        <v>23</v>
      </c>
      <c r="G1088" s="34">
        <v>27</v>
      </c>
      <c r="H1088" s="34">
        <v>25</v>
      </c>
      <c r="I1088" s="34">
        <v>9</v>
      </c>
      <c r="J1088" s="34">
        <v>27</v>
      </c>
      <c r="K1088" s="34">
        <v>21</v>
      </c>
      <c r="L1088" s="34">
        <v>17</v>
      </c>
      <c r="M1088" s="34">
        <v>13</v>
      </c>
      <c r="N1088" s="34">
        <v>29</v>
      </c>
      <c r="Q1088" s="35">
        <f t="shared" si="33"/>
        <v>218</v>
      </c>
      <c r="R1088" s="4" t="s">
        <v>22</v>
      </c>
    </row>
    <row r="1089" spans="1:18" x14ac:dyDescent="0.25">
      <c r="A1089" s="40">
        <v>46151</v>
      </c>
      <c r="B1089" s="28">
        <v>2</v>
      </c>
      <c r="C1089" s="34" t="s">
        <v>757</v>
      </c>
      <c r="D1089" s="34" t="s">
        <v>641</v>
      </c>
      <c r="E1089" s="34">
        <v>16</v>
      </c>
      <c r="F1089" s="34">
        <v>13</v>
      </c>
      <c r="G1089" s="34">
        <v>31</v>
      </c>
      <c r="H1089" s="34">
        <v>18</v>
      </c>
      <c r="I1089" s="34">
        <v>10</v>
      </c>
      <c r="J1089" s="34">
        <v>24</v>
      </c>
      <c r="K1089" s="34">
        <v>20</v>
      </c>
      <c r="L1089" s="34">
        <v>15</v>
      </c>
      <c r="Q1089" s="35">
        <f t="shared" si="33"/>
        <v>147</v>
      </c>
      <c r="R1089" s="4" t="s">
        <v>22</v>
      </c>
    </row>
    <row r="1090" spans="1:18" x14ac:dyDescent="0.25">
      <c r="A1090" s="40">
        <v>46151</v>
      </c>
      <c r="B1090" s="28">
        <v>2</v>
      </c>
      <c r="C1090" s="34" t="s">
        <v>1041</v>
      </c>
      <c r="D1090" s="34" t="s">
        <v>128</v>
      </c>
      <c r="Q1090" s="35">
        <f t="shared" si="33"/>
        <v>0</v>
      </c>
      <c r="R1090" s="4" t="s">
        <v>22</v>
      </c>
    </row>
    <row r="1091" spans="1:18" x14ac:dyDescent="0.25">
      <c r="A1091" s="40">
        <v>46151</v>
      </c>
      <c r="B1091" s="28">
        <v>2</v>
      </c>
      <c r="C1091" s="34" t="s">
        <v>1042</v>
      </c>
      <c r="D1091" s="34" t="s">
        <v>1043</v>
      </c>
      <c r="E1091" s="34">
        <v>19</v>
      </c>
      <c r="F1091" s="34">
        <v>21</v>
      </c>
      <c r="G1091" s="34">
        <v>31</v>
      </c>
      <c r="H1091" s="34">
        <v>26</v>
      </c>
      <c r="I1091" s="34">
        <v>13</v>
      </c>
      <c r="J1091" s="34">
        <v>22</v>
      </c>
      <c r="K1091" s="34">
        <v>20</v>
      </c>
      <c r="L1091" s="34">
        <v>25</v>
      </c>
      <c r="M1091" s="34">
        <v>17</v>
      </c>
      <c r="N1091" s="34">
        <v>25</v>
      </c>
      <c r="Q1091" s="35">
        <f t="shared" si="33"/>
        <v>219</v>
      </c>
      <c r="R1091" s="4" t="s">
        <v>22</v>
      </c>
    </row>
    <row r="1092" spans="1:18" x14ac:dyDescent="0.25">
      <c r="A1092" s="40">
        <v>46151</v>
      </c>
      <c r="B1092" s="28">
        <v>2</v>
      </c>
      <c r="C1092" s="34" t="s">
        <v>749</v>
      </c>
      <c r="D1092" s="34" t="s">
        <v>640</v>
      </c>
      <c r="Q1092" s="35">
        <f t="shared" si="33"/>
        <v>0</v>
      </c>
      <c r="R1092" s="4" t="s">
        <v>22</v>
      </c>
    </row>
    <row r="1093" spans="1:18" x14ac:dyDescent="0.25">
      <c r="A1093" s="40">
        <v>46151</v>
      </c>
      <c r="B1093" s="28">
        <v>2</v>
      </c>
      <c r="C1093" s="34" t="s">
        <v>1044</v>
      </c>
      <c r="D1093" s="34" t="s">
        <v>363</v>
      </c>
      <c r="E1093" s="34">
        <v>27</v>
      </c>
      <c r="F1093" s="34">
        <v>23</v>
      </c>
      <c r="G1093" s="34">
        <v>38</v>
      </c>
      <c r="H1093" s="34">
        <v>22</v>
      </c>
      <c r="I1093" s="34">
        <v>28</v>
      </c>
      <c r="J1093" s="34">
        <v>21</v>
      </c>
      <c r="K1093" s="34">
        <v>38</v>
      </c>
      <c r="L1093" s="34">
        <v>39</v>
      </c>
      <c r="M1093" s="34">
        <v>20</v>
      </c>
      <c r="N1093" s="34">
        <v>38</v>
      </c>
      <c r="Q1093" s="35">
        <f t="shared" si="33"/>
        <v>294</v>
      </c>
      <c r="R1093" s="4" t="s">
        <v>22</v>
      </c>
    </row>
    <row r="1094" spans="1:18" x14ac:dyDescent="0.25">
      <c r="A1094" s="40">
        <v>46151</v>
      </c>
      <c r="B1094" s="28">
        <v>2</v>
      </c>
      <c r="C1094" s="34" t="s">
        <v>1130</v>
      </c>
      <c r="D1094" s="34" t="s">
        <v>1005</v>
      </c>
      <c r="E1094" s="34">
        <v>25</v>
      </c>
      <c r="F1094" s="34">
        <v>17</v>
      </c>
      <c r="G1094" s="34">
        <v>16</v>
      </c>
      <c r="H1094" s="34">
        <v>22</v>
      </c>
      <c r="I1094" s="34">
        <v>13</v>
      </c>
      <c r="J1094" s="34">
        <v>26</v>
      </c>
      <c r="K1094" s="34">
        <v>14</v>
      </c>
      <c r="L1094" s="34">
        <v>17</v>
      </c>
      <c r="M1094" s="34">
        <v>17</v>
      </c>
      <c r="N1094" s="34">
        <v>28</v>
      </c>
      <c r="Q1094" s="35">
        <f t="shared" si="33"/>
        <v>195</v>
      </c>
      <c r="R1094" s="4" t="s">
        <v>22</v>
      </c>
    </row>
    <row r="1095" spans="1:18" x14ac:dyDescent="0.25">
      <c r="A1095" s="40">
        <v>46151</v>
      </c>
      <c r="B1095" s="28">
        <v>2</v>
      </c>
      <c r="C1095" s="34" t="s">
        <v>739</v>
      </c>
      <c r="D1095" s="34" t="s">
        <v>215</v>
      </c>
      <c r="E1095" s="34">
        <v>14</v>
      </c>
      <c r="F1095" s="34">
        <v>16</v>
      </c>
      <c r="G1095" s="34">
        <v>25</v>
      </c>
      <c r="H1095" s="34">
        <v>21</v>
      </c>
      <c r="I1095" s="34">
        <v>12</v>
      </c>
      <c r="J1095" s="34">
        <v>21</v>
      </c>
      <c r="K1095" s="34">
        <v>16</v>
      </c>
      <c r="L1095" s="34">
        <v>15</v>
      </c>
      <c r="M1095" s="34">
        <v>8</v>
      </c>
      <c r="N1095" s="34">
        <v>19</v>
      </c>
      <c r="Q1095" s="35">
        <f t="shared" si="33"/>
        <v>167</v>
      </c>
      <c r="R1095" s="4" t="s">
        <v>140</v>
      </c>
    </row>
    <row r="1096" spans="1:18" x14ac:dyDescent="0.25">
      <c r="A1096" s="40">
        <v>46151</v>
      </c>
      <c r="B1096" s="28">
        <v>2</v>
      </c>
      <c r="C1096" s="34" t="s">
        <v>1045</v>
      </c>
      <c r="D1096" s="34" t="s">
        <v>1046</v>
      </c>
      <c r="Q1096" s="35">
        <f t="shared" si="33"/>
        <v>0</v>
      </c>
      <c r="R1096" s="4" t="s">
        <v>140</v>
      </c>
    </row>
    <row r="1097" spans="1:18" x14ac:dyDescent="0.25">
      <c r="A1097" s="40">
        <v>46151</v>
      </c>
      <c r="B1097" s="28">
        <v>2</v>
      </c>
      <c r="C1097" s="34" t="s">
        <v>1047</v>
      </c>
      <c r="D1097" s="34" t="s">
        <v>809</v>
      </c>
      <c r="E1097" s="34">
        <v>19</v>
      </c>
      <c r="F1097" s="34">
        <v>18</v>
      </c>
      <c r="G1097" s="34">
        <v>23</v>
      </c>
      <c r="H1097" s="34">
        <v>21</v>
      </c>
      <c r="I1097" s="34">
        <v>16</v>
      </c>
      <c r="J1097" s="34">
        <v>21</v>
      </c>
      <c r="K1097" s="34">
        <v>15</v>
      </c>
      <c r="L1097" s="34">
        <v>24</v>
      </c>
      <c r="M1097" s="34">
        <v>13</v>
      </c>
      <c r="N1097" s="34">
        <v>20</v>
      </c>
      <c r="Q1097" s="35">
        <f t="shared" si="33"/>
        <v>190</v>
      </c>
      <c r="R1097" s="4" t="s">
        <v>140</v>
      </c>
    </row>
    <row r="1098" spans="1:18" x14ac:dyDescent="0.25">
      <c r="A1098" s="40">
        <v>46151</v>
      </c>
      <c r="B1098" s="28">
        <v>2</v>
      </c>
      <c r="C1098" s="34" t="s">
        <v>1334</v>
      </c>
      <c r="D1098" s="34" t="s">
        <v>1335</v>
      </c>
      <c r="F1098" s="34">
        <v>50</v>
      </c>
      <c r="G1098" s="34">
        <v>12</v>
      </c>
      <c r="H1098" s="34">
        <v>3</v>
      </c>
      <c r="Q1098" s="35">
        <f t="shared" si="33"/>
        <v>65</v>
      </c>
      <c r="R1098" s="4" t="s">
        <v>140</v>
      </c>
    </row>
    <row r="1099" spans="1:18" x14ac:dyDescent="0.25">
      <c r="A1099" s="40">
        <v>46151</v>
      </c>
      <c r="B1099" s="28">
        <v>2</v>
      </c>
      <c r="C1099" s="34" t="s">
        <v>1131</v>
      </c>
      <c r="D1099" s="34" t="s">
        <v>641</v>
      </c>
      <c r="E1099" s="34">
        <v>16</v>
      </c>
      <c r="F1099" s="34">
        <v>17</v>
      </c>
      <c r="G1099" s="34">
        <v>27</v>
      </c>
      <c r="H1099" s="34">
        <v>20</v>
      </c>
      <c r="I1099" s="34">
        <v>10</v>
      </c>
      <c r="J1099" s="34">
        <v>23</v>
      </c>
      <c r="K1099" s="34">
        <v>17</v>
      </c>
      <c r="L1099" s="34">
        <v>27</v>
      </c>
      <c r="M1099" s="34">
        <v>7</v>
      </c>
      <c r="N1099" s="34">
        <v>28</v>
      </c>
      <c r="Q1099" s="35">
        <f t="shared" si="33"/>
        <v>192</v>
      </c>
      <c r="R1099" s="4" t="s">
        <v>140</v>
      </c>
    </row>
    <row r="1100" spans="1:18" x14ac:dyDescent="0.25">
      <c r="A1100" s="40">
        <v>46151</v>
      </c>
      <c r="B1100" s="28">
        <v>2</v>
      </c>
      <c r="C1100" s="34" t="s">
        <v>1336</v>
      </c>
      <c r="D1100" s="34" t="s">
        <v>1337</v>
      </c>
      <c r="E1100" s="34">
        <v>2</v>
      </c>
      <c r="F1100" s="34">
        <v>3</v>
      </c>
      <c r="G1100" s="34">
        <v>4</v>
      </c>
      <c r="Q1100" s="35">
        <f t="shared" si="33"/>
        <v>9</v>
      </c>
      <c r="R1100" s="4" t="s">
        <v>140</v>
      </c>
    </row>
    <row r="1101" spans="1:18" x14ac:dyDescent="0.25">
      <c r="A1101" s="40">
        <v>46151</v>
      </c>
      <c r="B1101" s="28">
        <v>2</v>
      </c>
      <c r="C1101" s="34" t="s">
        <v>1132</v>
      </c>
      <c r="D1101" s="34" t="s">
        <v>641</v>
      </c>
      <c r="Q1101" s="35">
        <f t="shared" si="33"/>
        <v>0</v>
      </c>
      <c r="R1101" s="4" t="s">
        <v>140</v>
      </c>
    </row>
    <row r="1102" spans="1:18" x14ac:dyDescent="0.25">
      <c r="A1102" s="40">
        <v>46151</v>
      </c>
      <c r="B1102" s="28">
        <v>2</v>
      </c>
      <c r="C1102" s="34" t="s">
        <v>834</v>
      </c>
      <c r="D1102" s="34" t="s">
        <v>184</v>
      </c>
      <c r="Q1102" s="35">
        <f t="shared" si="33"/>
        <v>0</v>
      </c>
      <c r="R1102" s="4" t="s">
        <v>140</v>
      </c>
    </row>
    <row r="1103" spans="1:18" x14ac:dyDescent="0.25">
      <c r="A1103" s="40">
        <v>46151</v>
      </c>
      <c r="B1103" s="28">
        <v>2</v>
      </c>
      <c r="C1103" s="34" t="s">
        <v>137</v>
      </c>
      <c r="D1103" s="34" t="s">
        <v>130</v>
      </c>
      <c r="E1103" s="34">
        <v>14</v>
      </c>
      <c r="F1103" s="34">
        <v>18</v>
      </c>
      <c r="G1103" s="34">
        <v>25</v>
      </c>
      <c r="H1103" s="34">
        <v>27</v>
      </c>
      <c r="I1103" s="34">
        <v>10</v>
      </c>
      <c r="J1103" s="34">
        <v>21</v>
      </c>
      <c r="K1103" s="34">
        <v>27</v>
      </c>
      <c r="L1103" s="34">
        <v>22</v>
      </c>
      <c r="M1103" s="34">
        <v>16</v>
      </c>
      <c r="N1103" s="34">
        <v>29</v>
      </c>
      <c r="Q1103" s="35">
        <f t="shared" si="33"/>
        <v>209</v>
      </c>
      <c r="R1103" s="4" t="s">
        <v>140</v>
      </c>
    </row>
    <row r="1104" spans="1:18" x14ac:dyDescent="0.25">
      <c r="A1104" s="40">
        <v>46151</v>
      </c>
      <c r="B1104" s="28">
        <v>2</v>
      </c>
      <c r="C1104" s="34" t="s">
        <v>1049</v>
      </c>
      <c r="D1104" s="34" t="s">
        <v>1050</v>
      </c>
      <c r="Q1104" s="35">
        <f t="shared" si="33"/>
        <v>0</v>
      </c>
      <c r="R1104" s="4" t="s">
        <v>140</v>
      </c>
    </row>
    <row r="1105" spans="1:18" x14ac:dyDescent="0.25">
      <c r="A1105" s="40">
        <v>46151</v>
      </c>
      <c r="B1105" s="28">
        <v>2</v>
      </c>
      <c r="C1105" s="34" t="s">
        <v>134</v>
      </c>
      <c r="D1105" s="34" t="s">
        <v>127</v>
      </c>
      <c r="E1105" s="34">
        <v>15</v>
      </c>
      <c r="F1105" s="34">
        <v>20</v>
      </c>
      <c r="G1105" s="34">
        <v>25</v>
      </c>
      <c r="H1105" s="34">
        <v>13</v>
      </c>
      <c r="I1105" s="34">
        <v>8</v>
      </c>
      <c r="J1105" s="34">
        <v>18</v>
      </c>
      <c r="K1105" s="34">
        <v>22</v>
      </c>
      <c r="L1105" s="34">
        <v>20</v>
      </c>
      <c r="M1105" s="34">
        <v>13</v>
      </c>
      <c r="N1105" s="34">
        <v>26</v>
      </c>
      <c r="Q1105" s="35">
        <f t="shared" si="33"/>
        <v>180</v>
      </c>
      <c r="R1105" s="4" t="s">
        <v>140</v>
      </c>
    </row>
    <row r="1106" spans="1:18" x14ac:dyDescent="0.25">
      <c r="A1106" s="40">
        <v>46151</v>
      </c>
      <c r="B1106" s="28">
        <v>2</v>
      </c>
      <c r="C1106" s="34" t="s">
        <v>1070</v>
      </c>
      <c r="D1106" s="34" t="s">
        <v>1071</v>
      </c>
      <c r="E1106" s="34">
        <v>14</v>
      </c>
      <c r="F1106" s="34">
        <v>21</v>
      </c>
      <c r="G1106" s="34">
        <v>17</v>
      </c>
      <c r="H1106" s="34">
        <v>13</v>
      </c>
      <c r="I1106" s="34">
        <v>8</v>
      </c>
      <c r="J1106" s="34">
        <v>26</v>
      </c>
      <c r="K1106" s="34">
        <v>21</v>
      </c>
      <c r="L1106" s="34">
        <v>17</v>
      </c>
      <c r="M1106" s="34">
        <v>13</v>
      </c>
      <c r="N1106" s="34">
        <v>24</v>
      </c>
      <c r="Q1106" s="35">
        <f t="shared" si="33"/>
        <v>174</v>
      </c>
      <c r="R1106" s="4" t="s">
        <v>140</v>
      </c>
    </row>
    <row r="1107" spans="1:18" x14ac:dyDescent="0.25">
      <c r="A1107" s="40">
        <v>46151</v>
      </c>
      <c r="B1107" s="28">
        <v>2</v>
      </c>
      <c r="C1107" s="34" t="s">
        <v>757</v>
      </c>
      <c r="D1107" s="34" t="s">
        <v>1338</v>
      </c>
      <c r="F1107" s="34">
        <v>7</v>
      </c>
      <c r="G1107" s="34">
        <v>15</v>
      </c>
      <c r="H1107" s="34">
        <v>9</v>
      </c>
      <c r="I1107" s="34">
        <v>6</v>
      </c>
      <c r="J1107" s="34">
        <v>13</v>
      </c>
      <c r="K1107" s="34">
        <v>18</v>
      </c>
      <c r="L1107" s="34">
        <v>12</v>
      </c>
      <c r="M1107" s="34">
        <v>9</v>
      </c>
      <c r="N1107" s="34">
        <v>22</v>
      </c>
      <c r="Q1107" s="35">
        <f t="shared" si="33"/>
        <v>111</v>
      </c>
      <c r="R1107" s="4" t="s">
        <v>140</v>
      </c>
    </row>
    <row r="1108" spans="1:18" x14ac:dyDescent="0.25">
      <c r="A1108" s="40">
        <v>46151</v>
      </c>
      <c r="B1108" s="28">
        <v>2</v>
      </c>
      <c r="C1108" s="34" t="s">
        <v>1051</v>
      </c>
      <c r="D1108" s="34" t="s">
        <v>1133</v>
      </c>
      <c r="Q1108" s="35">
        <f t="shared" si="33"/>
        <v>0</v>
      </c>
      <c r="R1108" s="4" t="s">
        <v>140</v>
      </c>
    </row>
    <row r="1109" spans="1:18" x14ac:dyDescent="0.25">
      <c r="A1109" s="40">
        <v>46151</v>
      </c>
      <c r="B1109" s="28">
        <v>2</v>
      </c>
      <c r="C1109" s="34" t="s">
        <v>1051</v>
      </c>
      <c r="D1109" s="34" t="s">
        <v>1052</v>
      </c>
      <c r="E1109" s="34">
        <v>24</v>
      </c>
      <c r="F1109" s="34">
        <v>13</v>
      </c>
      <c r="G1109" s="34">
        <v>23</v>
      </c>
      <c r="H1109" s="34">
        <v>18</v>
      </c>
      <c r="I1109" s="34">
        <v>9</v>
      </c>
      <c r="J1109" s="34">
        <v>22</v>
      </c>
      <c r="K1109" s="34">
        <v>16</v>
      </c>
      <c r="L1109" s="34">
        <v>25</v>
      </c>
      <c r="M1109" s="34">
        <v>13</v>
      </c>
      <c r="N1109" s="34">
        <v>31</v>
      </c>
      <c r="Q1109" s="35">
        <f t="shared" si="33"/>
        <v>194</v>
      </c>
      <c r="R1109" s="4" t="s">
        <v>140</v>
      </c>
    </row>
    <row r="1110" spans="1:18" x14ac:dyDescent="0.25">
      <c r="A1110" s="40">
        <v>46151</v>
      </c>
      <c r="B1110" s="28">
        <v>2</v>
      </c>
      <c r="C1110" s="34" t="s">
        <v>1053</v>
      </c>
      <c r="D1110" s="34" t="s">
        <v>1052</v>
      </c>
      <c r="E1110" s="34">
        <v>17</v>
      </c>
      <c r="F1110" s="34">
        <v>17</v>
      </c>
      <c r="G1110" s="34">
        <v>28</v>
      </c>
      <c r="H1110" s="34">
        <v>18</v>
      </c>
      <c r="I1110" s="34">
        <v>9</v>
      </c>
      <c r="J1110" s="34">
        <v>22</v>
      </c>
      <c r="K1110" s="34">
        <v>17</v>
      </c>
      <c r="L1110" s="34">
        <v>19</v>
      </c>
      <c r="M1110" s="34">
        <v>15</v>
      </c>
      <c r="N1110" s="34">
        <v>25</v>
      </c>
      <c r="Q1110" s="35">
        <f t="shared" si="33"/>
        <v>187</v>
      </c>
      <c r="R1110" s="4" t="s">
        <v>140</v>
      </c>
    </row>
    <row r="1111" spans="1:18" x14ac:dyDescent="0.25">
      <c r="A1111" s="40">
        <v>46151</v>
      </c>
      <c r="B1111" s="28">
        <v>2</v>
      </c>
      <c r="C1111" s="34" t="s">
        <v>1150</v>
      </c>
      <c r="D1111" s="34" t="s">
        <v>1005</v>
      </c>
      <c r="Q1111" s="35">
        <f t="shared" si="33"/>
        <v>0</v>
      </c>
      <c r="R1111" s="4" t="s">
        <v>140</v>
      </c>
    </row>
    <row r="1112" spans="1:18" x14ac:dyDescent="0.25">
      <c r="A1112" s="40">
        <v>46151</v>
      </c>
      <c r="B1112" s="28">
        <v>2</v>
      </c>
      <c r="C1112" s="34" t="s">
        <v>749</v>
      </c>
      <c r="D1112" s="34" t="s">
        <v>395</v>
      </c>
      <c r="Q1112" s="35">
        <f t="shared" si="33"/>
        <v>0</v>
      </c>
      <c r="R1112" s="4" t="s">
        <v>140</v>
      </c>
    </row>
    <row r="1113" spans="1:18" x14ac:dyDescent="0.25">
      <c r="A1113" s="40">
        <v>46151</v>
      </c>
      <c r="B1113" s="28">
        <v>2</v>
      </c>
      <c r="C1113" s="34" t="s">
        <v>1266</v>
      </c>
      <c r="D1113" s="34" t="s">
        <v>1267</v>
      </c>
      <c r="E1113" s="34">
        <v>5</v>
      </c>
      <c r="F1113" s="34">
        <v>7</v>
      </c>
      <c r="G1113" s="34">
        <v>10</v>
      </c>
      <c r="H1113" s="34">
        <v>10</v>
      </c>
      <c r="I1113" s="34">
        <v>5</v>
      </c>
      <c r="J1113" s="34">
        <v>12</v>
      </c>
      <c r="K1113" s="34">
        <v>8</v>
      </c>
      <c r="L1113" s="34">
        <v>12</v>
      </c>
      <c r="M1113" s="34">
        <v>8</v>
      </c>
      <c r="N1113" s="34">
        <v>16</v>
      </c>
      <c r="Q1113" s="35">
        <f t="shared" si="33"/>
        <v>93</v>
      </c>
      <c r="R1113" s="4" t="s">
        <v>140</v>
      </c>
    </row>
    <row r="1114" spans="1:18" x14ac:dyDescent="0.25">
      <c r="A1114" s="40">
        <v>46151</v>
      </c>
      <c r="B1114" s="28">
        <v>2</v>
      </c>
      <c r="C1114" s="34" t="s">
        <v>1339</v>
      </c>
      <c r="I1114" s="34">
        <v>10</v>
      </c>
      <c r="J1114" s="34">
        <v>18</v>
      </c>
      <c r="K1114" s="34">
        <v>16</v>
      </c>
      <c r="L1114" s="34">
        <v>19</v>
      </c>
      <c r="M1114" s="34">
        <v>17</v>
      </c>
      <c r="N1114" s="34">
        <v>20</v>
      </c>
      <c r="Q1114" s="35">
        <f t="shared" si="33"/>
        <v>100</v>
      </c>
      <c r="R1114" s="4" t="s">
        <v>140</v>
      </c>
    </row>
  </sheetData>
  <sheetProtection formatCells="0"/>
  <autoFilter ref="A1:W1" xr:uid="{00000000-0001-0000-0200-000000000000}"/>
  <conditionalFormatting sqref="R1:R1048576">
    <cfRule type="cellIs" dxfId="2" priority="1" operator="equal">
      <formula>$V$2</formula>
    </cfRule>
  </conditionalFormatting>
  <conditionalFormatting sqref="T2">
    <cfRule type="cellIs" dxfId="1" priority="11" operator="equal">
      <formula>$V$2</formula>
    </cfRule>
  </conditionalFormatting>
  <dataValidations count="1">
    <dataValidation type="list" allowBlank="1" showInputMessage="1" showErrorMessage="1" sqref="B1:B66 B70:B1048576" xr:uid="{DBAB9A3A-F2F1-41ED-B9D7-1A49E364B640}">
      <formula1>$W$2:$W$3</formula1>
    </dataValidation>
  </dataValidations>
  <printOptions horizontalCentered="1" verticalCentered="1"/>
  <pageMargins left="0" right="0" top="0" bottom="0" header="0" footer="0"/>
  <pageSetup paperSize="9" scale="1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7280-FE51-4DCA-8CA1-6423F2AF5545}">
  <sheetPr codeName="Hoja3"/>
  <dimension ref="A1:P30"/>
  <sheetViews>
    <sheetView topLeftCell="A4" zoomScaleNormal="100" workbookViewId="0">
      <selection activeCell="G16" sqref="G16"/>
    </sheetView>
  </sheetViews>
  <sheetFormatPr baseColWidth="10" defaultRowHeight="15" x14ac:dyDescent="0.25"/>
  <cols>
    <col min="2" max="2" width="14.42578125" customWidth="1"/>
    <col min="3" max="3" width="11.5703125" customWidth="1"/>
    <col min="4" max="4" width="6.85546875" customWidth="1"/>
    <col min="5" max="5" width="6.28515625" customWidth="1"/>
    <col min="6" max="6" width="5.5703125" customWidth="1"/>
    <col min="7" max="7" width="6.42578125" customWidth="1"/>
    <col min="8" max="8" width="5.85546875" customWidth="1"/>
    <col min="9" max="9" width="6.140625" customWidth="1"/>
    <col min="10" max="10" width="3.7109375" customWidth="1"/>
    <col min="11" max="11" width="6.28515625" customWidth="1"/>
    <col min="12" max="12" width="5.28515625" customWidth="1"/>
    <col min="13" max="13" width="5.42578125" customWidth="1"/>
    <col min="14" max="14" width="6" customWidth="1"/>
    <col min="15" max="15" width="5.140625" customWidth="1"/>
    <col min="16" max="16" width="6.28515625" customWidth="1"/>
  </cols>
  <sheetData>
    <row r="1" spans="1:16" ht="26.25" customHeight="1" x14ac:dyDescent="0.25">
      <c r="A1" s="4"/>
      <c r="B1" s="34" t="s">
        <v>24</v>
      </c>
      <c r="C1" s="34" t="s">
        <v>25</v>
      </c>
      <c r="D1" s="34">
        <v>1</v>
      </c>
      <c r="E1" s="34">
        <v>2</v>
      </c>
      <c r="F1" s="34">
        <v>3</v>
      </c>
      <c r="G1" s="34">
        <v>4</v>
      </c>
      <c r="H1" s="34">
        <v>5</v>
      </c>
      <c r="I1" s="34">
        <v>6</v>
      </c>
      <c r="J1" s="34">
        <v>7</v>
      </c>
      <c r="K1" s="34">
        <v>8</v>
      </c>
      <c r="L1" s="34">
        <v>9</v>
      </c>
      <c r="M1" s="34">
        <v>10</v>
      </c>
      <c r="N1" s="34">
        <v>11</v>
      </c>
      <c r="O1" s="34">
        <v>12</v>
      </c>
      <c r="P1" s="35" t="s">
        <v>26</v>
      </c>
    </row>
    <row r="2" spans="1:16" ht="20.25" customHeight="1" x14ac:dyDescent="0.25">
      <c r="A2" s="4"/>
      <c r="B2" s="34" t="s">
        <v>102</v>
      </c>
      <c r="C2" s="34" t="s">
        <v>116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5">
        <f t="shared" ref="P2:P30" si="0">SUM(D2:O2)</f>
        <v>0</v>
      </c>
    </row>
    <row r="3" spans="1:16" ht="17.25" customHeight="1" x14ac:dyDescent="0.25">
      <c r="A3" s="4"/>
      <c r="B3" s="34" t="s">
        <v>107</v>
      </c>
      <c r="C3" s="34" t="s">
        <v>120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5">
        <f t="shared" si="0"/>
        <v>0</v>
      </c>
    </row>
    <row r="4" spans="1:16" ht="18" customHeight="1" x14ac:dyDescent="0.25">
      <c r="A4" s="4"/>
      <c r="B4" s="34" t="s">
        <v>112</v>
      </c>
      <c r="C4" s="34" t="s">
        <v>119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5">
        <f t="shared" si="0"/>
        <v>0</v>
      </c>
    </row>
    <row r="5" spans="1:16" ht="18.75" customHeight="1" x14ac:dyDescent="0.25">
      <c r="A5" s="4"/>
      <c r="B5" s="34" t="s">
        <v>111</v>
      </c>
      <c r="C5" s="34" t="s">
        <v>124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5">
        <f t="shared" si="0"/>
        <v>0</v>
      </c>
    </row>
    <row r="6" spans="1:16" ht="15.75" customHeight="1" x14ac:dyDescent="0.25">
      <c r="A6" s="4"/>
      <c r="B6" s="34" t="s">
        <v>105</v>
      </c>
      <c r="C6" s="34" t="s">
        <v>118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>
        <f t="shared" si="0"/>
        <v>0</v>
      </c>
    </row>
    <row r="7" spans="1:16" ht="17.25" customHeight="1" x14ac:dyDescent="0.25">
      <c r="A7" s="4"/>
      <c r="B7" s="34" t="s">
        <v>110</v>
      </c>
      <c r="C7" s="34" t="s">
        <v>123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5">
        <f t="shared" si="0"/>
        <v>0</v>
      </c>
    </row>
    <row r="8" spans="1:16" ht="14.25" customHeight="1" x14ac:dyDescent="0.25">
      <c r="A8" s="4"/>
      <c r="B8" s="34" t="s">
        <v>100</v>
      </c>
      <c r="C8" s="34" t="s">
        <v>114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5">
        <f t="shared" si="0"/>
        <v>0</v>
      </c>
    </row>
    <row r="9" spans="1:16" ht="16.5" customHeight="1" x14ac:dyDescent="0.25">
      <c r="A9" s="4"/>
      <c r="B9" s="34" t="s">
        <v>108</v>
      </c>
      <c r="C9" s="34" t="s">
        <v>121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>
        <f t="shared" si="0"/>
        <v>0</v>
      </c>
    </row>
    <row r="10" spans="1:16" ht="19.5" customHeight="1" x14ac:dyDescent="0.25">
      <c r="A10" s="4"/>
      <c r="B10" s="34" t="s">
        <v>104</v>
      </c>
      <c r="C10" s="34" t="s">
        <v>117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>
        <f t="shared" si="0"/>
        <v>0</v>
      </c>
    </row>
    <row r="11" spans="1:16" ht="17.25" customHeight="1" x14ac:dyDescent="0.25">
      <c r="A11" s="4"/>
      <c r="B11" s="34" t="s">
        <v>109</v>
      </c>
      <c r="C11" s="34" t="s">
        <v>122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>
        <f t="shared" si="0"/>
        <v>0</v>
      </c>
    </row>
    <row r="12" spans="1:16" ht="17.25" customHeight="1" x14ac:dyDescent="0.25">
      <c r="A12" s="4"/>
      <c r="B12" s="34" t="s">
        <v>101</v>
      </c>
      <c r="C12" s="34" t="s">
        <v>113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5">
        <f t="shared" si="0"/>
        <v>0</v>
      </c>
    </row>
    <row r="13" spans="1:16" ht="16.5" customHeight="1" x14ac:dyDescent="0.25">
      <c r="A13" s="4"/>
      <c r="B13" s="34" t="s">
        <v>106</v>
      </c>
      <c r="C13" s="34" t="s">
        <v>119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5">
        <f t="shared" si="0"/>
        <v>0</v>
      </c>
    </row>
    <row r="14" spans="1:16" ht="18" customHeight="1" x14ac:dyDescent="0.25">
      <c r="A14" s="4"/>
      <c r="B14" s="34" t="s">
        <v>103</v>
      </c>
      <c r="C14" s="34" t="s">
        <v>115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5">
        <f t="shared" si="0"/>
        <v>0</v>
      </c>
    </row>
    <row r="15" spans="1:16" ht="15.75" customHeight="1" x14ac:dyDescent="0.25">
      <c r="A15" s="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5">
        <f t="shared" si="0"/>
        <v>0</v>
      </c>
    </row>
    <row r="16" spans="1:16" ht="16.5" customHeight="1" x14ac:dyDescent="0.25">
      <c r="A16" s="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>
        <f t="shared" si="0"/>
        <v>0</v>
      </c>
    </row>
    <row r="17" spans="1:16" ht="16.5" customHeight="1" x14ac:dyDescent="0.25">
      <c r="A17" s="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>
        <f t="shared" si="0"/>
        <v>0</v>
      </c>
    </row>
    <row r="18" spans="1:16" ht="16.5" customHeight="1" x14ac:dyDescent="0.25">
      <c r="A18" s="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>
        <f t="shared" si="0"/>
        <v>0</v>
      </c>
    </row>
    <row r="19" spans="1:16" ht="13.5" customHeight="1" x14ac:dyDescent="0.25">
      <c r="A19" s="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5">
        <f t="shared" si="0"/>
        <v>0</v>
      </c>
    </row>
    <row r="20" spans="1:16" ht="22.5" customHeight="1" x14ac:dyDescent="0.25">
      <c r="A20" s="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>
        <f t="shared" si="0"/>
        <v>0</v>
      </c>
    </row>
    <row r="21" spans="1:16" ht="22.5" customHeight="1" x14ac:dyDescent="0.25">
      <c r="A21" s="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>
        <f t="shared" si="0"/>
        <v>0</v>
      </c>
    </row>
    <row r="22" spans="1:16" ht="22.5" customHeight="1" x14ac:dyDescent="0.25">
      <c r="A22" s="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>
        <f t="shared" si="0"/>
        <v>0</v>
      </c>
    </row>
    <row r="23" spans="1:16" ht="22.5" customHeight="1" x14ac:dyDescent="0.25">
      <c r="A23" s="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5">
        <f t="shared" si="0"/>
        <v>0</v>
      </c>
    </row>
    <row r="24" spans="1:16" ht="22.5" customHeight="1" x14ac:dyDescent="0.25"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6">
        <f t="shared" si="0"/>
        <v>0</v>
      </c>
    </row>
    <row r="25" spans="1:16" ht="22.5" customHeight="1" x14ac:dyDescent="0.25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5">
        <f t="shared" si="0"/>
        <v>0</v>
      </c>
    </row>
    <row r="26" spans="1:16" ht="22.5" customHeight="1" x14ac:dyDescent="0.25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5">
        <f t="shared" si="0"/>
        <v>0</v>
      </c>
    </row>
    <row r="27" spans="1:16" ht="22.5" customHeight="1" x14ac:dyDescent="0.25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5">
        <f t="shared" si="0"/>
        <v>0</v>
      </c>
    </row>
    <row r="28" spans="1:16" ht="22.5" customHeight="1" x14ac:dyDescent="0.25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5">
        <f t="shared" si="0"/>
        <v>0</v>
      </c>
    </row>
    <row r="29" spans="1:16" ht="22.5" customHeight="1" x14ac:dyDescent="0.25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5">
        <f t="shared" si="0"/>
        <v>0</v>
      </c>
    </row>
    <row r="30" spans="1:16" ht="22.5" customHeight="1" x14ac:dyDescent="0.25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5">
        <f t="shared" si="0"/>
        <v>0</v>
      </c>
    </row>
  </sheetData>
  <autoFilter ref="B1:B30" xr:uid="{17A17280-FE51-4DCA-8CA1-6423F2AF5545}">
    <sortState xmlns:xlrd2="http://schemas.microsoft.com/office/spreadsheetml/2017/richdata2" ref="B2:P30">
      <sortCondition ref="B1:B30"/>
    </sortState>
  </autoFilter>
  <pageMargins left="0.25" right="0.25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J23"/>
  <sheetViews>
    <sheetView view="pageBreakPreview" zoomScale="60" zoomScaleNormal="100" workbookViewId="0">
      <selection activeCell="J2" sqref="J2"/>
    </sheetView>
  </sheetViews>
  <sheetFormatPr baseColWidth="10" defaultRowHeight="15" x14ac:dyDescent="0.25"/>
  <cols>
    <col min="9" max="9" width="11.42578125" customWidth="1"/>
  </cols>
  <sheetData>
    <row r="1" spans="1:10" ht="39" customHeight="1" x14ac:dyDescent="0.25">
      <c r="A1" s="8" t="s">
        <v>7</v>
      </c>
      <c r="B1" s="9" t="s">
        <v>6</v>
      </c>
      <c r="C1" s="9" t="s">
        <v>4</v>
      </c>
      <c r="D1" s="8" t="s">
        <v>5</v>
      </c>
      <c r="E1" s="8" t="s">
        <v>3</v>
      </c>
      <c r="F1" s="8" t="s">
        <v>1</v>
      </c>
      <c r="G1" s="8" t="s">
        <v>0</v>
      </c>
      <c r="H1" s="8" t="s">
        <v>9</v>
      </c>
      <c r="I1" s="11" t="s">
        <v>2</v>
      </c>
      <c r="J1" s="8" t="s">
        <v>87</v>
      </c>
    </row>
    <row r="2" spans="1:10" ht="38.25" customHeight="1" x14ac:dyDescent="0.25">
      <c r="A2" s="5"/>
      <c r="B2" s="6"/>
      <c r="C2" s="6"/>
      <c r="D2" s="7"/>
      <c r="E2" s="5"/>
      <c r="F2" s="5"/>
      <c r="G2" s="5"/>
      <c r="H2" s="5"/>
      <c r="I2" s="5"/>
      <c r="J2" s="5"/>
    </row>
    <row r="3" spans="1:10" ht="38.25" customHeight="1" x14ac:dyDescent="0.25">
      <c r="A3" s="5"/>
      <c r="B3" s="6"/>
      <c r="C3" s="6"/>
      <c r="D3" s="7"/>
      <c r="E3" s="5"/>
      <c r="F3" s="5"/>
      <c r="G3" s="5"/>
      <c r="H3" s="5"/>
      <c r="I3" s="5"/>
      <c r="J3" s="5"/>
    </row>
    <row r="4" spans="1:10" ht="38.25" customHeight="1" x14ac:dyDescent="0.25">
      <c r="A4" s="5"/>
      <c r="B4" s="6"/>
      <c r="C4" s="6"/>
      <c r="D4" s="7"/>
      <c r="E4" s="5"/>
      <c r="F4" s="5"/>
      <c r="G4" s="5"/>
      <c r="H4" s="5"/>
      <c r="I4" s="5"/>
      <c r="J4" s="5"/>
    </row>
    <row r="5" spans="1:10" ht="38.25" customHeight="1" x14ac:dyDescent="0.25">
      <c r="A5" s="5"/>
      <c r="B5" s="6"/>
      <c r="C5" s="6"/>
      <c r="D5" s="7"/>
      <c r="E5" s="5"/>
      <c r="F5" s="5"/>
      <c r="G5" s="5"/>
      <c r="H5" s="5"/>
      <c r="I5" s="5"/>
      <c r="J5" s="5"/>
    </row>
    <row r="6" spans="1:10" ht="38.25" customHeight="1" x14ac:dyDescent="0.25">
      <c r="A6" s="5"/>
      <c r="B6" s="6"/>
      <c r="C6" s="6"/>
      <c r="D6" s="7"/>
      <c r="E6" s="5"/>
      <c r="F6" s="5"/>
      <c r="G6" s="5"/>
      <c r="H6" s="5"/>
      <c r="I6" s="5"/>
      <c r="J6" s="5"/>
    </row>
    <row r="7" spans="1:10" ht="38.25" customHeight="1" x14ac:dyDescent="0.25">
      <c r="A7" s="5"/>
      <c r="B7" s="6"/>
      <c r="C7" s="6"/>
      <c r="D7" s="7"/>
      <c r="E7" s="5"/>
      <c r="F7" s="5"/>
      <c r="G7" s="5"/>
      <c r="H7" s="5"/>
      <c r="I7" s="5"/>
      <c r="J7" s="5"/>
    </row>
    <row r="8" spans="1:10" ht="38.25" customHeight="1" x14ac:dyDescent="0.25">
      <c r="A8" s="5"/>
      <c r="B8" s="6"/>
      <c r="C8" s="6"/>
      <c r="D8" s="7"/>
      <c r="E8" s="5"/>
      <c r="F8" s="5"/>
      <c r="G8" s="5"/>
      <c r="H8" s="5"/>
      <c r="I8" s="5"/>
      <c r="J8" s="5"/>
    </row>
    <row r="9" spans="1:10" ht="38.25" customHeight="1" x14ac:dyDescent="0.25">
      <c r="A9" s="5"/>
      <c r="B9" s="6"/>
      <c r="C9" s="6"/>
      <c r="D9" s="7"/>
      <c r="E9" s="5"/>
      <c r="F9" s="5"/>
      <c r="G9" s="5"/>
      <c r="H9" s="5"/>
      <c r="I9" s="5"/>
      <c r="J9" s="5"/>
    </row>
    <row r="10" spans="1:10" ht="38.25" customHeight="1" x14ac:dyDescent="0.25">
      <c r="A10" s="5"/>
      <c r="B10" s="6"/>
      <c r="C10" s="6"/>
      <c r="D10" s="7"/>
      <c r="E10" s="5"/>
      <c r="F10" s="5"/>
      <c r="G10" s="5"/>
      <c r="H10" s="5"/>
      <c r="I10" s="5"/>
      <c r="J10" s="5"/>
    </row>
    <row r="11" spans="1:10" ht="38.25" customHeight="1" x14ac:dyDescent="0.25">
      <c r="A11" s="5"/>
      <c r="B11" s="6"/>
      <c r="C11" s="6"/>
      <c r="D11" s="7"/>
      <c r="E11" s="5"/>
      <c r="F11" s="5"/>
      <c r="G11" s="5"/>
      <c r="H11" s="5"/>
      <c r="I11" s="5"/>
      <c r="J11" s="5"/>
    </row>
    <row r="12" spans="1:10" ht="38.25" customHeight="1" x14ac:dyDescent="0.25">
      <c r="A12" s="5"/>
      <c r="B12" s="6"/>
      <c r="C12" s="6"/>
      <c r="D12" s="7"/>
      <c r="E12" s="5"/>
      <c r="F12" s="5"/>
      <c r="G12" s="5"/>
      <c r="H12" s="5"/>
      <c r="I12" s="5"/>
      <c r="J12" s="5"/>
    </row>
    <row r="13" spans="1:10" ht="38.25" customHeight="1" x14ac:dyDescent="0.25">
      <c r="A13" s="5"/>
      <c r="B13" s="6"/>
      <c r="C13" s="6"/>
      <c r="D13" s="7"/>
      <c r="E13" s="5"/>
      <c r="F13" s="5"/>
      <c r="G13" s="5"/>
      <c r="H13" s="5"/>
      <c r="I13" s="5"/>
      <c r="J13" s="5"/>
    </row>
    <row r="14" spans="1:10" ht="38.25" customHeight="1" x14ac:dyDescent="0.25">
      <c r="A14" s="5"/>
      <c r="B14" s="6"/>
      <c r="C14" s="6"/>
      <c r="D14" s="7"/>
      <c r="E14" s="5"/>
      <c r="F14" s="5"/>
      <c r="G14" s="5"/>
      <c r="H14" s="5"/>
      <c r="I14" s="5"/>
      <c r="J14" s="5"/>
    </row>
    <row r="15" spans="1:10" ht="38.25" customHeight="1" x14ac:dyDescent="0.25">
      <c r="A15" s="5"/>
      <c r="B15" s="6"/>
      <c r="C15" s="6"/>
      <c r="D15" s="7"/>
      <c r="E15" s="5"/>
      <c r="F15" s="5"/>
      <c r="G15" s="5"/>
      <c r="H15" s="5"/>
      <c r="I15" s="5"/>
      <c r="J15" s="5"/>
    </row>
    <row r="16" spans="1:10" ht="38.25" customHeight="1" x14ac:dyDescent="0.25">
      <c r="A16" s="5"/>
      <c r="B16" s="6"/>
      <c r="C16" s="6"/>
      <c r="D16" s="7"/>
      <c r="E16" s="5"/>
      <c r="F16" s="5"/>
      <c r="G16" s="5"/>
      <c r="H16" s="5"/>
      <c r="I16" s="5"/>
      <c r="J16" s="5"/>
    </row>
    <row r="17" spans="1:10" ht="38.25" customHeight="1" x14ac:dyDescent="0.25">
      <c r="A17" s="5"/>
      <c r="B17" s="6"/>
      <c r="C17" s="6"/>
      <c r="D17" s="7"/>
      <c r="E17" s="5"/>
      <c r="F17" s="5"/>
      <c r="G17" s="5"/>
      <c r="H17" s="5"/>
      <c r="I17" s="5"/>
      <c r="J17" s="5"/>
    </row>
    <row r="18" spans="1:10" ht="38.25" customHeight="1" x14ac:dyDescent="0.25">
      <c r="A18" s="5"/>
      <c r="B18" s="6"/>
      <c r="C18" s="6"/>
      <c r="D18" s="7"/>
      <c r="E18" s="5"/>
      <c r="F18" s="5"/>
      <c r="G18" s="5"/>
      <c r="H18" s="5"/>
      <c r="I18" s="5"/>
      <c r="J18" s="5"/>
    </row>
    <row r="19" spans="1:10" ht="38.25" customHeight="1" x14ac:dyDescent="0.25">
      <c r="A19" s="5"/>
      <c r="B19" s="6"/>
      <c r="C19" s="6"/>
      <c r="D19" s="7"/>
      <c r="E19" s="5"/>
      <c r="F19" s="5"/>
      <c r="G19" s="5"/>
      <c r="H19" s="5"/>
      <c r="I19" s="5"/>
      <c r="J19" s="5"/>
    </row>
    <row r="20" spans="1:10" ht="38.25" customHeight="1" x14ac:dyDescent="0.25">
      <c r="A20" s="5"/>
      <c r="B20" s="6"/>
      <c r="C20" s="6"/>
      <c r="D20" s="7"/>
      <c r="E20" s="5"/>
      <c r="F20" s="5"/>
      <c r="G20" s="5"/>
      <c r="H20" s="5"/>
      <c r="I20" s="5"/>
    </row>
    <row r="21" spans="1:10" ht="38.25" customHeight="1" x14ac:dyDescent="0.25">
      <c r="A21" s="5"/>
      <c r="B21" s="6"/>
      <c r="C21" s="6"/>
      <c r="D21" s="7"/>
      <c r="E21" s="5"/>
      <c r="F21" s="5"/>
      <c r="G21" s="5"/>
      <c r="H21" s="5"/>
      <c r="I21" s="5"/>
      <c r="J21" s="5"/>
    </row>
    <row r="22" spans="1:10" ht="38.25" customHeight="1" x14ac:dyDescent="0.25">
      <c r="A22" s="5"/>
      <c r="B22" s="6"/>
      <c r="C22" s="6"/>
      <c r="D22" s="7"/>
      <c r="E22" s="5"/>
      <c r="F22" s="5"/>
      <c r="G22" s="5"/>
      <c r="H22" s="5"/>
      <c r="I22" s="5"/>
      <c r="J22" s="5"/>
    </row>
    <row r="23" spans="1:10" ht="38.25" customHeight="1" x14ac:dyDescent="0.25">
      <c r="A23" s="5"/>
      <c r="B23" s="6"/>
      <c r="C23" s="6"/>
      <c r="D23" s="7"/>
      <c r="E23" s="5"/>
      <c r="F23" s="5"/>
      <c r="G23" s="5"/>
      <c r="H23" s="5"/>
      <c r="I23" s="5"/>
    </row>
  </sheetData>
  <pageMargins left="0.23622047244094491" right="0.23622047244094491" top="0.74803149606299213" bottom="0.74803149606299213" header="0.31496062992125984" footer="0.31496062992125984"/>
  <pageSetup paperSize="9" scale="90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A049-F768-4D2E-8856-13F62828D1CE}">
  <sheetPr codeName="Hoja5"/>
  <dimension ref="A1:R21"/>
  <sheetViews>
    <sheetView workbookViewId="0">
      <selection activeCell="G11" sqref="G11"/>
    </sheetView>
  </sheetViews>
  <sheetFormatPr baseColWidth="10" defaultRowHeight="15" x14ac:dyDescent="0.25"/>
  <cols>
    <col min="1" max="1" width="20.140625" style="1" bestFit="1" customWidth="1"/>
    <col min="2" max="2" width="11.42578125" style="1"/>
    <col min="3" max="4" width="11.85546875" style="1" customWidth="1"/>
    <col min="5" max="5" width="10.85546875" style="1" customWidth="1"/>
    <col min="6" max="6" width="11.42578125" style="1" customWidth="1"/>
    <col min="7" max="7" width="11.7109375" style="1" customWidth="1"/>
    <col min="8" max="8" width="10" customWidth="1"/>
    <col min="11" max="11" width="12.42578125" customWidth="1"/>
    <col min="14" max="14" width="10.28515625" customWidth="1"/>
    <col min="15" max="15" width="12.140625" customWidth="1"/>
    <col min="17" max="17" width="12.140625" customWidth="1"/>
    <col min="18" max="18" width="12.85546875" customWidth="1"/>
  </cols>
  <sheetData>
    <row r="1" spans="1:18" ht="48" customHeight="1" x14ac:dyDescent="0.25">
      <c r="A1" s="26" t="s">
        <v>27</v>
      </c>
      <c r="B1" s="27">
        <v>46151</v>
      </c>
      <c r="C1" s="28" t="s">
        <v>38</v>
      </c>
      <c r="D1" s="28" t="s">
        <v>39</v>
      </c>
      <c r="E1" s="28" t="s">
        <v>50</v>
      </c>
      <c r="F1" s="28" t="s">
        <v>40</v>
      </c>
      <c r="G1" s="101" t="s">
        <v>41</v>
      </c>
      <c r="H1" s="106" t="s">
        <v>246</v>
      </c>
      <c r="I1" s="104" t="s">
        <v>247</v>
      </c>
      <c r="J1" s="35" t="s">
        <v>54</v>
      </c>
      <c r="K1" s="35" t="s">
        <v>44</v>
      </c>
      <c r="L1" s="35" t="s">
        <v>42</v>
      </c>
      <c r="M1" s="35" t="s">
        <v>55</v>
      </c>
      <c r="N1" s="36" t="s">
        <v>255</v>
      </c>
      <c r="O1" s="71" t="s">
        <v>56</v>
      </c>
      <c r="Q1" s="54"/>
      <c r="R1" s="54"/>
    </row>
    <row r="2" spans="1:18" ht="19.5" thickBot="1" x14ac:dyDescent="0.3">
      <c r="A2" s="26" t="s">
        <v>19</v>
      </c>
      <c r="B2" s="26">
        <v>2</v>
      </c>
      <c r="C2" s="29"/>
      <c r="D2" s="29"/>
      <c r="E2" s="29"/>
      <c r="F2" s="96" t="s">
        <v>250</v>
      </c>
      <c r="G2" s="102"/>
      <c r="H2" s="128">
        <v>0</v>
      </c>
      <c r="J2" s="24" t="s">
        <v>53</v>
      </c>
      <c r="K2" s="24">
        <f>+(F7*70)+(G7*80)</f>
        <v>0</v>
      </c>
      <c r="L2" s="24">
        <f>+K2*16</f>
        <v>0</v>
      </c>
      <c r="M2" s="24">
        <f>+K2*15</f>
        <v>0</v>
      </c>
      <c r="N2" s="24"/>
      <c r="O2" s="72"/>
      <c r="Q2" s="53"/>
      <c r="R2" s="53"/>
    </row>
    <row r="3" spans="1:18" ht="19.5" thickBot="1" x14ac:dyDescent="0.3">
      <c r="A3" s="29" t="s">
        <v>28</v>
      </c>
      <c r="B3" s="29"/>
      <c r="C3" s="29"/>
      <c r="D3" s="29"/>
      <c r="E3" s="95"/>
      <c r="F3" s="134" t="s">
        <v>249</v>
      </c>
      <c r="G3" s="135"/>
      <c r="H3" s="117">
        <v>0</v>
      </c>
      <c r="J3" s="24" t="s">
        <v>52</v>
      </c>
      <c r="K3" s="24">
        <f>+(C7*63)+(D7*72)+(I6+H6)-H3</f>
        <v>5000</v>
      </c>
      <c r="L3" s="24">
        <f>+K3*19</f>
        <v>95000</v>
      </c>
      <c r="M3" s="24">
        <f>+K3*18</f>
        <v>90000</v>
      </c>
      <c r="N3" s="24"/>
      <c r="O3" s="72"/>
      <c r="Q3" s="53"/>
      <c r="R3" s="53"/>
    </row>
    <row r="4" spans="1:18" ht="19.5" thickBot="1" x14ac:dyDescent="0.3">
      <c r="A4" s="29" t="s">
        <v>29</v>
      </c>
      <c r="B4" s="29"/>
      <c r="C4" s="29">
        <v>30</v>
      </c>
      <c r="D4" s="29">
        <v>6</v>
      </c>
      <c r="E4" s="29"/>
      <c r="F4" s="97"/>
      <c r="G4" s="103"/>
      <c r="H4" s="108">
        <f>(C4*63)+(D4*72)+(F4*70)+(G4*80)</f>
        <v>2322</v>
      </c>
      <c r="J4" s="24" t="s">
        <v>51</v>
      </c>
      <c r="K4" s="24">
        <f>+E7</f>
        <v>0</v>
      </c>
      <c r="L4" s="24">
        <f>+K4*6.4</f>
        <v>0</v>
      </c>
      <c r="M4" s="24">
        <f>+K4*6</f>
        <v>0</v>
      </c>
      <c r="N4" s="24"/>
      <c r="O4" s="72"/>
      <c r="Q4" s="53"/>
      <c r="R4" s="53"/>
    </row>
    <row r="5" spans="1:18" ht="32.25" customHeight="1" thickBot="1" x14ac:dyDescent="0.3">
      <c r="A5" s="29" t="s">
        <v>30</v>
      </c>
      <c r="B5" s="29"/>
      <c r="C5" s="29">
        <v>29</v>
      </c>
      <c r="D5" s="29">
        <v>11</v>
      </c>
      <c r="E5" s="29"/>
      <c r="F5" s="96"/>
      <c r="G5" s="102">
        <v>8</v>
      </c>
      <c r="H5" s="107">
        <f>+(C5*63)+(D5*72)+(F5*70)+(G5*80)</f>
        <v>3259</v>
      </c>
      <c r="I5" s="93" t="s">
        <v>99</v>
      </c>
      <c r="J5" s="112"/>
      <c r="K5" s="69"/>
      <c r="L5" s="69">
        <f>+L4+L3+L2</f>
        <v>95000</v>
      </c>
      <c r="M5" s="69">
        <f>SUM(M2:M4)</f>
        <v>90000</v>
      </c>
      <c r="N5" s="70">
        <f>+(L5/I12)*100</f>
        <v>75.075075075075077</v>
      </c>
      <c r="O5" s="73">
        <f>+(M5/I12)*100</f>
        <v>71.12375533428164</v>
      </c>
      <c r="Q5" s="53"/>
      <c r="R5" s="53"/>
    </row>
    <row r="6" spans="1:18" ht="19.5" thickBot="1" x14ac:dyDescent="0.3">
      <c r="A6" s="29" t="s">
        <v>31</v>
      </c>
      <c r="B6" s="29"/>
      <c r="C6" s="29"/>
      <c r="D6" s="29"/>
      <c r="E6" s="95"/>
      <c r="F6" s="98" t="s">
        <v>248</v>
      </c>
      <c r="G6" s="99"/>
      <c r="H6" s="117">
        <v>59</v>
      </c>
      <c r="I6" s="94"/>
      <c r="J6" s="136" t="s">
        <v>254</v>
      </c>
      <c r="K6" s="137"/>
      <c r="L6" s="121"/>
      <c r="M6" s="125" t="s">
        <v>949</v>
      </c>
      <c r="N6" s="126">
        <f>+((H12-(H13*1.085))/H12)*100</f>
        <v>76.523391812865498</v>
      </c>
      <c r="Q6" s="53"/>
      <c r="R6" s="53"/>
    </row>
    <row r="7" spans="1:18" ht="19.5" thickBot="1" x14ac:dyDescent="0.3">
      <c r="A7" s="29" t="s">
        <v>32</v>
      </c>
      <c r="B7" s="29"/>
      <c r="C7" s="29">
        <f>SUM(C2:C6)</f>
        <v>59</v>
      </c>
      <c r="D7" s="29">
        <f t="shared" ref="D7" si="0">SUM(D2:D6)</f>
        <v>17</v>
      </c>
      <c r="E7" s="29">
        <f>+E6+E5</f>
        <v>0</v>
      </c>
      <c r="F7" s="97">
        <f>SUM(F2:F6)</f>
        <v>0</v>
      </c>
      <c r="G7" s="103"/>
      <c r="H7" s="108">
        <f>+H5+H4+H6</f>
        <v>5640</v>
      </c>
      <c r="K7" s="130" t="s">
        <v>211</v>
      </c>
      <c r="L7" s="131"/>
      <c r="M7" s="132"/>
      <c r="N7" s="132"/>
      <c r="O7" s="133"/>
      <c r="Q7" s="53"/>
      <c r="R7" s="53"/>
    </row>
    <row r="8" spans="1:18" ht="27" customHeight="1" x14ac:dyDescent="0.25">
      <c r="A8" s="30"/>
      <c r="B8" s="30"/>
      <c r="C8" s="30"/>
      <c r="D8" s="30"/>
      <c r="E8" s="30"/>
      <c r="F8" s="68" t="s">
        <v>189</v>
      </c>
      <c r="G8" s="68">
        <v>84</v>
      </c>
      <c r="H8" s="109"/>
      <c r="K8" s="78" t="s">
        <v>43</v>
      </c>
      <c r="L8" s="77" t="s">
        <v>205</v>
      </c>
      <c r="M8" s="77" t="s">
        <v>206</v>
      </c>
      <c r="N8" s="77" t="s">
        <v>207</v>
      </c>
      <c r="O8" s="79" t="s">
        <v>210</v>
      </c>
    </row>
    <row r="9" spans="1:18" ht="18.75" x14ac:dyDescent="0.25">
      <c r="A9" s="29" t="s">
        <v>33</v>
      </c>
      <c r="B9" s="29"/>
      <c r="C9" s="29"/>
      <c r="D9" s="29"/>
      <c r="E9" s="29"/>
      <c r="F9" s="29"/>
      <c r="G9" s="95"/>
      <c r="H9" s="110">
        <f>+H4+I6</f>
        <v>2322</v>
      </c>
      <c r="K9" s="80" t="s">
        <v>21</v>
      </c>
      <c r="L9" s="76">
        <f>+SUMIFS('Produccion por productor'!J:J,'Produccion por productor'!A:A,RESUMEN!$B$1,'Produccion por productor'!B:B,RESUMEN!$B$2,'Produccion por productor'!C:C,RESUMEN!K9)</f>
        <v>25160</v>
      </c>
      <c r="M9" s="76">
        <f>+SUMIFS('Produccion por productor'!H:H,'Produccion por productor'!A:A,RESUMEN!$B$1,'Produccion por productor'!B:B,RESUMEN!$B$2,'Produccion por productor'!C:C,RESUMEN!K9)</f>
        <v>12568.5</v>
      </c>
      <c r="N9" s="76">
        <f>+SUMIFS('Produccion por productor'!L:L,'Produccion por productor'!A:A,RESUMEN!$B$1,'Produccion por productor'!B:B,RESUMEN!$B$2,'Produccion por productor'!C:C,RESUMEN!K9)-(SUMIFS('Produccion por productor'!K:K,'Produccion por productor'!A:A,RESUMEN!$B$1,'Produccion por productor'!B:B,RESUMEN!$B$2,'Produccion por productor'!C:C,RESUMEN!K9))</f>
        <v>360</v>
      </c>
      <c r="O9" s="81">
        <f>+((M9+N9)/L9)*100</f>
        <v>51.385135135135144</v>
      </c>
    </row>
    <row r="10" spans="1:18" ht="18.75" x14ac:dyDescent="0.25">
      <c r="A10" s="29" t="s">
        <v>34</v>
      </c>
      <c r="B10" s="29"/>
      <c r="C10" s="29"/>
      <c r="D10" s="29"/>
      <c r="E10" s="29"/>
      <c r="F10" s="29"/>
      <c r="G10" s="95"/>
      <c r="H10" s="110">
        <f>+SUMIFS(EMBALADO!Q:Q,EMBALADO!A:A,RESUMEN!B1,EMBALADO!B:B,RESUMEN!B2)</f>
        <v>3272</v>
      </c>
      <c r="K10" s="82" t="s">
        <v>22</v>
      </c>
      <c r="L10" s="75">
        <f>+SUMIFS('Produccion por productor'!J:J,'Produccion por productor'!A:A,RESUMEN!$B$1,'Produccion por productor'!B:B,RESUMEN!$B$2,'Produccion por productor'!C:C,RESUMEN!K10)</f>
        <v>0</v>
      </c>
      <c r="M10" s="75">
        <f>+SUMIFS('Produccion por productor'!H:H,'Produccion por productor'!A:A,RESUMEN!$B$1,'Produccion por productor'!B:B,RESUMEN!$B$2,'Produccion por productor'!C:C,RESUMEN!K10)</f>
        <v>0</v>
      </c>
      <c r="N10" s="75">
        <f>+SUMIFS('Produccion por productor'!L:L,'Produccion por productor'!A:A,RESUMEN!$B$1,'Produccion por productor'!B:B,RESUMEN!$B$2,'Produccion por productor'!C:C,RESUMEN!K10)-(SUMIFS('Produccion por productor'!K:K,'Produccion por productor'!A:A,RESUMEN!$B$1,'Produccion por productor'!B:B,RESUMEN!$B$2,'Produccion por productor'!C:C,RESUMEN!K10))</f>
        <v>0</v>
      </c>
      <c r="O10" s="83" t="e">
        <f t="shared" ref="O10:O13" si="1">+((M10+N10)/L10)*100</f>
        <v>#DIV/0!</v>
      </c>
    </row>
    <row r="11" spans="1:18" ht="18.75" x14ac:dyDescent="0.25">
      <c r="A11" s="29" t="s">
        <v>35</v>
      </c>
      <c r="B11" s="29"/>
      <c r="C11" s="29"/>
      <c r="D11" s="29"/>
      <c r="E11" s="29"/>
      <c r="F11" s="29"/>
      <c r="G11" s="95"/>
      <c r="H11" s="110">
        <f>+H7-H9-H10-L6</f>
        <v>46</v>
      </c>
      <c r="I11" s="105" t="s">
        <v>42</v>
      </c>
      <c r="K11" s="80" t="s">
        <v>67</v>
      </c>
      <c r="L11" s="76">
        <f>+SUMIFS('Produccion por productor'!J:J,'Produccion por productor'!A:A,RESUMEN!$B$1,'Produccion por productor'!B:B,RESUMEN!$B$2,'Produccion por productor'!C:C,RESUMEN!K11)</f>
        <v>80290</v>
      </c>
      <c r="M11" s="76">
        <f>+SUMIFS('Produccion por productor'!H:H,'Produccion por productor'!A:A,RESUMEN!$B$1,'Produccion por productor'!B:B,RESUMEN!$B$2,'Produccion por productor'!C:C,RESUMEN!K11)</f>
        <v>64619.1</v>
      </c>
      <c r="N11" s="76">
        <f>+SUMIFS('Produccion por productor'!L:L,'Produccion por productor'!A:A,RESUMEN!$B$1,'Produccion por productor'!B:B,RESUMEN!$B$2,'Produccion por productor'!C:C,RESUMEN!K11)-(SUMIFS('Produccion por productor'!K:K,'Produccion por productor'!A:A,RESUMEN!$B$1,'Produccion por productor'!B:B,RESUMEN!$B$2,'Produccion por productor'!C:C,RESUMEN!K11))</f>
        <v>0</v>
      </c>
      <c r="O11" s="81">
        <f t="shared" si="1"/>
        <v>80.482127288578894</v>
      </c>
    </row>
    <row r="12" spans="1:18" ht="18.75" x14ac:dyDescent="0.25">
      <c r="A12" s="29" t="s">
        <v>36</v>
      </c>
      <c r="B12" s="29"/>
      <c r="C12" s="29"/>
      <c r="D12" s="29"/>
      <c r="E12" s="29"/>
      <c r="F12" s="29"/>
      <c r="G12" s="95"/>
      <c r="H12" s="110">
        <f>+SUMIFS('VOLCADO '!H:H,'VOLCADO '!B:B,RESUMEN!B2,'VOLCADO '!C:C,RESUMEN!B1)</f>
        <v>342</v>
      </c>
      <c r="I12" s="92">
        <f>+H12*370</f>
        <v>126540</v>
      </c>
      <c r="K12" s="82" t="s">
        <v>20</v>
      </c>
      <c r="L12" s="75">
        <f>+SUMIFS('Produccion por productor'!J:J,'Produccion por productor'!A:A,RESUMEN!$B$1,'Produccion por productor'!B:B,RESUMEN!$B$2,'Produccion por productor'!C:C,RESUMEN!K12)</f>
        <v>0</v>
      </c>
      <c r="M12" s="75">
        <f>+SUMIFS('Produccion por productor'!H:H,'Produccion por productor'!A:A,RESUMEN!$B$1,'Produccion por productor'!B:B,RESUMEN!$B$2,'Produccion por productor'!C:C,RESUMEN!K12)</f>
        <v>0</v>
      </c>
      <c r="N12" s="75">
        <f>+SUMIFS('Produccion por productor'!L:L,'Produccion por productor'!A:A,RESUMEN!$B$1,'Produccion por productor'!B:B,RESUMEN!$B$2,'Produccion por productor'!C:C,RESUMEN!K12)-(SUMIFS('Produccion por productor'!K:K,'Produccion por productor'!A:A,RESUMEN!$B$1,'Produccion por productor'!B:B,RESUMEN!$B$2,'Produccion por productor'!C:C,RESUMEN!K12))</f>
        <v>0</v>
      </c>
      <c r="O12" s="83" t="e">
        <f t="shared" si="1"/>
        <v>#DIV/0!</v>
      </c>
    </row>
    <row r="13" spans="1:18" ht="19.5" thickBot="1" x14ac:dyDescent="0.3">
      <c r="A13" s="29" t="s">
        <v>37</v>
      </c>
      <c r="B13" s="29"/>
      <c r="C13" s="29"/>
      <c r="D13" s="29"/>
      <c r="E13" s="29"/>
      <c r="F13" s="29"/>
      <c r="G13" s="95"/>
      <c r="H13" s="111">
        <f>+SUMIFS(DESCARTES!D:D,DESCARTES!A:A,RESUMEN!B1,DESCARTES!B:B,RESUMEN!B2)</f>
        <v>74</v>
      </c>
      <c r="I13" s="92">
        <f>+H13*400</f>
        <v>29600</v>
      </c>
      <c r="K13" s="84" t="s">
        <v>185</v>
      </c>
      <c r="L13" s="85">
        <f>+SUMIFS('Produccion por productor'!J:J,'Produccion por productor'!A:A,RESUMEN!B1,'Produccion por productor'!B:B,RESUMEN!B2,'Produccion por productor'!C:C,RESUMEN!K13)</f>
        <v>21090</v>
      </c>
      <c r="M13" s="85">
        <f>+SUMIFS('Produccion por productor'!H:H,'Produccion por productor'!A:A,RESUMEN!$B$1,'Produccion por productor'!B:B,RESUMEN!$B$2,'Produccion por productor'!C:C,RESUMEN!K13)</f>
        <v>14351.4</v>
      </c>
      <c r="N13" s="85">
        <f>+SUMIFS('Produccion por productor'!L:L,'Produccion por productor'!A:A,RESUMEN!$B$1,'Produccion por productor'!B:B,RESUMEN!$B$2,'Produccion por productor'!C:C,RESUMEN!K13)-(SUMIFS('Produccion por productor'!K:K,'Produccion por productor'!A:A,RESUMEN!$B$1,'Produccion por productor'!B:B,RESUMEN!$B$2,'Produccion por productor'!C:C,RESUMEN!K13))</f>
        <v>585</v>
      </c>
      <c r="O13" s="86">
        <f t="shared" si="1"/>
        <v>70.822190611664297</v>
      </c>
    </row>
    <row r="14" spans="1:18" ht="18.75" x14ac:dyDescent="0.25">
      <c r="A14" s="29" t="s">
        <v>96</v>
      </c>
      <c r="B14" s="29" t="s">
        <v>33</v>
      </c>
      <c r="C14" s="29" t="s">
        <v>97</v>
      </c>
      <c r="D14" s="29"/>
    </row>
    <row r="15" spans="1:18" x14ac:dyDescent="0.25">
      <c r="J15">
        <f>40*1.085</f>
        <v>43.4</v>
      </c>
    </row>
    <row r="16" spans="1:18" x14ac:dyDescent="0.25">
      <c r="I16">
        <f>2762/63</f>
        <v>43.841269841269842</v>
      </c>
      <c r="O16">
        <f>23850/8</f>
        <v>2981.25</v>
      </c>
    </row>
    <row r="17" spans="11:15" x14ac:dyDescent="0.25">
      <c r="O17">
        <f>+O16*12</f>
        <v>35775</v>
      </c>
    </row>
    <row r="18" spans="11:15" x14ac:dyDescent="0.25">
      <c r="K18">
        <f>+H12*370</f>
        <v>126540</v>
      </c>
    </row>
    <row r="19" spans="11:15" x14ac:dyDescent="0.25">
      <c r="K19">
        <f>55*420</f>
        <v>23100</v>
      </c>
    </row>
    <row r="20" spans="11:15" x14ac:dyDescent="0.25">
      <c r="K20">
        <f>+K18-K19</f>
        <v>103440</v>
      </c>
    </row>
    <row r="21" spans="11:15" x14ac:dyDescent="0.25">
      <c r="K21">
        <f>+(K20/K18)*100</f>
        <v>81.74490279753438</v>
      </c>
    </row>
  </sheetData>
  <sheetProtection algorithmName="SHA-512" hashValue="U9D7fZUFPP4vBe1SFOJSaqUorkT+JB2/69cze+VboaBf8NaydhqGzaMaHtR5gO/7Ps47drReKxbJ11SghyLlGg==" saltValue="WJkaAm/YSiKXaiFvXP77Cg==" spinCount="100000" sheet="1" selectLockedCells="1"/>
  <mergeCells count="3">
    <mergeCell ref="K7:O7"/>
    <mergeCell ref="F3:G3"/>
    <mergeCell ref="J6:K6"/>
  </mergeCells>
  <conditionalFormatting sqref="H11">
    <cfRule type="cellIs" dxfId="0" priority="1" operator="lessThan">
      <formula>0</formula>
    </cfRule>
  </conditionalFormatting>
  <dataValidations disablePrompts="1" count="1">
    <dataValidation type="list" allowBlank="1" showInputMessage="1" showErrorMessage="1" sqref="K13" xr:uid="{3B578C63-6E07-4ED8-9D2F-A3A522EBA3E6}">
      <formula1>$O$1:$O$4</formula1>
    </dataValidation>
  </dataValidation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C999-A926-47EC-ACA2-3F1AB2583C6C}">
  <sheetPr codeName="Hoja6"/>
  <dimension ref="A1:I575"/>
  <sheetViews>
    <sheetView workbookViewId="0">
      <pane ySplit="1" topLeftCell="A29" activePane="bottomLeft" state="frozen"/>
      <selection pane="bottomLeft" activeCell="J44" sqref="J44"/>
    </sheetView>
  </sheetViews>
  <sheetFormatPr baseColWidth="10" defaultRowHeight="15" x14ac:dyDescent="0.25"/>
  <cols>
    <col min="1" max="1" width="11.42578125" style="13"/>
    <col min="2" max="2" width="11.42578125" style="42"/>
    <col min="3" max="7" width="11.42578125" style="13"/>
    <col min="8" max="9" width="11.42578125" style="4"/>
  </cols>
  <sheetData>
    <row r="1" spans="1:9" ht="42" customHeight="1" x14ac:dyDescent="0.25">
      <c r="A1" s="46" t="s">
        <v>23</v>
      </c>
      <c r="B1" s="47" t="s">
        <v>46</v>
      </c>
      <c r="C1" s="48" t="s">
        <v>58</v>
      </c>
      <c r="D1" s="48" t="s">
        <v>59</v>
      </c>
      <c r="E1" s="48" t="s">
        <v>60</v>
      </c>
      <c r="F1" s="48" t="s">
        <v>61</v>
      </c>
      <c r="G1" s="48" t="s">
        <v>57</v>
      </c>
      <c r="H1" s="49" t="s">
        <v>62</v>
      </c>
      <c r="I1" s="50" t="s">
        <v>63</v>
      </c>
    </row>
    <row r="2" spans="1:9" x14ac:dyDescent="0.25">
      <c r="A2" s="41">
        <v>46106</v>
      </c>
      <c r="B2" s="42">
        <v>1</v>
      </c>
      <c r="C2" s="13">
        <v>1744</v>
      </c>
      <c r="D2" s="13">
        <v>720</v>
      </c>
      <c r="H2" s="4">
        <f>+C2+D2+E2+F2+(G2/2)</f>
        <v>2464</v>
      </c>
      <c r="I2" s="31">
        <v>0.33333333333333331</v>
      </c>
    </row>
    <row r="3" spans="1:9" x14ac:dyDescent="0.25">
      <c r="A3" s="41">
        <v>46107</v>
      </c>
      <c r="B3" s="42">
        <v>1</v>
      </c>
      <c r="C3" s="13">
        <v>3264</v>
      </c>
      <c r="D3" s="13">
        <v>2245</v>
      </c>
      <c r="H3" s="4">
        <f t="shared" ref="H3:H68" si="0">+C3+D3+E3+F3+(G3/2)</f>
        <v>5509</v>
      </c>
      <c r="I3" s="31">
        <v>0.33333333333333331</v>
      </c>
    </row>
    <row r="4" spans="1:9" x14ac:dyDescent="0.25">
      <c r="A4" s="41">
        <v>46108</v>
      </c>
      <c r="B4" s="42">
        <v>1</v>
      </c>
      <c r="C4" s="13">
        <v>4611</v>
      </c>
      <c r="D4" s="13">
        <v>1609</v>
      </c>
      <c r="H4" s="4">
        <f t="shared" si="0"/>
        <v>6220</v>
      </c>
      <c r="I4" s="31">
        <v>0.5</v>
      </c>
    </row>
    <row r="5" spans="1:9" x14ac:dyDescent="0.25">
      <c r="A5" s="41">
        <v>46109</v>
      </c>
      <c r="B5" s="42">
        <v>1</v>
      </c>
      <c r="C5" s="13">
        <v>1215</v>
      </c>
      <c r="D5" s="13">
        <v>1062</v>
      </c>
      <c r="E5" s="13">
        <v>1440</v>
      </c>
      <c r="F5" s="13">
        <v>160</v>
      </c>
      <c r="H5" s="4">
        <f t="shared" si="0"/>
        <v>3877</v>
      </c>
      <c r="I5" s="31">
        <v>0.33333333333333331</v>
      </c>
    </row>
    <row r="6" spans="1:9" x14ac:dyDescent="0.25">
      <c r="A6" s="41">
        <v>46111</v>
      </c>
      <c r="B6" s="42">
        <v>1</v>
      </c>
      <c r="C6" s="13">
        <v>2304</v>
      </c>
      <c r="D6" s="13">
        <v>2079</v>
      </c>
      <c r="E6" s="13">
        <v>1600</v>
      </c>
      <c r="H6" s="4">
        <f t="shared" si="0"/>
        <v>5983</v>
      </c>
      <c r="I6" s="31">
        <v>0.5</v>
      </c>
    </row>
    <row r="7" spans="1:9" x14ac:dyDescent="0.25">
      <c r="A7" s="41">
        <v>46112</v>
      </c>
      <c r="B7" s="42">
        <v>1</v>
      </c>
      <c r="C7" s="13">
        <v>2415</v>
      </c>
      <c r="D7" s="13">
        <v>1293</v>
      </c>
      <c r="H7" s="4">
        <f t="shared" si="0"/>
        <v>3708</v>
      </c>
      <c r="I7" s="31">
        <v>0.41666666666666669</v>
      </c>
    </row>
    <row r="8" spans="1:9" x14ac:dyDescent="0.25">
      <c r="A8" s="41">
        <v>46113</v>
      </c>
      <c r="B8" s="42">
        <v>1</v>
      </c>
      <c r="C8" s="13">
        <v>3517</v>
      </c>
      <c r="D8" s="13">
        <v>1946</v>
      </c>
      <c r="H8" s="4">
        <f t="shared" si="0"/>
        <v>5463</v>
      </c>
      <c r="I8" s="31">
        <v>0.5</v>
      </c>
    </row>
    <row r="9" spans="1:9" x14ac:dyDescent="0.25">
      <c r="A9" s="41">
        <v>46114</v>
      </c>
      <c r="B9" s="42">
        <v>1</v>
      </c>
      <c r="C9" s="13">
        <v>1323</v>
      </c>
      <c r="D9" s="13">
        <v>1674</v>
      </c>
      <c r="H9" s="4">
        <f t="shared" si="0"/>
        <v>2997</v>
      </c>
      <c r="I9" s="31">
        <v>0.33333333333333331</v>
      </c>
    </row>
    <row r="10" spans="1:9" x14ac:dyDescent="0.25">
      <c r="A10" s="41">
        <v>46116</v>
      </c>
      <c r="B10" s="42">
        <v>1</v>
      </c>
      <c r="C10" s="13">
        <v>1044</v>
      </c>
      <c r="D10" s="13">
        <v>486</v>
      </c>
      <c r="H10" s="4">
        <f t="shared" si="0"/>
        <v>1530</v>
      </c>
      <c r="I10" s="31">
        <v>0.5</v>
      </c>
    </row>
    <row r="11" spans="1:9" x14ac:dyDescent="0.25">
      <c r="A11" s="43">
        <v>46118</v>
      </c>
      <c r="B11" s="42">
        <v>1</v>
      </c>
      <c r="C11" s="13">
        <v>1755</v>
      </c>
      <c r="D11" s="13">
        <v>846</v>
      </c>
      <c r="H11" s="4">
        <f t="shared" si="0"/>
        <v>2601</v>
      </c>
      <c r="I11" s="119">
        <v>0.5</v>
      </c>
    </row>
    <row r="12" spans="1:9" x14ac:dyDescent="0.25">
      <c r="A12" s="43">
        <v>46119</v>
      </c>
      <c r="B12" s="42">
        <v>1</v>
      </c>
      <c r="C12" s="13">
        <v>1386</v>
      </c>
      <c r="D12" s="13">
        <v>2016</v>
      </c>
      <c r="H12" s="4">
        <f t="shared" si="0"/>
        <v>3402</v>
      </c>
      <c r="I12" s="120">
        <v>0.3125</v>
      </c>
    </row>
    <row r="13" spans="1:9" x14ac:dyDescent="0.25">
      <c r="A13" s="43">
        <v>46120</v>
      </c>
      <c r="B13" s="42">
        <v>1</v>
      </c>
      <c r="C13" s="13">
        <v>3384</v>
      </c>
      <c r="D13" s="13">
        <v>1152</v>
      </c>
      <c r="H13" s="4">
        <f t="shared" si="0"/>
        <v>4536</v>
      </c>
      <c r="I13" s="120">
        <v>0.64583333333333337</v>
      </c>
    </row>
    <row r="14" spans="1:9" x14ac:dyDescent="0.25">
      <c r="A14" s="43">
        <v>46122</v>
      </c>
      <c r="B14" s="42">
        <v>1</v>
      </c>
      <c r="C14" s="13">
        <v>3960</v>
      </c>
      <c r="D14" s="13">
        <v>1080</v>
      </c>
      <c r="H14" s="4">
        <f t="shared" si="0"/>
        <v>5040</v>
      </c>
      <c r="I14" s="120">
        <v>0.39583333333333331</v>
      </c>
    </row>
    <row r="15" spans="1:9" x14ac:dyDescent="0.25">
      <c r="A15" s="43">
        <v>38818</v>
      </c>
      <c r="B15" s="42">
        <v>1</v>
      </c>
      <c r="C15" s="13">
        <v>2808</v>
      </c>
      <c r="D15" s="13">
        <v>1224</v>
      </c>
      <c r="H15" s="4">
        <f t="shared" si="0"/>
        <v>4032</v>
      </c>
      <c r="I15" s="120">
        <v>0.33333333333333331</v>
      </c>
    </row>
    <row r="16" spans="1:9" x14ac:dyDescent="0.25">
      <c r="A16" s="43">
        <v>46125</v>
      </c>
      <c r="B16" s="42">
        <v>1</v>
      </c>
      <c r="C16" s="13">
        <v>3096</v>
      </c>
      <c r="D16" s="13">
        <v>1368</v>
      </c>
      <c r="H16" s="4">
        <f t="shared" si="0"/>
        <v>4464</v>
      </c>
      <c r="I16" s="120">
        <v>0.33333333333333331</v>
      </c>
    </row>
    <row r="17" spans="1:9" x14ac:dyDescent="0.25">
      <c r="A17" s="43">
        <v>46126</v>
      </c>
      <c r="B17" s="42">
        <v>1</v>
      </c>
      <c r="C17" s="13">
        <v>4680</v>
      </c>
      <c r="D17" s="13">
        <v>792</v>
      </c>
      <c r="H17" s="4">
        <f t="shared" si="0"/>
        <v>5472</v>
      </c>
      <c r="I17" s="120">
        <v>0.5</v>
      </c>
    </row>
    <row r="18" spans="1:9" x14ac:dyDescent="0.25">
      <c r="A18" s="43">
        <v>46127</v>
      </c>
      <c r="B18" s="42">
        <v>1</v>
      </c>
      <c r="C18" s="13">
        <v>4923</v>
      </c>
      <c r="D18" s="13">
        <v>1269</v>
      </c>
      <c r="H18" s="4">
        <f t="shared" si="0"/>
        <v>6192</v>
      </c>
      <c r="I18" s="120">
        <v>0.5</v>
      </c>
    </row>
    <row r="19" spans="1:9" x14ac:dyDescent="0.25">
      <c r="A19" s="43">
        <v>46128</v>
      </c>
      <c r="B19" s="42">
        <v>1</v>
      </c>
      <c r="C19" s="13">
        <v>2223</v>
      </c>
      <c r="D19" s="13">
        <v>1251</v>
      </c>
      <c r="H19" s="4">
        <f t="shared" si="0"/>
        <v>3474</v>
      </c>
      <c r="I19" s="120">
        <v>0.3125</v>
      </c>
    </row>
    <row r="20" spans="1:9" x14ac:dyDescent="0.25">
      <c r="A20" s="43">
        <v>46129</v>
      </c>
      <c r="B20" s="42">
        <v>1</v>
      </c>
      <c r="C20" s="13">
        <v>4734</v>
      </c>
      <c r="D20" s="13">
        <v>2304</v>
      </c>
      <c r="H20" s="4">
        <f t="shared" si="0"/>
        <v>7038</v>
      </c>
      <c r="I20" s="120">
        <v>0.5</v>
      </c>
    </row>
    <row r="21" spans="1:9" x14ac:dyDescent="0.25">
      <c r="A21" s="43">
        <v>46130</v>
      </c>
      <c r="B21" s="42">
        <v>1</v>
      </c>
      <c r="C21" s="13">
        <v>4275</v>
      </c>
      <c r="D21" s="13">
        <v>2610</v>
      </c>
      <c r="E21" s="13">
        <v>64</v>
      </c>
      <c r="H21" s="4">
        <f t="shared" si="0"/>
        <v>6949</v>
      </c>
      <c r="I21" s="120">
        <v>0.52083333333333337</v>
      </c>
    </row>
    <row r="22" spans="1:9" x14ac:dyDescent="0.25">
      <c r="A22" s="43">
        <v>46132</v>
      </c>
      <c r="B22" s="42">
        <v>1</v>
      </c>
      <c r="C22" s="13">
        <v>4212</v>
      </c>
      <c r="D22" s="13">
        <v>2403</v>
      </c>
      <c r="E22" s="13">
        <v>400</v>
      </c>
      <c r="H22" s="4">
        <f t="shared" si="0"/>
        <v>7015</v>
      </c>
      <c r="I22" s="120">
        <v>0.5</v>
      </c>
    </row>
    <row r="23" spans="1:9" x14ac:dyDescent="0.25">
      <c r="A23" s="43">
        <v>46133</v>
      </c>
      <c r="B23" s="42">
        <v>1</v>
      </c>
      <c r="C23" s="13">
        <v>6591</v>
      </c>
      <c r="D23" s="13">
        <v>4239</v>
      </c>
      <c r="E23" s="13">
        <v>480</v>
      </c>
      <c r="H23" s="4">
        <f t="shared" si="0"/>
        <v>11310</v>
      </c>
      <c r="I23" s="120">
        <v>0.5</v>
      </c>
    </row>
    <row r="24" spans="1:9" x14ac:dyDescent="0.25">
      <c r="A24" s="43">
        <v>46134</v>
      </c>
      <c r="B24" s="42">
        <v>1</v>
      </c>
      <c r="C24" s="13">
        <v>3942</v>
      </c>
      <c r="D24" s="13">
        <v>2061</v>
      </c>
      <c r="E24" s="13">
        <v>400</v>
      </c>
      <c r="H24" s="4">
        <f t="shared" si="0"/>
        <v>6403</v>
      </c>
      <c r="I24" s="120">
        <v>0.5</v>
      </c>
    </row>
    <row r="25" spans="1:9" x14ac:dyDescent="0.25">
      <c r="A25" s="43">
        <v>46135</v>
      </c>
      <c r="B25" s="42">
        <v>1</v>
      </c>
      <c r="C25" s="13">
        <v>4590</v>
      </c>
      <c r="D25" s="13">
        <v>2358</v>
      </c>
      <c r="H25" s="4">
        <f t="shared" si="0"/>
        <v>6948</v>
      </c>
      <c r="I25" s="120">
        <v>0.5</v>
      </c>
    </row>
    <row r="26" spans="1:9" x14ac:dyDescent="0.25">
      <c r="A26" s="43">
        <v>46136</v>
      </c>
      <c r="B26" s="42">
        <v>1</v>
      </c>
      <c r="C26" s="13">
        <v>3807</v>
      </c>
      <c r="D26" s="13">
        <v>2439</v>
      </c>
      <c r="E26" s="13">
        <v>480</v>
      </c>
      <c r="H26" s="4">
        <f t="shared" si="0"/>
        <v>6726</v>
      </c>
      <c r="I26" s="120">
        <v>0.5</v>
      </c>
    </row>
    <row r="27" spans="1:9" x14ac:dyDescent="0.25">
      <c r="A27" s="43">
        <v>46137</v>
      </c>
      <c r="B27" s="42">
        <v>2</v>
      </c>
      <c r="C27" s="13">
        <v>2538</v>
      </c>
      <c r="D27" s="13">
        <v>2997</v>
      </c>
      <c r="E27" s="13">
        <v>1440</v>
      </c>
      <c r="H27" s="4">
        <f t="shared" si="0"/>
        <v>6975</v>
      </c>
      <c r="I27" s="120">
        <v>0.45833333333333331</v>
      </c>
    </row>
    <row r="28" spans="1:9" x14ac:dyDescent="0.25">
      <c r="A28" s="43">
        <v>46139</v>
      </c>
      <c r="B28" s="42">
        <v>1</v>
      </c>
      <c r="C28" s="13">
        <v>4959</v>
      </c>
      <c r="D28" s="13">
        <v>2835</v>
      </c>
      <c r="H28" s="4">
        <f t="shared" si="0"/>
        <v>7794</v>
      </c>
      <c r="I28" s="120">
        <v>0.5</v>
      </c>
    </row>
    <row r="29" spans="1:9" x14ac:dyDescent="0.25">
      <c r="A29" s="43">
        <v>46140</v>
      </c>
      <c r="B29" s="42">
        <v>1</v>
      </c>
      <c r="C29" s="13">
        <v>4203</v>
      </c>
      <c r="D29" s="13">
        <v>2826</v>
      </c>
      <c r="E29" s="13">
        <v>720</v>
      </c>
      <c r="H29" s="4">
        <f t="shared" si="0"/>
        <v>7749</v>
      </c>
      <c r="I29" s="120">
        <v>0.5</v>
      </c>
    </row>
    <row r="30" spans="1:9" x14ac:dyDescent="0.25">
      <c r="A30" s="43">
        <v>46141</v>
      </c>
      <c r="B30" s="42">
        <v>1</v>
      </c>
      <c r="C30" s="13">
        <v>3843</v>
      </c>
      <c r="D30" s="13">
        <v>2682</v>
      </c>
      <c r="E30" s="13">
        <v>710</v>
      </c>
      <c r="H30" s="4">
        <f t="shared" si="0"/>
        <v>7235</v>
      </c>
      <c r="I30" s="120">
        <v>0.5</v>
      </c>
    </row>
    <row r="31" spans="1:9" x14ac:dyDescent="0.25">
      <c r="A31" s="43">
        <v>46142</v>
      </c>
      <c r="B31" s="42">
        <v>1</v>
      </c>
      <c r="C31" s="13">
        <v>3402</v>
      </c>
      <c r="D31" s="13">
        <v>2799</v>
      </c>
      <c r="E31" s="13">
        <v>1550</v>
      </c>
      <c r="H31" s="4">
        <f t="shared" si="0"/>
        <v>7751</v>
      </c>
      <c r="I31" s="120">
        <v>0.5</v>
      </c>
    </row>
    <row r="32" spans="1:9" x14ac:dyDescent="0.25">
      <c r="A32" s="43">
        <v>46144</v>
      </c>
      <c r="B32" s="42">
        <v>1</v>
      </c>
      <c r="C32" s="13">
        <v>1593</v>
      </c>
      <c r="D32" s="13">
        <v>3600</v>
      </c>
      <c r="E32" s="13">
        <v>3320</v>
      </c>
      <c r="H32" s="4">
        <f t="shared" si="0"/>
        <v>8513</v>
      </c>
      <c r="I32" s="120">
        <v>0.5625</v>
      </c>
    </row>
    <row r="33" spans="1:9" x14ac:dyDescent="0.25">
      <c r="A33" s="43">
        <v>46146</v>
      </c>
      <c r="B33" s="42">
        <v>1</v>
      </c>
      <c r="C33" s="13">
        <v>3312</v>
      </c>
      <c r="D33" s="13">
        <v>1647</v>
      </c>
      <c r="H33" s="4">
        <f t="shared" si="0"/>
        <v>4959</v>
      </c>
      <c r="I33" s="120">
        <v>0.33333333333333331</v>
      </c>
    </row>
    <row r="34" spans="1:9" x14ac:dyDescent="0.25">
      <c r="A34" s="43">
        <v>46146</v>
      </c>
      <c r="B34" s="42">
        <v>2</v>
      </c>
      <c r="C34" s="13">
        <v>3240</v>
      </c>
      <c r="D34" s="13">
        <v>1935</v>
      </c>
      <c r="E34" s="13">
        <v>480</v>
      </c>
      <c r="H34" s="4">
        <f t="shared" si="0"/>
        <v>5655</v>
      </c>
      <c r="I34" s="120">
        <v>0.33333333333333331</v>
      </c>
    </row>
    <row r="35" spans="1:9" x14ac:dyDescent="0.25">
      <c r="A35" s="43">
        <v>46147</v>
      </c>
      <c r="B35" s="42">
        <v>1</v>
      </c>
      <c r="C35" s="13">
        <v>3886</v>
      </c>
      <c r="D35" s="13">
        <v>1260</v>
      </c>
      <c r="H35" s="4">
        <f t="shared" si="0"/>
        <v>5146</v>
      </c>
    </row>
    <row r="36" spans="1:9" x14ac:dyDescent="0.25">
      <c r="A36" s="43">
        <v>46147</v>
      </c>
      <c r="B36" s="42">
        <v>2</v>
      </c>
      <c r="C36" s="13">
        <v>3033</v>
      </c>
      <c r="D36" s="13">
        <v>1332</v>
      </c>
      <c r="E36" s="13">
        <v>560</v>
      </c>
      <c r="H36" s="4">
        <f t="shared" si="0"/>
        <v>4925</v>
      </c>
      <c r="I36" s="120">
        <v>0.33333333333333331</v>
      </c>
    </row>
    <row r="37" spans="1:9" x14ac:dyDescent="0.25">
      <c r="A37" s="43">
        <v>46148</v>
      </c>
      <c r="B37" s="42">
        <v>1</v>
      </c>
      <c r="C37" s="13">
        <v>2772</v>
      </c>
      <c r="D37" s="13">
        <v>2493</v>
      </c>
      <c r="E37" s="13">
        <v>880</v>
      </c>
      <c r="H37" s="4">
        <f t="shared" si="0"/>
        <v>6145</v>
      </c>
      <c r="I37" s="120">
        <v>0.29166666666666669</v>
      </c>
    </row>
    <row r="38" spans="1:9" x14ac:dyDescent="0.25">
      <c r="A38" s="43">
        <v>46179</v>
      </c>
      <c r="B38" s="42">
        <v>2</v>
      </c>
      <c r="C38" s="13">
        <v>2853</v>
      </c>
      <c r="D38" s="13">
        <v>2052</v>
      </c>
      <c r="E38" s="13">
        <v>1120</v>
      </c>
      <c r="H38" s="4">
        <f t="shared" si="0"/>
        <v>6025</v>
      </c>
      <c r="I38" s="120">
        <v>0.41666666666666669</v>
      </c>
    </row>
    <row r="39" spans="1:9" x14ac:dyDescent="0.25">
      <c r="A39" s="43">
        <v>46149</v>
      </c>
      <c r="B39" s="42">
        <v>1</v>
      </c>
      <c r="C39" s="13">
        <v>2331</v>
      </c>
      <c r="D39" s="13">
        <v>2520</v>
      </c>
      <c r="E39" s="13">
        <v>1360</v>
      </c>
      <c r="H39" s="4">
        <f t="shared" si="0"/>
        <v>6211</v>
      </c>
      <c r="I39" s="4">
        <v>10</v>
      </c>
    </row>
    <row r="40" spans="1:9" x14ac:dyDescent="0.25">
      <c r="A40" s="43">
        <v>46149</v>
      </c>
      <c r="B40" s="42">
        <v>2</v>
      </c>
      <c r="C40" s="13">
        <v>1962</v>
      </c>
      <c r="D40" s="13">
        <v>1746</v>
      </c>
      <c r="E40" s="13">
        <v>2160</v>
      </c>
      <c r="H40" s="4">
        <f t="shared" si="0"/>
        <v>5868</v>
      </c>
      <c r="I40" s="120">
        <v>0.41666666666666669</v>
      </c>
    </row>
    <row r="41" spans="1:9" x14ac:dyDescent="0.25">
      <c r="A41" s="43">
        <v>46150</v>
      </c>
      <c r="B41" s="42">
        <v>1</v>
      </c>
      <c r="C41" s="13">
        <v>3141</v>
      </c>
      <c r="D41" s="13">
        <v>1773</v>
      </c>
      <c r="E41" s="13">
        <v>640</v>
      </c>
      <c r="H41" s="4">
        <f t="shared" si="0"/>
        <v>5554</v>
      </c>
      <c r="I41" s="120">
        <v>0.41666666666666669</v>
      </c>
    </row>
    <row r="42" spans="1:9" x14ac:dyDescent="0.25">
      <c r="A42" s="43">
        <v>46150</v>
      </c>
      <c r="B42" s="42">
        <v>2</v>
      </c>
      <c r="C42" s="13">
        <v>1386</v>
      </c>
      <c r="D42" s="13">
        <v>1566</v>
      </c>
      <c r="E42" s="13">
        <v>2640</v>
      </c>
      <c r="H42" s="4">
        <f t="shared" si="0"/>
        <v>5592</v>
      </c>
      <c r="I42" s="120">
        <v>0.41666666666666669</v>
      </c>
    </row>
    <row r="43" spans="1:9" x14ac:dyDescent="0.25">
      <c r="A43" s="43">
        <v>46151</v>
      </c>
      <c r="B43" s="42">
        <v>1</v>
      </c>
      <c r="C43" s="13">
        <v>2286</v>
      </c>
      <c r="D43" s="13">
        <v>1755</v>
      </c>
      <c r="E43" s="13">
        <v>1280</v>
      </c>
      <c r="H43" s="4">
        <f t="shared" si="0"/>
        <v>5321</v>
      </c>
      <c r="I43" s="120">
        <v>0.41666666666666669</v>
      </c>
    </row>
    <row r="44" spans="1:9" x14ac:dyDescent="0.25">
      <c r="A44" s="43">
        <v>46151</v>
      </c>
      <c r="B44" s="42">
        <v>2</v>
      </c>
      <c r="C44" s="13">
        <v>2619</v>
      </c>
      <c r="D44" s="13">
        <v>2322</v>
      </c>
      <c r="E44" s="13">
        <v>640</v>
      </c>
      <c r="H44" s="4">
        <f t="shared" si="0"/>
        <v>5581</v>
      </c>
      <c r="I44" s="120">
        <v>0.41666666666666669</v>
      </c>
    </row>
    <row r="45" spans="1:9" x14ac:dyDescent="0.25">
      <c r="H45" s="4">
        <f t="shared" si="0"/>
        <v>0</v>
      </c>
    </row>
    <row r="46" spans="1:9" x14ac:dyDescent="0.25">
      <c r="H46" s="4">
        <f t="shared" si="0"/>
        <v>0</v>
      </c>
    </row>
    <row r="47" spans="1:9" x14ac:dyDescent="0.25">
      <c r="H47" s="4">
        <f t="shared" si="0"/>
        <v>0</v>
      </c>
    </row>
    <row r="48" spans="1:9" x14ac:dyDescent="0.25">
      <c r="H48" s="4">
        <f t="shared" si="0"/>
        <v>0</v>
      </c>
    </row>
    <row r="49" spans="8:8" x14ac:dyDescent="0.25">
      <c r="H49" s="4">
        <f t="shared" si="0"/>
        <v>0</v>
      </c>
    </row>
    <row r="50" spans="8:8" x14ac:dyDescent="0.25">
      <c r="H50" s="4">
        <f t="shared" si="0"/>
        <v>0</v>
      </c>
    </row>
    <row r="51" spans="8:8" x14ac:dyDescent="0.25">
      <c r="H51" s="4">
        <f t="shared" si="0"/>
        <v>0</v>
      </c>
    </row>
    <row r="52" spans="8:8" x14ac:dyDescent="0.25">
      <c r="H52" s="4">
        <f t="shared" si="0"/>
        <v>0</v>
      </c>
    </row>
    <row r="53" spans="8:8" x14ac:dyDescent="0.25">
      <c r="H53" s="4">
        <f t="shared" si="0"/>
        <v>0</v>
      </c>
    </row>
    <row r="54" spans="8:8" x14ac:dyDescent="0.25">
      <c r="H54" s="4">
        <f t="shared" si="0"/>
        <v>0</v>
      </c>
    </row>
    <row r="55" spans="8:8" x14ac:dyDescent="0.25">
      <c r="H55" s="4">
        <f t="shared" si="0"/>
        <v>0</v>
      </c>
    </row>
    <row r="56" spans="8:8" x14ac:dyDescent="0.25">
      <c r="H56" s="4">
        <f t="shared" si="0"/>
        <v>0</v>
      </c>
    </row>
    <row r="57" spans="8:8" x14ac:dyDescent="0.25">
      <c r="H57" s="4">
        <f t="shared" si="0"/>
        <v>0</v>
      </c>
    </row>
    <row r="58" spans="8:8" x14ac:dyDescent="0.25">
      <c r="H58" s="4">
        <f t="shared" si="0"/>
        <v>0</v>
      </c>
    </row>
    <row r="59" spans="8:8" x14ac:dyDescent="0.25">
      <c r="H59" s="4">
        <f t="shared" si="0"/>
        <v>0</v>
      </c>
    </row>
    <row r="60" spans="8:8" x14ac:dyDescent="0.25">
      <c r="H60" s="4">
        <f t="shared" si="0"/>
        <v>0</v>
      </c>
    </row>
    <row r="61" spans="8:8" x14ac:dyDescent="0.25">
      <c r="H61" s="4">
        <f t="shared" si="0"/>
        <v>0</v>
      </c>
    </row>
    <row r="62" spans="8:8" x14ac:dyDescent="0.25">
      <c r="H62" s="4">
        <f t="shared" si="0"/>
        <v>0</v>
      </c>
    </row>
    <row r="63" spans="8:8" x14ac:dyDescent="0.25">
      <c r="H63" s="4">
        <f t="shared" si="0"/>
        <v>0</v>
      </c>
    </row>
    <row r="64" spans="8:8" x14ac:dyDescent="0.25">
      <c r="H64" s="4">
        <f t="shared" si="0"/>
        <v>0</v>
      </c>
    </row>
    <row r="65" spans="8:8" x14ac:dyDescent="0.25">
      <c r="H65" s="4">
        <f t="shared" si="0"/>
        <v>0</v>
      </c>
    </row>
    <row r="66" spans="8:8" x14ac:dyDescent="0.25">
      <c r="H66" s="4">
        <f t="shared" si="0"/>
        <v>0</v>
      </c>
    </row>
    <row r="67" spans="8:8" x14ac:dyDescent="0.25">
      <c r="H67" s="4">
        <f t="shared" si="0"/>
        <v>0</v>
      </c>
    </row>
    <row r="68" spans="8:8" x14ac:dyDescent="0.25">
      <c r="H68" s="4">
        <f t="shared" si="0"/>
        <v>0</v>
      </c>
    </row>
    <row r="69" spans="8:8" x14ac:dyDescent="0.25">
      <c r="H69" s="4">
        <f t="shared" ref="H69:H132" si="1">+C69+D69+E69+F69+(G69/2)</f>
        <v>0</v>
      </c>
    </row>
    <row r="70" spans="8:8" x14ac:dyDescent="0.25">
      <c r="H70" s="4">
        <f t="shared" si="1"/>
        <v>0</v>
      </c>
    </row>
    <row r="71" spans="8:8" x14ac:dyDescent="0.25">
      <c r="H71" s="4">
        <f t="shared" si="1"/>
        <v>0</v>
      </c>
    </row>
    <row r="72" spans="8:8" x14ac:dyDescent="0.25">
      <c r="H72" s="4">
        <f t="shared" si="1"/>
        <v>0</v>
      </c>
    </row>
    <row r="73" spans="8:8" x14ac:dyDescent="0.25">
      <c r="H73" s="4">
        <f t="shared" si="1"/>
        <v>0</v>
      </c>
    </row>
    <row r="74" spans="8:8" x14ac:dyDescent="0.25">
      <c r="H74" s="4">
        <f t="shared" si="1"/>
        <v>0</v>
      </c>
    </row>
    <row r="75" spans="8:8" x14ac:dyDescent="0.25">
      <c r="H75" s="4">
        <f t="shared" si="1"/>
        <v>0</v>
      </c>
    </row>
    <row r="76" spans="8:8" x14ac:dyDescent="0.25">
      <c r="H76" s="4">
        <f t="shared" si="1"/>
        <v>0</v>
      </c>
    </row>
    <row r="77" spans="8:8" x14ac:dyDescent="0.25">
      <c r="H77" s="4">
        <f t="shared" si="1"/>
        <v>0</v>
      </c>
    </row>
    <row r="78" spans="8:8" x14ac:dyDescent="0.25">
      <c r="H78" s="4">
        <f t="shared" si="1"/>
        <v>0</v>
      </c>
    </row>
    <row r="79" spans="8:8" x14ac:dyDescent="0.25">
      <c r="H79" s="4">
        <f t="shared" si="1"/>
        <v>0</v>
      </c>
    </row>
    <row r="80" spans="8:8" x14ac:dyDescent="0.25">
      <c r="H80" s="4">
        <f t="shared" si="1"/>
        <v>0</v>
      </c>
    </row>
    <row r="81" spans="8:8" x14ac:dyDescent="0.25">
      <c r="H81" s="4">
        <f t="shared" si="1"/>
        <v>0</v>
      </c>
    </row>
    <row r="82" spans="8:8" x14ac:dyDescent="0.25">
      <c r="H82" s="4">
        <f t="shared" si="1"/>
        <v>0</v>
      </c>
    </row>
    <row r="83" spans="8:8" x14ac:dyDescent="0.25">
      <c r="H83" s="4">
        <f t="shared" si="1"/>
        <v>0</v>
      </c>
    </row>
    <row r="84" spans="8:8" x14ac:dyDescent="0.25">
      <c r="H84" s="4">
        <f t="shared" si="1"/>
        <v>0</v>
      </c>
    </row>
    <row r="85" spans="8:8" x14ac:dyDescent="0.25">
      <c r="H85" s="4">
        <f t="shared" si="1"/>
        <v>0</v>
      </c>
    </row>
    <row r="86" spans="8:8" x14ac:dyDescent="0.25">
      <c r="H86" s="4">
        <f t="shared" si="1"/>
        <v>0</v>
      </c>
    </row>
    <row r="87" spans="8:8" x14ac:dyDescent="0.25">
      <c r="H87" s="4">
        <f t="shared" si="1"/>
        <v>0</v>
      </c>
    </row>
    <row r="88" spans="8:8" x14ac:dyDescent="0.25">
      <c r="H88" s="4">
        <f t="shared" si="1"/>
        <v>0</v>
      </c>
    </row>
    <row r="89" spans="8:8" x14ac:dyDescent="0.25">
      <c r="H89" s="4">
        <f t="shared" si="1"/>
        <v>0</v>
      </c>
    </row>
    <row r="90" spans="8:8" x14ac:dyDescent="0.25">
      <c r="H90" s="4">
        <f t="shared" si="1"/>
        <v>0</v>
      </c>
    </row>
    <row r="91" spans="8:8" x14ac:dyDescent="0.25">
      <c r="H91" s="4">
        <f t="shared" si="1"/>
        <v>0</v>
      </c>
    </row>
    <row r="92" spans="8:8" x14ac:dyDescent="0.25">
      <c r="H92" s="4">
        <f t="shared" si="1"/>
        <v>0</v>
      </c>
    </row>
    <row r="93" spans="8:8" x14ac:dyDescent="0.25">
      <c r="H93" s="4">
        <f t="shared" si="1"/>
        <v>0</v>
      </c>
    </row>
    <row r="94" spans="8:8" x14ac:dyDescent="0.25">
      <c r="H94" s="4">
        <f t="shared" si="1"/>
        <v>0</v>
      </c>
    </row>
    <row r="95" spans="8:8" x14ac:dyDescent="0.25">
      <c r="H95" s="4">
        <f t="shared" si="1"/>
        <v>0</v>
      </c>
    </row>
    <row r="96" spans="8:8" x14ac:dyDescent="0.25">
      <c r="H96" s="4">
        <f t="shared" si="1"/>
        <v>0</v>
      </c>
    </row>
    <row r="97" spans="8:8" x14ac:dyDescent="0.25">
      <c r="H97" s="4">
        <f t="shared" si="1"/>
        <v>0</v>
      </c>
    </row>
    <row r="98" spans="8:8" x14ac:dyDescent="0.25">
      <c r="H98" s="4">
        <f t="shared" si="1"/>
        <v>0</v>
      </c>
    </row>
    <row r="99" spans="8:8" x14ac:dyDescent="0.25">
      <c r="H99" s="4">
        <f t="shared" si="1"/>
        <v>0</v>
      </c>
    </row>
    <row r="100" spans="8:8" x14ac:dyDescent="0.25">
      <c r="H100" s="4">
        <f t="shared" si="1"/>
        <v>0</v>
      </c>
    </row>
    <row r="101" spans="8:8" x14ac:dyDescent="0.25">
      <c r="H101" s="4">
        <f t="shared" si="1"/>
        <v>0</v>
      </c>
    </row>
    <row r="102" spans="8:8" x14ac:dyDescent="0.25">
      <c r="H102" s="4">
        <f t="shared" si="1"/>
        <v>0</v>
      </c>
    </row>
    <row r="103" spans="8:8" x14ac:dyDescent="0.25">
      <c r="H103" s="4">
        <f t="shared" si="1"/>
        <v>0</v>
      </c>
    </row>
    <row r="104" spans="8:8" x14ac:dyDescent="0.25">
      <c r="H104" s="4">
        <f t="shared" si="1"/>
        <v>0</v>
      </c>
    </row>
    <row r="105" spans="8:8" x14ac:dyDescent="0.25">
      <c r="H105" s="4">
        <f t="shared" si="1"/>
        <v>0</v>
      </c>
    </row>
    <row r="106" spans="8:8" x14ac:dyDescent="0.25">
      <c r="H106" s="4">
        <f t="shared" si="1"/>
        <v>0</v>
      </c>
    </row>
    <row r="107" spans="8:8" x14ac:dyDescent="0.25">
      <c r="H107" s="4">
        <f t="shared" si="1"/>
        <v>0</v>
      </c>
    </row>
    <row r="108" spans="8:8" x14ac:dyDescent="0.25">
      <c r="H108" s="4">
        <f t="shared" si="1"/>
        <v>0</v>
      </c>
    </row>
    <row r="109" spans="8:8" x14ac:dyDescent="0.25">
      <c r="H109" s="4">
        <f t="shared" si="1"/>
        <v>0</v>
      </c>
    </row>
    <row r="110" spans="8:8" x14ac:dyDescent="0.25">
      <c r="H110" s="4">
        <f t="shared" si="1"/>
        <v>0</v>
      </c>
    </row>
    <row r="111" spans="8:8" x14ac:dyDescent="0.25">
      <c r="H111" s="4">
        <f t="shared" si="1"/>
        <v>0</v>
      </c>
    </row>
    <row r="112" spans="8:8" x14ac:dyDescent="0.25">
      <c r="H112" s="4">
        <f t="shared" si="1"/>
        <v>0</v>
      </c>
    </row>
    <row r="113" spans="8:8" x14ac:dyDescent="0.25">
      <c r="H113" s="4">
        <f t="shared" si="1"/>
        <v>0</v>
      </c>
    </row>
    <row r="114" spans="8:8" x14ac:dyDescent="0.25">
      <c r="H114" s="4">
        <f t="shared" si="1"/>
        <v>0</v>
      </c>
    </row>
    <row r="115" spans="8:8" x14ac:dyDescent="0.25">
      <c r="H115" s="4">
        <f t="shared" si="1"/>
        <v>0</v>
      </c>
    </row>
    <row r="116" spans="8:8" x14ac:dyDescent="0.25">
      <c r="H116" s="4">
        <f t="shared" si="1"/>
        <v>0</v>
      </c>
    </row>
    <row r="117" spans="8:8" x14ac:dyDescent="0.25">
      <c r="H117" s="4">
        <f t="shared" si="1"/>
        <v>0</v>
      </c>
    </row>
    <row r="118" spans="8:8" x14ac:dyDescent="0.25">
      <c r="H118" s="4">
        <f t="shared" si="1"/>
        <v>0</v>
      </c>
    </row>
    <row r="119" spans="8:8" x14ac:dyDescent="0.25">
      <c r="H119" s="4">
        <f t="shared" si="1"/>
        <v>0</v>
      </c>
    </row>
    <row r="120" spans="8:8" x14ac:dyDescent="0.25">
      <c r="H120" s="4">
        <f t="shared" si="1"/>
        <v>0</v>
      </c>
    </row>
    <row r="121" spans="8:8" x14ac:dyDescent="0.25">
      <c r="H121" s="4">
        <f t="shared" si="1"/>
        <v>0</v>
      </c>
    </row>
    <row r="122" spans="8:8" x14ac:dyDescent="0.25">
      <c r="H122" s="4">
        <f t="shared" si="1"/>
        <v>0</v>
      </c>
    </row>
    <row r="123" spans="8:8" x14ac:dyDescent="0.25">
      <c r="H123" s="4">
        <f t="shared" si="1"/>
        <v>0</v>
      </c>
    </row>
    <row r="124" spans="8:8" x14ac:dyDescent="0.25">
      <c r="H124" s="4">
        <f t="shared" si="1"/>
        <v>0</v>
      </c>
    </row>
    <row r="125" spans="8:8" x14ac:dyDescent="0.25">
      <c r="H125" s="4">
        <f t="shared" si="1"/>
        <v>0</v>
      </c>
    </row>
    <row r="126" spans="8:8" x14ac:dyDescent="0.25">
      <c r="H126" s="4">
        <f t="shared" si="1"/>
        <v>0</v>
      </c>
    </row>
    <row r="127" spans="8:8" x14ac:dyDescent="0.25">
      <c r="H127" s="4">
        <f t="shared" si="1"/>
        <v>0</v>
      </c>
    </row>
    <row r="128" spans="8:8" x14ac:dyDescent="0.25">
      <c r="H128" s="4">
        <f t="shared" si="1"/>
        <v>0</v>
      </c>
    </row>
    <row r="129" spans="8:8" x14ac:dyDescent="0.25">
      <c r="H129" s="4">
        <f t="shared" si="1"/>
        <v>0</v>
      </c>
    </row>
    <row r="130" spans="8:8" x14ac:dyDescent="0.25">
      <c r="H130" s="4">
        <f t="shared" si="1"/>
        <v>0</v>
      </c>
    </row>
    <row r="131" spans="8:8" x14ac:dyDescent="0.25">
      <c r="H131" s="4">
        <f t="shared" si="1"/>
        <v>0</v>
      </c>
    </row>
    <row r="132" spans="8:8" x14ac:dyDescent="0.25">
      <c r="H132" s="4">
        <f t="shared" si="1"/>
        <v>0</v>
      </c>
    </row>
    <row r="133" spans="8:8" x14ac:dyDescent="0.25">
      <c r="H133" s="4">
        <f t="shared" ref="H133:H196" si="2">+C133+D133+E133+F133+(G133/2)</f>
        <v>0</v>
      </c>
    </row>
    <row r="134" spans="8:8" x14ac:dyDescent="0.25">
      <c r="H134" s="4">
        <f t="shared" si="2"/>
        <v>0</v>
      </c>
    </row>
    <row r="135" spans="8:8" x14ac:dyDescent="0.25">
      <c r="H135" s="4">
        <f t="shared" si="2"/>
        <v>0</v>
      </c>
    </row>
    <row r="136" spans="8:8" x14ac:dyDescent="0.25">
      <c r="H136" s="4">
        <f t="shared" si="2"/>
        <v>0</v>
      </c>
    </row>
    <row r="137" spans="8:8" x14ac:dyDescent="0.25">
      <c r="H137" s="4">
        <f t="shared" si="2"/>
        <v>0</v>
      </c>
    </row>
    <row r="138" spans="8:8" x14ac:dyDescent="0.25">
      <c r="H138" s="4">
        <f t="shared" si="2"/>
        <v>0</v>
      </c>
    </row>
    <row r="139" spans="8:8" x14ac:dyDescent="0.25">
      <c r="H139" s="4">
        <f t="shared" si="2"/>
        <v>0</v>
      </c>
    </row>
    <row r="140" spans="8:8" x14ac:dyDescent="0.25">
      <c r="H140" s="4">
        <f t="shared" si="2"/>
        <v>0</v>
      </c>
    </row>
    <row r="141" spans="8:8" x14ac:dyDescent="0.25">
      <c r="H141" s="4">
        <f t="shared" si="2"/>
        <v>0</v>
      </c>
    </row>
    <row r="142" spans="8:8" x14ac:dyDescent="0.25">
      <c r="H142" s="4">
        <f t="shared" si="2"/>
        <v>0</v>
      </c>
    </row>
    <row r="143" spans="8:8" x14ac:dyDescent="0.25">
      <c r="H143" s="4">
        <f t="shared" si="2"/>
        <v>0</v>
      </c>
    </row>
    <row r="144" spans="8:8" x14ac:dyDescent="0.25">
      <c r="H144" s="4">
        <f t="shared" si="2"/>
        <v>0</v>
      </c>
    </row>
    <row r="145" spans="8:8" x14ac:dyDescent="0.25">
      <c r="H145" s="4">
        <f t="shared" si="2"/>
        <v>0</v>
      </c>
    </row>
    <row r="146" spans="8:8" x14ac:dyDescent="0.25">
      <c r="H146" s="4">
        <f t="shared" si="2"/>
        <v>0</v>
      </c>
    </row>
    <row r="147" spans="8:8" x14ac:dyDescent="0.25">
      <c r="H147" s="4">
        <f t="shared" si="2"/>
        <v>0</v>
      </c>
    </row>
    <row r="148" spans="8:8" x14ac:dyDescent="0.25">
      <c r="H148" s="4">
        <f t="shared" si="2"/>
        <v>0</v>
      </c>
    </row>
    <row r="149" spans="8:8" x14ac:dyDescent="0.25">
      <c r="H149" s="4">
        <f t="shared" si="2"/>
        <v>0</v>
      </c>
    </row>
    <row r="150" spans="8:8" x14ac:dyDescent="0.25">
      <c r="H150" s="4">
        <f t="shared" si="2"/>
        <v>0</v>
      </c>
    </row>
    <row r="151" spans="8:8" x14ac:dyDescent="0.25">
      <c r="H151" s="4">
        <f t="shared" si="2"/>
        <v>0</v>
      </c>
    </row>
    <row r="152" spans="8:8" x14ac:dyDescent="0.25">
      <c r="H152" s="4">
        <f t="shared" si="2"/>
        <v>0</v>
      </c>
    </row>
    <row r="153" spans="8:8" x14ac:dyDescent="0.25">
      <c r="H153" s="4">
        <f t="shared" si="2"/>
        <v>0</v>
      </c>
    </row>
    <row r="154" spans="8:8" x14ac:dyDescent="0.25">
      <c r="H154" s="4">
        <f t="shared" si="2"/>
        <v>0</v>
      </c>
    </row>
    <row r="155" spans="8:8" x14ac:dyDescent="0.25">
      <c r="H155" s="4">
        <f t="shared" si="2"/>
        <v>0</v>
      </c>
    </row>
    <row r="156" spans="8:8" x14ac:dyDescent="0.25">
      <c r="H156" s="4">
        <f t="shared" si="2"/>
        <v>0</v>
      </c>
    </row>
    <row r="157" spans="8:8" x14ac:dyDescent="0.25">
      <c r="H157" s="4">
        <f t="shared" si="2"/>
        <v>0</v>
      </c>
    </row>
    <row r="158" spans="8:8" x14ac:dyDescent="0.25">
      <c r="H158" s="4">
        <f t="shared" si="2"/>
        <v>0</v>
      </c>
    </row>
    <row r="159" spans="8:8" x14ac:dyDescent="0.25">
      <c r="H159" s="4">
        <f t="shared" si="2"/>
        <v>0</v>
      </c>
    </row>
    <row r="160" spans="8:8" x14ac:dyDescent="0.25">
      <c r="H160" s="4">
        <f t="shared" si="2"/>
        <v>0</v>
      </c>
    </row>
    <row r="161" spans="8:8" x14ac:dyDescent="0.25">
      <c r="H161" s="4">
        <f t="shared" si="2"/>
        <v>0</v>
      </c>
    </row>
    <row r="162" spans="8:8" x14ac:dyDescent="0.25">
      <c r="H162" s="4">
        <f t="shared" si="2"/>
        <v>0</v>
      </c>
    </row>
    <row r="163" spans="8:8" x14ac:dyDescent="0.25">
      <c r="H163" s="4">
        <f t="shared" si="2"/>
        <v>0</v>
      </c>
    </row>
    <row r="164" spans="8:8" x14ac:dyDescent="0.25">
      <c r="H164" s="4">
        <f t="shared" si="2"/>
        <v>0</v>
      </c>
    </row>
    <row r="165" spans="8:8" x14ac:dyDescent="0.25">
      <c r="H165" s="4">
        <f t="shared" si="2"/>
        <v>0</v>
      </c>
    </row>
    <row r="166" spans="8:8" x14ac:dyDescent="0.25">
      <c r="H166" s="4">
        <f t="shared" si="2"/>
        <v>0</v>
      </c>
    </row>
    <row r="167" spans="8:8" x14ac:dyDescent="0.25">
      <c r="H167" s="4">
        <f t="shared" si="2"/>
        <v>0</v>
      </c>
    </row>
    <row r="168" spans="8:8" x14ac:dyDescent="0.25">
      <c r="H168" s="4">
        <f t="shared" si="2"/>
        <v>0</v>
      </c>
    </row>
    <row r="169" spans="8:8" x14ac:dyDescent="0.25">
      <c r="H169" s="4">
        <f t="shared" si="2"/>
        <v>0</v>
      </c>
    </row>
    <row r="170" spans="8:8" x14ac:dyDescent="0.25">
      <c r="H170" s="4">
        <f t="shared" si="2"/>
        <v>0</v>
      </c>
    </row>
    <row r="171" spans="8:8" x14ac:dyDescent="0.25">
      <c r="H171" s="4">
        <f t="shared" si="2"/>
        <v>0</v>
      </c>
    </row>
    <row r="172" spans="8:8" x14ac:dyDescent="0.25">
      <c r="H172" s="4">
        <f t="shared" si="2"/>
        <v>0</v>
      </c>
    </row>
    <row r="173" spans="8:8" x14ac:dyDescent="0.25">
      <c r="H173" s="4">
        <f t="shared" si="2"/>
        <v>0</v>
      </c>
    </row>
    <row r="174" spans="8:8" x14ac:dyDescent="0.25">
      <c r="H174" s="4">
        <f t="shared" si="2"/>
        <v>0</v>
      </c>
    </row>
    <row r="175" spans="8:8" x14ac:dyDescent="0.25">
      <c r="H175" s="4">
        <f t="shared" si="2"/>
        <v>0</v>
      </c>
    </row>
    <row r="176" spans="8:8" x14ac:dyDescent="0.25">
      <c r="H176" s="4">
        <f t="shared" si="2"/>
        <v>0</v>
      </c>
    </row>
    <row r="177" spans="8:8" x14ac:dyDescent="0.25">
      <c r="H177" s="4">
        <f t="shared" si="2"/>
        <v>0</v>
      </c>
    </row>
    <row r="178" spans="8:8" x14ac:dyDescent="0.25">
      <c r="H178" s="4">
        <f t="shared" si="2"/>
        <v>0</v>
      </c>
    </row>
    <row r="179" spans="8:8" x14ac:dyDescent="0.25">
      <c r="H179" s="4">
        <f t="shared" si="2"/>
        <v>0</v>
      </c>
    </row>
    <row r="180" spans="8:8" x14ac:dyDescent="0.25">
      <c r="H180" s="4">
        <f t="shared" si="2"/>
        <v>0</v>
      </c>
    </row>
    <row r="181" spans="8:8" x14ac:dyDescent="0.25">
      <c r="H181" s="4">
        <f t="shared" si="2"/>
        <v>0</v>
      </c>
    </row>
    <row r="182" spans="8:8" x14ac:dyDescent="0.25">
      <c r="H182" s="4">
        <f t="shared" si="2"/>
        <v>0</v>
      </c>
    </row>
    <row r="183" spans="8:8" x14ac:dyDescent="0.25">
      <c r="H183" s="4">
        <f t="shared" si="2"/>
        <v>0</v>
      </c>
    </row>
    <row r="184" spans="8:8" x14ac:dyDescent="0.25">
      <c r="H184" s="4">
        <f t="shared" si="2"/>
        <v>0</v>
      </c>
    </row>
    <row r="185" spans="8:8" x14ac:dyDescent="0.25">
      <c r="H185" s="4">
        <f t="shared" si="2"/>
        <v>0</v>
      </c>
    </row>
    <row r="186" spans="8:8" x14ac:dyDescent="0.25">
      <c r="H186" s="4">
        <f t="shared" si="2"/>
        <v>0</v>
      </c>
    </row>
    <row r="187" spans="8:8" x14ac:dyDescent="0.25">
      <c r="H187" s="4">
        <f t="shared" si="2"/>
        <v>0</v>
      </c>
    </row>
    <row r="188" spans="8:8" x14ac:dyDescent="0.25">
      <c r="H188" s="4">
        <f t="shared" si="2"/>
        <v>0</v>
      </c>
    </row>
    <row r="189" spans="8:8" x14ac:dyDescent="0.25">
      <c r="H189" s="4">
        <f t="shared" si="2"/>
        <v>0</v>
      </c>
    </row>
    <row r="190" spans="8:8" x14ac:dyDescent="0.25">
      <c r="H190" s="4">
        <f t="shared" si="2"/>
        <v>0</v>
      </c>
    </row>
    <row r="191" spans="8:8" x14ac:dyDescent="0.25">
      <c r="H191" s="4">
        <f t="shared" si="2"/>
        <v>0</v>
      </c>
    </row>
    <row r="192" spans="8:8" x14ac:dyDescent="0.25">
      <c r="H192" s="4">
        <f t="shared" si="2"/>
        <v>0</v>
      </c>
    </row>
    <row r="193" spans="8:8" x14ac:dyDescent="0.25">
      <c r="H193" s="4">
        <f t="shared" si="2"/>
        <v>0</v>
      </c>
    </row>
    <row r="194" spans="8:8" x14ac:dyDescent="0.25">
      <c r="H194" s="4">
        <f t="shared" si="2"/>
        <v>0</v>
      </c>
    </row>
    <row r="195" spans="8:8" x14ac:dyDescent="0.25">
      <c r="H195" s="4">
        <f t="shared" si="2"/>
        <v>0</v>
      </c>
    </row>
    <row r="196" spans="8:8" x14ac:dyDescent="0.25">
      <c r="H196" s="4">
        <f t="shared" si="2"/>
        <v>0</v>
      </c>
    </row>
    <row r="197" spans="8:8" x14ac:dyDescent="0.25">
      <c r="H197" s="4">
        <f t="shared" ref="H197:H260" si="3">+C197+D197+E197+F197+(G197/2)</f>
        <v>0</v>
      </c>
    </row>
    <row r="198" spans="8:8" x14ac:dyDescent="0.25">
      <c r="H198" s="4">
        <f t="shared" si="3"/>
        <v>0</v>
      </c>
    </row>
    <row r="199" spans="8:8" x14ac:dyDescent="0.25">
      <c r="H199" s="4">
        <f t="shared" si="3"/>
        <v>0</v>
      </c>
    </row>
    <row r="200" spans="8:8" x14ac:dyDescent="0.25">
      <c r="H200" s="4">
        <f t="shared" si="3"/>
        <v>0</v>
      </c>
    </row>
    <row r="201" spans="8:8" x14ac:dyDescent="0.25">
      <c r="H201" s="4">
        <f t="shared" si="3"/>
        <v>0</v>
      </c>
    </row>
    <row r="202" spans="8:8" x14ac:dyDescent="0.25">
      <c r="H202" s="4">
        <f t="shared" si="3"/>
        <v>0</v>
      </c>
    </row>
    <row r="203" spans="8:8" x14ac:dyDescent="0.25">
      <c r="H203" s="4">
        <f t="shared" si="3"/>
        <v>0</v>
      </c>
    </row>
    <row r="204" spans="8:8" x14ac:dyDescent="0.25">
      <c r="H204" s="4">
        <f t="shared" si="3"/>
        <v>0</v>
      </c>
    </row>
    <row r="205" spans="8:8" x14ac:dyDescent="0.25">
      <c r="H205" s="4">
        <f t="shared" si="3"/>
        <v>0</v>
      </c>
    </row>
    <row r="206" spans="8:8" x14ac:dyDescent="0.25">
      <c r="H206" s="4">
        <f t="shared" si="3"/>
        <v>0</v>
      </c>
    </row>
    <row r="207" spans="8:8" x14ac:dyDescent="0.25">
      <c r="H207" s="4">
        <f t="shared" si="3"/>
        <v>0</v>
      </c>
    </row>
    <row r="208" spans="8:8" x14ac:dyDescent="0.25">
      <c r="H208" s="4">
        <f t="shared" si="3"/>
        <v>0</v>
      </c>
    </row>
    <row r="209" spans="8:8" x14ac:dyDescent="0.25">
      <c r="H209" s="4">
        <f t="shared" si="3"/>
        <v>0</v>
      </c>
    </row>
    <row r="210" spans="8:8" x14ac:dyDescent="0.25">
      <c r="H210" s="4">
        <f t="shared" si="3"/>
        <v>0</v>
      </c>
    </row>
    <row r="211" spans="8:8" x14ac:dyDescent="0.25">
      <c r="H211" s="4">
        <f t="shared" si="3"/>
        <v>0</v>
      </c>
    </row>
    <row r="212" spans="8:8" x14ac:dyDescent="0.25">
      <c r="H212" s="4">
        <f t="shared" si="3"/>
        <v>0</v>
      </c>
    </row>
    <row r="213" spans="8:8" x14ac:dyDescent="0.25">
      <c r="H213" s="4">
        <f t="shared" si="3"/>
        <v>0</v>
      </c>
    </row>
    <row r="214" spans="8:8" x14ac:dyDescent="0.25">
      <c r="H214" s="4">
        <f t="shared" si="3"/>
        <v>0</v>
      </c>
    </row>
    <row r="215" spans="8:8" x14ac:dyDescent="0.25">
      <c r="H215" s="4">
        <f t="shared" si="3"/>
        <v>0</v>
      </c>
    </row>
    <row r="216" spans="8:8" x14ac:dyDescent="0.25">
      <c r="H216" s="4">
        <f t="shared" si="3"/>
        <v>0</v>
      </c>
    </row>
    <row r="217" spans="8:8" x14ac:dyDescent="0.25">
      <c r="H217" s="4">
        <f t="shared" si="3"/>
        <v>0</v>
      </c>
    </row>
    <row r="218" spans="8:8" x14ac:dyDescent="0.25">
      <c r="H218" s="4">
        <f t="shared" si="3"/>
        <v>0</v>
      </c>
    </row>
    <row r="219" spans="8:8" x14ac:dyDescent="0.25">
      <c r="H219" s="4">
        <f t="shared" si="3"/>
        <v>0</v>
      </c>
    </row>
    <row r="220" spans="8:8" x14ac:dyDescent="0.25">
      <c r="H220" s="4">
        <f t="shared" si="3"/>
        <v>0</v>
      </c>
    </row>
    <row r="221" spans="8:8" x14ac:dyDescent="0.25">
      <c r="H221" s="4">
        <f t="shared" si="3"/>
        <v>0</v>
      </c>
    </row>
    <row r="222" spans="8:8" x14ac:dyDescent="0.25">
      <c r="H222" s="4">
        <f t="shared" si="3"/>
        <v>0</v>
      </c>
    </row>
    <row r="223" spans="8:8" x14ac:dyDescent="0.25">
      <c r="H223" s="4">
        <f t="shared" si="3"/>
        <v>0</v>
      </c>
    </row>
    <row r="224" spans="8:8" x14ac:dyDescent="0.25">
      <c r="H224" s="4">
        <f t="shared" si="3"/>
        <v>0</v>
      </c>
    </row>
    <row r="225" spans="8:8" x14ac:dyDescent="0.25">
      <c r="H225" s="4">
        <f t="shared" si="3"/>
        <v>0</v>
      </c>
    </row>
    <row r="226" spans="8:8" x14ac:dyDescent="0.25">
      <c r="H226" s="4">
        <f t="shared" si="3"/>
        <v>0</v>
      </c>
    </row>
    <row r="227" spans="8:8" x14ac:dyDescent="0.25">
      <c r="H227" s="4">
        <f t="shared" si="3"/>
        <v>0</v>
      </c>
    </row>
    <row r="228" spans="8:8" x14ac:dyDescent="0.25">
      <c r="H228" s="4">
        <f t="shared" si="3"/>
        <v>0</v>
      </c>
    </row>
    <row r="229" spans="8:8" x14ac:dyDescent="0.25">
      <c r="H229" s="4">
        <f t="shared" si="3"/>
        <v>0</v>
      </c>
    </row>
    <row r="230" spans="8:8" x14ac:dyDescent="0.25">
      <c r="H230" s="4">
        <f t="shared" si="3"/>
        <v>0</v>
      </c>
    </row>
    <row r="231" spans="8:8" x14ac:dyDescent="0.25">
      <c r="H231" s="4">
        <f t="shared" si="3"/>
        <v>0</v>
      </c>
    </row>
    <row r="232" spans="8:8" x14ac:dyDescent="0.25">
      <c r="H232" s="4">
        <f t="shared" si="3"/>
        <v>0</v>
      </c>
    </row>
    <row r="233" spans="8:8" x14ac:dyDescent="0.25">
      <c r="H233" s="4">
        <f t="shared" si="3"/>
        <v>0</v>
      </c>
    </row>
    <row r="234" spans="8:8" x14ac:dyDescent="0.25">
      <c r="H234" s="4">
        <f t="shared" si="3"/>
        <v>0</v>
      </c>
    </row>
    <row r="235" spans="8:8" x14ac:dyDescent="0.25">
      <c r="H235" s="4">
        <f t="shared" si="3"/>
        <v>0</v>
      </c>
    </row>
    <row r="236" spans="8:8" x14ac:dyDescent="0.25">
      <c r="H236" s="4">
        <f t="shared" si="3"/>
        <v>0</v>
      </c>
    </row>
    <row r="237" spans="8:8" x14ac:dyDescent="0.25">
      <c r="H237" s="4">
        <f t="shared" si="3"/>
        <v>0</v>
      </c>
    </row>
    <row r="238" spans="8:8" x14ac:dyDescent="0.25">
      <c r="H238" s="4">
        <f t="shared" si="3"/>
        <v>0</v>
      </c>
    </row>
    <row r="239" spans="8:8" x14ac:dyDescent="0.25">
      <c r="H239" s="4">
        <f t="shared" si="3"/>
        <v>0</v>
      </c>
    </row>
    <row r="240" spans="8:8" x14ac:dyDescent="0.25">
      <c r="H240" s="4">
        <f t="shared" si="3"/>
        <v>0</v>
      </c>
    </row>
    <row r="241" spans="8:8" x14ac:dyDescent="0.25">
      <c r="H241" s="4">
        <f t="shared" si="3"/>
        <v>0</v>
      </c>
    </row>
    <row r="242" spans="8:8" x14ac:dyDescent="0.25">
      <c r="H242" s="4">
        <f t="shared" si="3"/>
        <v>0</v>
      </c>
    </row>
    <row r="243" spans="8:8" x14ac:dyDescent="0.25">
      <c r="H243" s="4">
        <f t="shared" si="3"/>
        <v>0</v>
      </c>
    </row>
    <row r="244" spans="8:8" x14ac:dyDescent="0.25">
      <c r="H244" s="4">
        <f t="shared" si="3"/>
        <v>0</v>
      </c>
    </row>
    <row r="245" spans="8:8" x14ac:dyDescent="0.25">
      <c r="H245" s="4">
        <f t="shared" si="3"/>
        <v>0</v>
      </c>
    </row>
    <row r="246" spans="8:8" x14ac:dyDescent="0.25">
      <c r="H246" s="4">
        <f t="shared" si="3"/>
        <v>0</v>
      </c>
    </row>
    <row r="247" spans="8:8" x14ac:dyDescent="0.25">
      <c r="H247" s="4">
        <f t="shared" si="3"/>
        <v>0</v>
      </c>
    </row>
    <row r="248" spans="8:8" x14ac:dyDescent="0.25">
      <c r="H248" s="4">
        <f t="shared" si="3"/>
        <v>0</v>
      </c>
    </row>
    <row r="249" spans="8:8" x14ac:dyDescent="0.25">
      <c r="H249" s="4">
        <f t="shared" si="3"/>
        <v>0</v>
      </c>
    </row>
    <row r="250" spans="8:8" x14ac:dyDescent="0.25">
      <c r="H250" s="4">
        <f t="shared" si="3"/>
        <v>0</v>
      </c>
    </row>
    <row r="251" spans="8:8" x14ac:dyDescent="0.25">
      <c r="H251" s="4">
        <f t="shared" si="3"/>
        <v>0</v>
      </c>
    </row>
    <row r="252" spans="8:8" x14ac:dyDescent="0.25">
      <c r="H252" s="4">
        <f t="shared" si="3"/>
        <v>0</v>
      </c>
    </row>
    <row r="253" spans="8:8" x14ac:dyDescent="0.25">
      <c r="H253" s="4">
        <f t="shared" si="3"/>
        <v>0</v>
      </c>
    </row>
    <row r="254" spans="8:8" x14ac:dyDescent="0.25">
      <c r="H254" s="4">
        <f t="shared" si="3"/>
        <v>0</v>
      </c>
    </row>
    <row r="255" spans="8:8" x14ac:dyDescent="0.25">
      <c r="H255" s="4">
        <f t="shared" si="3"/>
        <v>0</v>
      </c>
    </row>
    <row r="256" spans="8:8" x14ac:dyDescent="0.25">
      <c r="H256" s="4">
        <f t="shared" si="3"/>
        <v>0</v>
      </c>
    </row>
    <row r="257" spans="8:8" x14ac:dyDescent="0.25">
      <c r="H257" s="4">
        <f t="shared" si="3"/>
        <v>0</v>
      </c>
    </row>
    <row r="258" spans="8:8" x14ac:dyDescent="0.25">
      <c r="H258" s="4">
        <f t="shared" si="3"/>
        <v>0</v>
      </c>
    </row>
    <row r="259" spans="8:8" x14ac:dyDescent="0.25">
      <c r="H259" s="4">
        <f t="shared" si="3"/>
        <v>0</v>
      </c>
    </row>
    <row r="260" spans="8:8" x14ac:dyDescent="0.25">
      <c r="H260" s="4">
        <f t="shared" si="3"/>
        <v>0</v>
      </c>
    </row>
    <row r="261" spans="8:8" x14ac:dyDescent="0.25">
      <c r="H261" s="4">
        <f t="shared" ref="H261:H324" si="4">+C261+D261+E261+F261+(G261/2)</f>
        <v>0</v>
      </c>
    </row>
    <row r="262" spans="8:8" x14ac:dyDescent="0.25">
      <c r="H262" s="4">
        <f t="shared" si="4"/>
        <v>0</v>
      </c>
    </row>
    <row r="263" spans="8:8" x14ac:dyDescent="0.25">
      <c r="H263" s="4">
        <f t="shared" si="4"/>
        <v>0</v>
      </c>
    </row>
    <row r="264" spans="8:8" x14ac:dyDescent="0.25">
      <c r="H264" s="4">
        <f t="shared" si="4"/>
        <v>0</v>
      </c>
    </row>
    <row r="265" spans="8:8" x14ac:dyDescent="0.25">
      <c r="H265" s="4">
        <f t="shared" si="4"/>
        <v>0</v>
      </c>
    </row>
    <row r="266" spans="8:8" x14ac:dyDescent="0.25">
      <c r="H266" s="4">
        <f t="shared" si="4"/>
        <v>0</v>
      </c>
    </row>
    <row r="267" spans="8:8" x14ac:dyDescent="0.25">
      <c r="H267" s="4">
        <f t="shared" si="4"/>
        <v>0</v>
      </c>
    </row>
    <row r="268" spans="8:8" x14ac:dyDescent="0.25">
      <c r="H268" s="4">
        <f t="shared" si="4"/>
        <v>0</v>
      </c>
    </row>
    <row r="269" spans="8:8" x14ac:dyDescent="0.25">
      <c r="H269" s="4">
        <f t="shared" si="4"/>
        <v>0</v>
      </c>
    </row>
    <row r="270" spans="8:8" x14ac:dyDescent="0.25">
      <c r="H270" s="4">
        <f t="shared" si="4"/>
        <v>0</v>
      </c>
    </row>
    <row r="271" spans="8:8" x14ac:dyDescent="0.25">
      <c r="H271" s="4">
        <f t="shared" si="4"/>
        <v>0</v>
      </c>
    </row>
    <row r="272" spans="8:8" x14ac:dyDescent="0.25">
      <c r="H272" s="4">
        <f t="shared" si="4"/>
        <v>0</v>
      </c>
    </row>
    <row r="273" spans="8:8" x14ac:dyDescent="0.25">
      <c r="H273" s="4">
        <f t="shared" si="4"/>
        <v>0</v>
      </c>
    </row>
    <row r="274" spans="8:8" x14ac:dyDescent="0.25">
      <c r="H274" s="4">
        <f t="shared" si="4"/>
        <v>0</v>
      </c>
    </row>
    <row r="275" spans="8:8" x14ac:dyDescent="0.25">
      <c r="H275" s="4">
        <f t="shared" si="4"/>
        <v>0</v>
      </c>
    </row>
    <row r="276" spans="8:8" x14ac:dyDescent="0.25">
      <c r="H276" s="4">
        <f t="shared" si="4"/>
        <v>0</v>
      </c>
    </row>
    <row r="277" spans="8:8" x14ac:dyDescent="0.25">
      <c r="H277" s="4">
        <f t="shared" si="4"/>
        <v>0</v>
      </c>
    </row>
    <row r="278" spans="8:8" x14ac:dyDescent="0.25">
      <c r="H278" s="4">
        <f t="shared" si="4"/>
        <v>0</v>
      </c>
    </row>
    <row r="279" spans="8:8" x14ac:dyDescent="0.25">
      <c r="H279" s="4">
        <f t="shared" si="4"/>
        <v>0</v>
      </c>
    </row>
    <row r="280" spans="8:8" x14ac:dyDescent="0.25">
      <c r="H280" s="4">
        <f t="shared" si="4"/>
        <v>0</v>
      </c>
    </row>
    <row r="281" spans="8:8" x14ac:dyDescent="0.25">
      <c r="H281" s="4">
        <f t="shared" si="4"/>
        <v>0</v>
      </c>
    </row>
    <row r="282" spans="8:8" x14ac:dyDescent="0.25">
      <c r="H282" s="4">
        <f t="shared" si="4"/>
        <v>0</v>
      </c>
    </row>
    <row r="283" spans="8:8" x14ac:dyDescent="0.25">
      <c r="H283" s="4">
        <f t="shared" si="4"/>
        <v>0</v>
      </c>
    </row>
    <row r="284" spans="8:8" x14ac:dyDescent="0.25">
      <c r="H284" s="4">
        <f t="shared" si="4"/>
        <v>0</v>
      </c>
    </row>
    <row r="285" spans="8:8" x14ac:dyDescent="0.25">
      <c r="H285" s="4">
        <f t="shared" si="4"/>
        <v>0</v>
      </c>
    </row>
    <row r="286" spans="8:8" x14ac:dyDescent="0.25">
      <c r="H286" s="4">
        <f t="shared" si="4"/>
        <v>0</v>
      </c>
    </row>
    <row r="287" spans="8:8" x14ac:dyDescent="0.25">
      <c r="H287" s="4">
        <f t="shared" si="4"/>
        <v>0</v>
      </c>
    </row>
    <row r="288" spans="8:8" x14ac:dyDescent="0.25">
      <c r="H288" s="4">
        <f t="shared" si="4"/>
        <v>0</v>
      </c>
    </row>
    <row r="289" spans="8:8" x14ac:dyDescent="0.25">
      <c r="H289" s="4">
        <f t="shared" si="4"/>
        <v>0</v>
      </c>
    </row>
    <row r="290" spans="8:8" x14ac:dyDescent="0.25">
      <c r="H290" s="4">
        <f t="shared" si="4"/>
        <v>0</v>
      </c>
    </row>
    <row r="291" spans="8:8" x14ac:dyDescent="0.25">
      <c r="H291" s="4">
        <f t="shared" si="4"/>
        <v>0</v>
      </c>
    </row>
    <row r="292" spans="8:8" x14ac:dyDescent="0.25">
      <c r="H292" s="4">
        <f t="shared" si="4"/>
        <v>0</v>
      </c>
    </row>
    <row r="293" spans="8:8" x14ac:dyDescent="0.25">
      <c r="H293" s="4">
        <f t="shared" si="4"/>
        <v>0</v>
      </c>
    </row>
    <row r="294" spans="8:8" x14ac:dyDescent="0.25">
      <c r="H294" s="4">
        <f t="shared" si="4"/>
        <v>0</v>
      </c>
    </row>
    <row r="295" spans="8:8" x14ac:dyDescent="0.25">
      <c r="H295" s="4">
        <f t="shared" si="4"/>
        <v>0</v>
      </c>
    </row>
    <row r="296" spans="8:8" x14ac:dyDescent="0.25">
      <c r="H296" s="4">
        <f t="shared" si="4"/>
        <v>0</v>
      </c>
    </row>
    <row r="297" spans="8:8" x14ac:dyDescent="0.25">
      <c r="H297" s="4">
        <f t="shared" si="4"/>
        <v>0</v>
      </c>
    </row>
    <row r="298" spans="8:8" x14ac:dyDescent="0.25">
      <c r="H298" s="4">
        <f t="shared" si="4"/>
        <v>0</v>
      </c>
    </row>
    <row r="299" spans="8:8" x14ac:dyDescent="0.25">
      <c r="H299" s="4">
        <f t="shared" si="4"/>
        <v>0</v>
      </c>
    </row>
    <row r="300" spans="8:8" x14ac:dyDescent="0.25">
      <c r="H300" s="4">
        <f t="shared" si="4"/>
        <v>0</v>
      </c>
    </row>
    <row r="301" spans="8:8" x14ac:dyDescent="0.25">
      <c r="H301" s="4">
        <f t="shared" si="4"/>
        <v>0</v>
      </c>
    </row>
    <row r="302" spans="8:8" x14ac:dyDescent="0.25">
      <c r="H302" s="4">
        <f t="shared" si="4"/>
        <v>0</v>
      </c>
    </row>
    <row r="303" spans="8:8" x14ac:dyDescent="0.25">
      <c r="H303" s="4">
        <f t="shared" si="4"/>
        <v>0</v>
      </c>
    </row>
    <row r="304" spans="8:8" x14ac:dyDescent="0.25">
      <c r="H304" s="4">
        <f t="shared" si="4"/>
        <v>0</v>
      </c>
    </row>
    <row r="305" spans="8:8" x14ac:dyDescent="0.25">
      <c r="H305" s="4">
        <f t="shared" si="4"/>
        <v>0</v>
      </c>
    </row>
    <row r="306" spans="8:8" x14ac:dyDescent="0.25">
      <c r="H306" s="4">
        <f t="shared" si="4"/>
        <v>0</v>
      </c>
    </row>
    <row r="307" spans="8:8" x14ac:dyDescent="0.25">
      <c r="H307" s="4">
        <f t="shared" si="4"/>
        <v>0</v>
      </c>
    </row>
    <row r="308" spans="8:8" x14ac:dyDescent="0.25">
      <c r="H308" s="4">
        <f t="shared" si="4"/>
        <v>0</v>
      </c>
    </row>
    <row r="309" spans="8:8" x14ac:dyDescent="0.25">
      <c r="H309" s="4">
        <f t="shared" si="4"/>
        <v>0</v>
      </c>
    </row>
    <row r="310" spans="8:8" x14ac:dyDescent="0.25">
      <c r="H310" s="4">
        <f t="shared" si="4"/>
        <v>0</v>
      </c>
    </row>
    <row r="311" spans="8:8" x14ac:dyDescent="0.25">
      <c r="H311" s="4">
        <f t="shared" si="4"/>
        <v>0</v>
      </c>
    </row>
    <row r="312" spans="8:8" x14ac:dyDescent="0.25">
      <c r="H312" s="4">
        <f t="shared" si="4"/>
        <v>0</v>
      </c>
    </row>
    <row r="313" spans="8:8" x14ac:dyDescent="0.25">
      <c r="H313" s="4">
        <f t="shared" si="4"/>
        <v>0</v>
      </c>
    </row>
    <row r="314" spans="8:8" x14ac:dyDescent="0.25">
      <c r="H314" s="4">
        <f t="shared" si="4"/>
        <v>0</v>
      </c>
    </row>
    <row r="315" spans="8:8" x14ac:dyDescent="0.25">
      <c r="H315" s="4">
        <f t="shared" si="4"/>
        <v>0</v>
      </c>
    </row>
    <row r="316" spans="8:8" x14ac:dyDescent="0.25">
      <c r="H316" s="4">
        <f t="shared" si="4"/>
        <v>0</v>
      </c>
    </row>
    <row r="317" spans="8:8" x14ac:dyDescent="0.25">
      <c r="H317" s="4">
        <f t="shared" si="4"/>
        <v>0</v>
      </c>
    </row>
    <row r="318" spans="8:8" x14ac:dyDescent="0.25">
      <c r="H318" s="4">
        <f t="shared" si="4"/>
        <v>0</v>
      </c>
    </row>
    <row r="319" spans="8:8" x14ac:dyDescent="0.25">
      <c r="H319" s="4">
        <f t="shared" si="4"/>
        <v>0</v>
      </c>
    </row>
    <row r="320" spans="8:8" x14ac:dyDescent="0.25">
      <c r="H320" s="4">
        <f t="shared" si="4"/>
        <v>0</v>
      </c>
    </row>
    <row r="321" spans="8:8" x14ac:dyDescent="0.25">
      <c r="H321" s="4">
        <f t="shared" si="4"/>
        <v>0</v>
      </c>
    </row>
    <row r="322" spans="8:8" x14ac:dyDescent="0.25">
      <c r="H322" s="4">
        <f t="shared" si="4"/>
        <v>0</v>
      </c>
    </row>
    <row r="323" spans="8:8" x14ac:dyDescent="0.25">
      <c r="H323" s="4">
        <f t="shared" si="4"/>
        <v>0</v>
      </c>
    </row>
    <row r="324" spans="8:8" x14ac:dyDescent="0.25">
      <c r="H324" s="4">
        <f t="shared" si="4"/>
        <v>0</v>
      </c>
    </row>
    <row r="325" spans="8:8" x14ac:dyDescent="0.25">
      <c r="H325" s="4">
        <f t="shared" ref="H325:H388" si="5">+C325+D325+E325+F325+(G325/2)</f>
        <v>0</v>
      </c>
    </row>
    <row r="326" spans="8:8" x14ac:dyDescent="0.25">
      <c r="H326" s="4">
        <f t="shared" si="5"/>
        <v>0</v>
      </c>
    </row>
    <row r="327" spans="8:8" x14ac:dyDescent="0.25">
      <c r="H327" s="4">
        <f t="shared" si="5"/>
        <v>0</v>
      </c>
    </row>
    <row r="328" spans="8:8" x14ac:dyDescent="0.25">
      <c r="H328" s="4">
        <f t="shared" si="5"/>
        <v>0</v>
      </c>
    </row>
    <row r="329" spans="8:8" x14ac:dyDescent="0.25">
      <c r="H329" s="4">
        <f t="shared" si="5"/>
        <v>0</v>
      </c>
    </row>
    <row r="330" spans="8:8" x14ac:dyDescent="0.25">
      <c r="H330" s="4">
        <f t="shared" si="5"/>
        <v>0</v>
      </c>
    </row>
    <row r="331" spans="8:8" x14ac:dyDescent="0.25">
      <c r="H331" s="4">
        <f t="shared" si="5"/>
        <v>0</v>
      </c>
    </row>
    <row r="332" spans="8:8" x14ac:dyDescent="0.25">
      <c r="H332" s="4">
        <f t="shared" si="5"/>
        <v>0</v>
      </c>
    </row>
    <row r="333" spans="8:8" x14ac:dyDescent="0.25">
      <c r="H333" s="4">
        <f t="shared" si="5"/>
        <v>0</v>
      </c>
    </row>
    <row r="334" spans="8:8" x14ac:dyDescent="0.25">
      <c r="H334" s="4">
        <f t="shared" si="5"/>
        <v>0</v>
      </c>
    </row>
    <row r="335" spans="8:8" x14ac:dyDescent="0.25">
      <c r="H335" s="4">
        <f t="shared" si="5"/>
        <v>0</v>
      </c>
    </row>
    <row r="336" spans="8:8" x14ac:dyDescent="0.25">
      <c r="H336" s="4">
        <f t="shared" si="5"/>
        <v>0</v>
      </c>
    </row>
    <row r="337" spans="8:8" x14ac:dyDescent="0.25">
      <c r="H337" s="4">
        <f t="shared" si="5"/>
        <v>0</v>
      </c>
    </row>
    <row r="338" spans="8:8" x14ac:dyDescent="0.25">
      <c r="H338" s="4">
        <f t="shared" si="5"/>
        <v>0</v>
      </c>
    </row>
    <row r="339" spans="8:8" x14ac:dyDescent="0.25">
      <c r="H339" s="4">
        <f t="shared" si="5"/>
        <v>0</v>
      </c>
    </row>
    <row r="340" spans="8:8" x14ac:dyDescent="0.25">
      <c r="H340" s="4">
        <f t="shared" si="5"/>
        <v>0</v>
      </c>
    </row>
    <row r="341" spans="8:8" x14ac:dyDescent="0.25">
      <c r="H341" s="4">
        <f t="shared" si="5"/>
        <v>0</v>
      </c>
    </row>
    <row r="342" spans="8:8" x14ac:dyDescent="0.25">
      <c r="H342" s="4">
        <f t="shared" si="5"/>
        <v>0</v>
      </c>
    </row>
    <row r="343" spans="8:8" x14ac:dyDescent="0.25">
      <c r="H343" s="4">
        <f t="shared" si="5"/>
        <v>0</v>
      </c>
    </row>
    <row r="344" spans="8:8" x14ac:dyDescent="0.25">
      <c r="H344" s="4">
        <f t="shared" si="5"/>
        <v>0</v>
      </c>
    </row>
    <row r="345" spans="8:8" x14ac:dyDescent="0.25">
      <c r="H345" s="4">
        <f t="shared" si="5"/>
        <v>0</v>
      </c>
    </row>
    <row r="346" spans="8:8" x14ac:dyDescent="0.25">
      <c r="H346" s="4">
        <f t="shared" si="5"/>
        <v>0</v>
      </c>
    </row>
    <row r="347" spans="8:8" x14ac:dyDescent="0.25">
      <c r="H347" s="4">
        <f t="shared" si="5"/>
        <v>0</v>
      </c>
    </row>
    <row r="348" spans="8:8" x14ac:dyDescent="0.25">
      <c r="H348" s="4">
        <f t="shared" si="5"/>
        <v>0</v>
      </c>
    </row>
    <row r="349" spans="8:8" x14ac:dyDescent="0.25">
      <c r="H349" s="4">
        <f t="shared" si="5"/>
        <v>0</v>
      </c>
    </row>
    <row r="350" spans="8:8" x14ac:dyDescent="0.25">
      <c r="H350" s="4">
        <f t="shared" si="5"/>
        <v>0</v>
      </c>
    </row>
    <row r="351" spans="8:8" x14ac:dyDescent="0.25">
      <c r="H351" s="4">
        <f t="shared" si="5"/>
        <v>0</v>
      </c>
    </row>
    <row r="352" spans="8:8" x14ac:dyDescent="0.25">
      <c r="H352" s="4">
        <f t="shared" si="5"/>
        <v>0</v>
      </c>
    </row>
    <row r="353" spans="8:8" x14ac:dyDescent="0.25">
      <c r="H353" s="4">
        <f t="shared" si="5"/>
        <v>0</v>
      </c>
    </row>
    <row r="354" spans="8:8" x14ac:dyDescent="0.25">
      <c r="H354" s="4">
        <f t="shared" si="5"/>
        <v>0</v>
      </c>
    </row>
    <row r="355" spans="8:8" x14ac:dyDescent="0.25">
      <c r="H355" s="4">
        <f t="shared" si="5"/>
        <v>0</v>
      </c>
    </row>
    <row r="356" spans="8:8" x14ac:dyDescent="0.25">
      <c r="H356" s="4">
        <f t="shared" si="5"/>
        <v>0</v>
      </c>
    </row>
    <row r="357" spans="8:8" x14ac:dyDescent="0.25">
      <c r="H357" s="4">
        <f t="shared" si="5"/>
        <v>0</v>
      </c>
    </row>
    <row r="358" spans="8:8" x14ac:dyDescent="0.25">
      <c r="H358" s="4">
        <f t="shared" si="5"/>
        <v>0</v>
      </c>
    </row>
    <row r="359" spans="8:8" x14ac:dyDescent="0.25">
      <c r="H359" s="4">
        <f t="shared" si="5"/>
        <v>0</v>
      </c>
    </row>
    <row r="360" spans="8:8" x14ac:dyDescent="0.25">
      <c r="H360" s="4">
        <f t="shared" si="5"/>
        <v>0</v>
      </c>
    </row>
    <row r="361" spans="8:8" x14ac:dyDescent="0.25">
      <c r="H361" s="4">
        <f t="shared" si="5"/>
        <v>0</v>
      </c>
    </row>
    <row r="362" spans="8:8" x14ac:dyDescent="0.25">
      <c r="H362" s="4">
        <f t="shared" si="5"/>
        <v>0</v>
      </c>
    </row>
    <row r="363" spans="8:8" x14ac:dyDescent="0.25">
      <c r="H363" s="4">
        <f t="shared" si="5"/>
        <v>0</v>
      </c>
    </row>
    <row r="364" spans="8:8" x14ac:dyDescent="0.25">
      <c r="H364" s="4">
        <f t="shared" si="5"/>
        <v>0</v>
      </c>
    </row>
    <row r="365" spans="8:8" x14ac:dyDescent="0.25">
      <c r="H365" s="4">
        <f t="shared" si="5"/>
        <v>0</v>
      </c>
    </row>
    <row r="366" spans="8:8" x14ac:dyDescent="0.25">
      <c r="H366" s="4">
        <f t="shared" si="5"/>
        <v>0</v>
      </c>
    </row>
    <row r="367" spans="8:8" x14ac:dyDescent="0.25">
      <c r="H367" s="4">
        <f t="shared" si="5"/>
        <v>0</v>
      </c>
    </row>
    <row r="368" spans="8:8" x14ac:dyDescent="0.25">
      <c r="H368" s="4">
        <f t="shared" si="5"/>
        <v>0</v>
      </c>
    </row>
    <row r="369" spans="8:8" x14ac:dyDescent="0.25">
      <c r="H369" s="4">
        <f t="shared" si="5"/>
        <v>0</v>
      </c>
    </row>
    <row r="370" spans="8:8" x14ac:dyDescent="0.25">
      <c r="H370" s="4">
        <f t="shared" si="5"/>
        <v>0</v>
      </c>
    </row>
    <row r="371" spans="8:8" x14ac:dyDescent="0.25">
      <c r="H371" s="4">
        <f t="shared" si="5"/>
        <v>0</v>
      </c>
    </row>
    <row r="372" spans="8:8" x14ac:dyDescent="0.25">
      <c r="H372" s="4">
        <f t="shared" si="5"/>
        <v>0</v>
      </c>
    </row>
    <row r="373" spans="8:8" x14ac:dyDescent="0.25">
      <c r="H373" s="4">
        <f t="shared" si="5"/>
        <v>0</v>
      </c>
    </row>
    <row r="374" spans="8:8" x14ac:dyDescent="0.25">
      <c r="H374" s="4">
        <f t="shared" si="5"/>
        <v>0</v>
      </c>
    </row>
    <row r="375" spans="8:8" x14ac:dyDescent="0.25">
      <c r="H375" s="4">
        <f t="shared" si="5"/>
        <v>0</v>
      </c>
    </row>
    <row r="376" spans="8:8" x14ac:dyDescent="0.25">
      <c r="H376" s="4">
        <f t="shared" si="5"/>
        <v>0</v>
      </c>
    </row>
    <row r="377" spans="8:8" x14ac:dyDescent="0.25">
      <c r="H377" s="4">
        <f t="shared" si="5"/>
        <v>0</v>
      </c>
    </row>
    <row r="378" spans="8:8" x14ac:dyDescent="0.25">
      <c r="H378" s="4">
        <f t="shared" si="5"/>
        <v>0</v>
      </c>
    </row>
    <row r="379" spans="8:8" x14ac:dyDescent="0.25">
      <c r="H379" s="4">
        <f t="shared" si="5"/>
        <v>0</v>
      </c>
    </row>
    <row r="380" spans="8:8" x14ac:dyDescent="0.25">
      <c r="H380" s="4">
        <f t="shared" si="5"/>
        <v>0</v>
      </c>
    </row>
    <row r="381" spans="8:8" x14ac:dyDescent="0.25">
      <c r="H381" s="4">
        <f t="shared" si="5"/>
        <v>0</v>
      </c>
    </row>
    <row r="382" spans="8:8" x14ac:dyDescent="0.25">
      <c r="H382" s="4">
        <f t="shared" si="5"/>
        <v>0</v>
      </c>
    </row>
    <row r="383" spans="8:8" x14ac:dyDescent="0.25">
      <c r="H383" s="4">
        <f t="shared" si="5"/>
        <v>0</v>
      </c>
    </row>
    <row r="384" spans="8:8" x14ac:dyDescent="0.25">
      <c r="H384" s="4">
        <f t="shared" si="5"/>
        <v>0</v>
      </c>
    </row>
    <row r="385" spans="8:8" x14ac:dyDescent="0.25">
      <c r="H385" s="4">
        <f t="shared" si="5"/>
        <v>0</v>
      </c>
    </row>
    <row r="386" spans="8:8" x14ac:dyDescent="0.25">
      <c r="H386" s="4">
        <f t="shared" si="5"/>
        <v>0</v>
      </c>
    </row>
    <row r="387" spans="8:8" x14ac:dyDescent="0.25">
      <c r="H387" s="4">
        <f t="shared" si="5"/>
        <v>0</v>
      </c>
    </row>
    <row r="388" spans="8:8" x14ac:dyDescent="0.25">
      <c r="H388" s="4">
        <f t="shared" si="5"/>
        <v>0</v>
      </c>
    </row>
    <row r="389" spans="8:8" x14ac:dyDescent="0.25">
      <c r="H389" s="4">
        <f t="shared" ref="H389:H452" si="6">+C389+D389+E389+F389+(G389/2)</f>
        <v>0</v>
      </c>
    </row>
    <row r="390" spans="8:8" x14ac:dyDescent="0.25">
      <c r="H390" s="4">
        <f t="shared" si="6"/>
        <v>0</v>
      </c>
    </row>
    <row r="391" spans="8:8" x14ac:dyDescent="0.25">
      <c r="H391" s="4">
        <f t="shared" si="6"/>
        <v>0</v>
      </c>
    </row>
    <row r="392" spans="8:8" x14ac:dyDescent="0.25">
      <c r="H392" s="4">
        <f t="shared" si="6"/>
        <v>0</v>
      </c>
    </row>
    <row r="393" spans="8:8" x14ac:dyDescent="0.25">
      <c r="H393" s="4">
        <f t="shared" si="6"/>
        <v>0</v>
      </c>
    </row>
    <row r="394" spans="8:8" x14ac:dyDescent="0.25">
      <c r="H394" s="4">
        <f t="shared" si="6"/>
        <v>0</v>
      </c>
    </row>
    <row r="395" spans="8:8" x14ac:dyDescent="0.25">
      <c r="H395" s="4">
        <f t="shared" si="6"/>
        <v>0</v>
      </c>
    </row>
    <row r="396" spans="8:8" x14ac:dyDescent="0.25">
      <c r="H396" s="4">
        <f t="shared" si="6"/>
        <v>0</v>
      </c>
    </row>
    <row r="397" spans="8:8" x14ac:dyDescent="0.25">
      <c r="H397" s="4">
        <f t="shared" si="6"/>
        <v>0</v>
      </c>
    </row>
    <row r="398" spans="8:8" x14ac:dyDescent="0.25">
      <c r="H398" s="4">
        <f t="shared" si="6"/>
        <v>0</v>
      </c>
    </row>
    <row r="399" spans="8:8" x14ac:dyDescent="0.25">
      <c r="H399" s="4">
        <f t="shared" si="6"/>
        <v>0</v>
      </c>
    </row>
    <row r="400" spans="8:8" x14ac:dyDescent="0.25">
      <c r="H400" s="4">
        <f t="shared" si="6"/>
        <v>0</v>
      </c>
    </row>
    <row r="401" spans="8:8" x14ac:dyDescent="0.25">
      <c r="H401" s="4">
        <f t="shared" si="6"/>
        <v>0</v>
      </c>
    </row>
    <row r="402" spans="8:8" x14ac:dyDescent="0.25">
      <c r="H402" s="4">
        <f t="shared" si="6"/>
        <v>0</v>
      </c>
    </row>
    <row r="403" spans="8:8" x14ac:dyDescent="0.25">
      <c r="H403" s="4">
        <f t="shared" si="6"/>
        <v>0</v>
      </c>
    </row>
    <row r="404" spans="8:8" x14ac:dyDescent="0.25">
      <c r="H404" s="4">
        <f t="shared" si="6"/>
        <v>0</v>
      </c>
    </row>
    <row r="405" spans="8:8" x14ac:dyDescent="0.25">
      <c r="H405" s="4">
        <f t="shared" si="6"/>
        <v>0</v>
      </c>
    </row>
    <row r="406" spans="8:8" x14ac:dyDescent="0.25">
      <c r="H406" s="4">
        <f t="shared" si="6"/>
        <v>0</v>
      </c>
    </row>
    <row r="407" spans="8:8" x14ac:dyDescent="0.25">
      <c r="H407" s="4">
        <f t="shared" si="6"/>
        <v>0</v>
      </c>
    </row>
    <row r="408" spans="8:8" x14ac:dyDescent="0.25">
      <c r="H408" s="4">
        <f t="shared" si="6"/>
        <v>0</v>
      </c>
    </row>
    <row r="409" spans="8:8" x14ac:dyDescent="0.25">
      <c r="H409" s="4">
        <f t="shared" si="6"/>
        <v>0</v>
      </c>
    </row>
    <row r="410" spans="8:8" x14ac:dyDescent="0.25">
      <c r="H410" s="4">
        <f t="shared" si="6"/>
        <v>0</v>
      </c>
    </row>
    <row r="411" spans="8:8" x14ac:dyDescent="0.25">
      <c r="H411" s="4">
        <f t="shared" si="6"/>
        <v>0</v>
      </c>
    </row>
    <row r="412" spans="8:8" x14ac:dyDescent="0.25">
      <c r="H412" s="4">
        <f t="shared" si="6"/>
        <v>0</v>
      </c>
    </row>
    <row r="413" spans="8:8" x14ac:dyDescent="0.25">
      <c r="H413" s="4">
        <f t="shared" si="6"/>
        <v>0</v>
      </c>
    </row>
    <row r="414" spans="8:8" x14ac:dyDescent="0.25">
      <c r="H414" s="4">
        <f t="shared" si="6"/>
        <v>0</v>
      </c>
    </row>
    <row r="415" spans="8:8" x14ac:dyDescent="0.25">
      <c r="H415" s="4">
        <f t="shared" si="6"/>
        <v>0</v>
      </c>
    </row>
    <row r="416" spans="8:8" x14ac:dyDescent="0.25">
      <c r="H416" s="4">
        <f t="shared" si="6"/>
        <v>0</v>
      </c>
    </row>
    <row r="417" spans="8:8" x14ac:dyDescent="0.25">
      <c r="H417" s="4">
        <f t="shared" si="6"/>
        <v>0</v>
      </c>
    </row>
    <row r="418" spans="8:8" x14ac:dyDescent="0.25">
      <c r="H418" s="4">
        <f t="shared" si="6"/>
        <v>0</v>
      </c>
    </row>
    <row r="419" spans="8:8" x14ac:dyDescent="0.25">
      <c r="H419" s="4">
        <f t="shared" si="6"/>
        <v>0</v>
      </c>
    </row>
    <row r="420" spans="8:8" x14ac:dyDescent="0.25">
      <c r="H420" s="4">
        <f t="shared" si="6"/>
        <v>0</v>
      </c>
    </row>
    <row r="421" spans="8:8" x14ac:dyDescent="0.25">
      <c r="H421" s="4">
        <f t="shared" si="6"/>
        <v>0</v>
      </c>
    </row>
    <row r="422" spans="8:8" x14ac:dyDescent="0.25">
      <c r="H422" s="4">
        <f t="shared" si="6"/>
        <v>0</v>
      </c>
    </row>
    <row r="423" spans="8:8" x14ac:dyDescent="0.25">
      <c r="H423" s="4">
        <f t="shared" si="6"/>
        <v>0</v>
      </c>
    </row>
    <row r="424" spans="8:8" x14ac:dyDescent="0.25">
      <c r="H424" s="4">
        <f t="shared" si="6"/>
        <v>0</v>
      </c>
    </row>
    <row r="425" spans="8:8" x14ac:dyDescent="0.25">
      <c r="H425" s="4">
        <f t="shared" si="6"/>
        <v>0</v>
      </c>
    </row>
    <row r="426" spans="8:8" x14ac:dyDescent="0.25">
      <c r="H426" s="4">
        <f t="shared" si="6"/>
        <v>0</v>
      </c>
    </row>
    <row r="427" spans="8:8" x14ac:dyDescent="0.25">
      <c r="H427" s="4">
        <f t="shared" si="6"/>
        <v>0</v>
      </c>
    </row>
    <row r="428" spans="8:8" x14ac:dyDescent="0.25">
      <c r="H428" s="4">
        <f t="shared" si="6"/>
        <v>0</v>
      </c>
    </row>
    <row r="429" spans="8:8" x14ac:dyDescent="0.25">
      <c r="H429" s="4">
        <f t="shared" si="6"/>
        <v>0</v>
      </c>
    </row>
    <row r="430" spans="8:8" x14ac:dyDescent="0.25">
      <c r="H430" s="4">
        <f t="shared" si="6"/>
        <v>0</v>
      </c>
    </row>
    <row r="431" spans="8:8" x14ac:dyDescent="0.25">
      <c r="H431" s="4">
        <f t="shared" si="6"/>
        <v>0</v>
      </c>
    </row>
    <row r="432" spans="8:8" x14ac:dyDescent="0.25">
      <c r="H432" s="4">
        <f t="shared" si="6"/>
        <v>0</v>
      </c>
    </row>
    <row r="433" spans="8:8" x14ac:dyDescent="0.25">
      <c r="H433" s="4">
        <f t="shared" si="6"/>
        <v>0</v>
      </c>
    </row>
    <row r="434" spans="8:8" x14ac:dyDescent="0.25">
      <c r="H434" s="4">
        <f t="shared" si="6"/>
        <v>0</v>
      </c>
    </row>
    <row r="435" spans="8:8" x14ac:dyDescent="0.25">
      <c r="H435" s="4">
        <f t="shared" si="6"/>
        <v>0</v>
      </c>
    </row>
    <row r="436" spans="8:8" x14ac:dyDescent="0.25">
      <c r="H436" s="4">
        <f t="shared" si="6"/>
        <v>0</v>
      </c>
    </row>
    <row r="437" spans="8:8" x14ac:dyDescent="0.25">
      <c r="H437" s="4">
        <f t="shared" si="6"/>
        <v>0</v>
      </c>
    </row>
    <row r="438" spans="8:8" x14ac:dyDescent="0.25">
      <c r="H438" s="4">
        <f t="shared" si="6"/>
        <v>0</v>
      </c>
    </row>
    <row r="439" spans="8:8" x14ac:dyDescent="0.25">
      <c r="H439" s="4">
        <f t="shared" si="6"/>
        <v>0</v>
      </c>
    </row>
    <row r="440" spans="8:8" x14ac:dyDescent="0.25">
      <c r="H440" s="4">
        <f t="shared" si="6"/>
        <v>0</v>
      </c>
    </row>
    <row r="441" spans="8:8" x14ac:dyDescent="0.25">
      <c r="H441" s="4">
        <f t="shared" si="6"/>
        <v>0</v>
      </c>
    </row>
    <row r="442" spans="8:8" x14ac:dyDescent="0.25">
      <c r="H442" s="4">
        <f t="shared" si="6"/>
        <v>0</v>
      </c>
    </row>
    <row r="443" spans="8:8" x14ac:dyDescent="0.25">
      <c r="H443" s="4">
        <f t="shared" si="6"/>
        <v>0</v>
      </c>
    </row>
    <row r="444" spans="8:8" x14ac:dyDescent="0.25">
      <c r="H444" s="4">
        <f t="shared" si="6"/>
        <v>0</v>
      </c>
    </row>
    <row r="445" spans="8:8" x14ac:dyDescent="0.25">
      <c r="H445" s="4">
        <f t="shared" si="6"/>
        <v>0</v>
      </c>
    </row>
    <row r="446" spans="8:8" x14ac:dyDescent="0.25">
      <c r="H446" s="4">
        <f t="shared" si="6"/>
        <v>0</v>
      </c>
    </row>
    <row r="447" spans="8:8" x14ac:dyDescent="0.25">
      <c r="H447" s="4">
        <f t="shared" si="6"/>
        <v>0</v>
      </c>
    </row>
    <row r="448" spans="8:8" x14ac:dyDescent="0.25">
      <c r="H448" s="4">
        <f t="shared" si="6"/>
        <v>0</v>
      </c>
    </row>
    <row r="449" spans="8:8" x14ac:dyDescent="0.25">
      <c r="H449" s="4">
        <f t="shared" si="6"/>
        <v>0</v>
      </c>
    </row>
    <row r="450" spans="8:8" x14ac:dyDescent="0.25">
      <c r="H450" s="4">
        <f t="shared" si="6"/>
        <v>0</v>
      </c>
    </row>
    <row r="451" spans="8:8" x14ac:dyDescent="0.25">
      <c r="H451" s="4">
        <f t="shared" si="6"/>
        <v>0</v>
      </c>
    </row>
    <row r="452" spans="8:8" x14ac:dyDescent="0.25">
      <c r="H452" s="4">
        <f t="shared" si="6"/>
        <v>0</v>
      </c>
    </row>
    <row r="453" spans="8:8" x14ac:dyDescent="0.25">
      <c r="H453" s="4">
        <f t="shared" ref="H453:H516" si="7">+C453+D453+E453+F453+(G453/2)</f>
        <v>0</v>
      </c>
    </row>
    <row r="454" spans="8:8" x14ac:dyDescent="0.25">
      <c r="H454" s="4">
        <f t="shared" si="7"/>
        <v>0</v>
      </c>
    </row>
    <row r="455" spans="8:8" x14ac:dyDescent="0.25">
      <c r="H455" s="4">
        <f t="shared" si="7"/>
        <v>0</v>
      </c>
    </row>
    <row r="456" spans="8:8" x14ac:dyDescent="0.25">
      <c r="H456" s="4">
        <f t="shared" si="7"/>
        <v>0</v>
      </c>
    </row>
    <row r="457" spans="8:8" x14ac:dyDescent="0.25">
      <c r="H457" s="4">
        <f t="shared" si="7"/>
        <v>0</v>
      </c>
    </row>
    <row r="458" spans="8:8" x14ac:dyDescent="0.25">
      <c r="H458" s="4">
        <f t="shared" si="7"/>
        <v>0</v>
      </c>
    </row>
    <row r="459" spans="8:8" x14ac:dyDescent="0.25">
      <c r="H459" s="4">
        <f t="shared" si="7"/>
        <v>0</v>
      </c>
    </row>
    <row r="460" spans="8:8" x14ac:dyDescent="0.25">
      <c r="H460" s="4">
        <f t="shared" si="7"/>
        <v>0</v>
      </c>
    </row>
    <row r="461" spans="8:8" x14ac:dyDescent="0.25">
      <c r="H461" s="4">
        <f t="shared" si="7"/>
        <v>0</v>
      </c>
    </row>
    <row r="462" spans="8:8" x14ac:dyDescent="0.25">
      <c r="H462" s="4">
        <f t="shared" si="7"/>
        <v>0</v>
      </c>
    </row>
    <row r="463" spans="8:8" x14ac:dyDescent="0.25">
      <c r="H463" s="4">
        <f t="shared" si="7"/>
        <v>0</v>
      </c>
    </row>
    <row r="464" spans="8:8" x14ac:dyDescent="0.25">
      <c r="H464" s="4">
        <f t="shared" si="7"/>
        <v>0</v>
      </c>
    </row>
    <row r="465" spans="8:8" x14ac:dyDescent="0.25">
      <c r="H465" s="4">
        <f t="shared" si="7"/>
        <v>0</v>
      </c>
    </row>
    <row r="466" spans="8:8" x14ac:dyDescent="0.25">
      <c r="H466" s="4">
        <f t="shared" si="7"/>
        <v>0</v>
      </c>
    </row>
    <row r="467" spans="8:8" x14ac:dyDescent="0.25">
      <c r="H467" s="4">
        <f t="shared" si="7"/>
        <v>0</v>
      </c>
    </row>
    <row r="468" spans="8:8" x14ac:dyDescent="0.25">
      <c r="H468" s="4">
        <f t="shared" si="7"/>
        <v>0</v>
      </c>
    </row>
    <row r="469" spans="8:8" x14ac:dyDescent="0.25">
      <c r="H469" s="4">
        <f t="shared" si="7"/>
        <v>0</v>
      </c>
    </row>
    <row r="470" spans="8:8" x14ac:dyDescent="0.25">
      <c r="H470" s="4">
        <f t="shared" si="7"/>
        <v>0</v>
      </c>
    </row>
    <row r="471" spans="8:8" x14ac:dyDescent="0.25">
      <c r="H471" s="4">
        <f t="shared" si="7"/>
        <v>0</v>
      </c>
    </row>
    <row r="472" spans="8:8" x14ac:dyDescent="0.25">
      <c r="H472" s="4">
        <f t="shared" si="7"/>
        <v>0</v>
      </c>
    </row>
    <row r="473" spans="8:8" x14ac:dyDescent="0.25">
      <c r="H473" s="4">
        <f t="shared" si="7"/>
        <v>0</v>
      </c>
    </row>
    <row r="474" spans="8:8" x14ac:dyDescent="0.25">
      <c r="H474" s="4">
        <f t="shared" si="7"/>
        <v>0</v>
      </c>
    </row>
    <row r="475" spans="8:8" x14ac:dyDescent="0.25">
      <c r="H475" s="4">
        <f t="shared" si="7"/>
        <v>0</v>
      </c>
    </row>
    <row r="476" spans="8:8" x14ac:dyDescent="0.25">
      <c r="H476" s="4">
        <f t="shared" si="7"/>
        <v>0</v>
      </c>
    </row>
    <row r="477" spans="8:8" x14ac:dyDescent="0.25">
      <c r="H477" s="4">
        <f t="shared" si="7"/>
        <v>0</v>
      </c>
    </row>
    <row r="478" spans="8:8" x14ac:dyDescent="0.25">
      <c r="H478" s="4">
        <f t="shared" si="7"/>
        <v>0</v>
      </c>
    </row>
    <row r="479" spans="8:8" x14ac:dyDescent="0.25">
      <c r="H479" s="4">
        <f t="shared" si="7"/>
        <v>0</v>
      </c>
    </row>
    <row r="480" spans="8:8" x14ac:dyDescent="0.25">
      <c r="H480" s="4">
        <f t="shared" si="7"/>
        <v>0</v>
      </c>
    </row>
    <row r="481" spans="8:8" x14ac:dyDescent="0.25">
      <c r="H481" s="4">
        <f t="shared" si="7"/>
        <v>0</v>
      </c>
    </row>
    <row r="482" spans="8:8" x14ac:dyDescent="0.25">
      <c r="H482" s="4">
        <f t="shared" si="7"/>
        <v>0</v>
      </c>
    </row>
    <row r="483" spans="8:8" x14ac:dyDescent="0.25">
      <c r="H483" s="4">
        <f t="shared" si="7"/>
        <v>0</v>
      </c>
    </row>
    <row r="484" spans="8:8" x14ac:dyDescent="0.25">
      <c r="H484" s="4">
        <f t="shared" si="7"/>
        <v>0</v>
      </c>
    </row>
    <row r="485" spans="8:8" x14ac:dyDescent="0.25">
      <c r="H485" s="4">
        <f t="shared" si="7"/>
        <v>0</v>
      </c>
    </row>
    <row r="486" spans="8:8" x14ac:dyDescent="0.25">
      <c r="H486" s="4">
        <f t="shared" si="7"/>
        <v>0</v>
      </c>
    </row>
    <row r="487" spans="8:8" x14ac:dyDescent="0.25">
      <c r="H487" s="4">
        <f t="shared" si="7"/>
        <v>0</v>
      </c>
    </row>
    <row r="488" spans="8:8" x14ac:dyDescent="0.25">
      <c r="H488" s="4">
        <f t="shared" si="7"/>
        <v>0</v>
      </c>
    </row>
    <row r="489" spans="8:8" x14ac:dyDescent="0.25">
      <c r="H489" s="4">
        <f t="shared" si="7"/>
        <v>0</v>
      </c>
    </row>
    <row r="490" spans="8:8" x14ac:dyDescent="0.25">
      <c r="H490" s="4">
        <f t="shared" si="7"/>
        <v>0</v>
      </c>
    </row>
    <row r="491" spans="8:8" x14ac:dyDescent="0.25">
      <c r="H491" s="4">
        <f t="shared" si="7"/>
        <v>0</v>
      </c>
    </row>
    <row r="492" spans="8:8" x14ac:dyDescent="0.25">
      <c r="H492" s="4">
        <f t="shared" si="7"/>
        <v>0</v>
      </c>
    </row>
    <row r="493" spans="8:8" x14ac:dyDescent="0.25">
      <c r="H493" s="4">
        <f t="shared" si="7"/>
        <v>0</v>
      </c>
    </row>
    <row r="494" spans="8:8" x14ac:dyDescent="0.25">
      <c r="H494" s="4">
        <f t="shared" si="7"/>
        <v>0</v>
      </c>
    </row>
    <row r="495" spans="8:8" x14ac:dyDescent="0.25">
      <c r="H495" s="4">
        <f t="shared" si="7"/>
        <v>0</v>
      </c>
    </row>
    <row r="496" spans="8:8" x14ac:dyDescent="0.25">
      <c r="H496" s="4">
        <f t="shared" si="7"/>
        <v>0</v>
      </c>
    </row>
    <row r="497" spans="8:8" x14ac:dyDescent="0.25">
      <c r="H497" s="4">
        <f t="shared" si="7"/>
        <v>0</v>
      </c>
    </row>
    <row r="498" spans="8:8" x14ac:dyDescent="0.25">
      <c r="H498" s="4">
        <f t="shared" si="7"/>
        <v>0</v>
      </c>
    </row>
    <row r="499" spans="8:8" x14ac:dyDescent="0.25">
      <c r="H499" s="4">
        <f t="shared" si="7"/>
        <v>0</v>
      </c>
    </row>
    <row r="500" spans="8:8" x14ac:dyDescent="0.25">
      <c r="H500" s="4">
        <f t="shared" si="7"/>
        <v>0</v>
      </c>
    </row>
    <row r="501" spans="8:8" x14ac:dyDescent="0.25">
      <c r="H501" s="4">
        <f t="shared" si="7"/>
        <v>0</v>
      </c>
    </row>
    <row r="502" spans="8:8" x14ac:dyDescent="0.25">
      <c r="H502" s="4">
        <f t="shared" si="7"/>
        <v>0</v>
      </c>
    </row>
    <row r="503" spans="8:8" x14ac:dyDescent="0.25">
      <c r="H503" s="4">
        <f t="shared" si="7"/>
        <v>0</v>
      </c>
    </row>
    <row r="504" spans="8:8" x14ac:dyDescent="0.25">
      <c r="H504" s="4">
        <f t="shared" si="7"/>
        <v>0</v>
      </c>
    </row>
    <row r="505" spans="8:8" x14ac:dyDescent="0.25">
      <c r="H505" s="4">
        <f t="shared" si="7"/>
        <v>0</v>
      </c>
    </row>
    <row r="506" spans="8:8" x14ac:dyDescent="0.25">
      <c r="H506" s="4">
        <f t="shared" si="7"/>
        <v>0</v>
      </c>
    </row>
    <row r="507" spans="8:8" x14ac:dyDescent="0.25">
      <c r="H507" s="4">
        <f t="shared" si="7"/>
        <v>0</v>
      </c>
    </row>
    <row r="508" spans="8:8" x14ac:dyDescent="0.25">
      <c r="H508" s="4">
        <f t="shared" si="7"/>
        <v>0</v>
      </c>
    </row>
    <row r="509" spans="8:8" x14ac:dyDescent="0.25">
      <c r="H509" s="4">
        <f t="shared" si="7"/>
        <v>0</v>
      </c>
    </row>
    <row r="510" spans="8:8" x14ac:dyDescent="0.25">
      <c r="H510" s="4">
        <f t="shared" si="7"/>
        <v>0</v>
      </c>
    </row>
    <row r="511" spans="8:8" x14ac:dyDescent="0.25">
      <c r="H511" s="4">
        <f t="shared" si="7"/>
        <v>0</v>
      </c>
    </row>
    <row r="512" spans="8:8" x14ac:dyDescent="0.25">
      <c r="H512" s="4">
        <f t="shared" si="7"/>
        <v>0</v>
      </c>
    </row>
    <row r="513" spans="8:8" x14ac:dyDescent="0.25">
      <c r="H513" s="4">
        <f t="shared" si="7"/>
        <v>0</v>
      </c>
    </row>
    <row r="514" spans="8:8" x14ac:dyDescent="0.25">
      <c r="H514" s="4">
        <f t="shared" si="7"/>
        <v>0</v>
      </c>
    </row>
    <row r="515" spans="8:8" x14ac:dyDescent="0.25">
      <c r="H515" s="4">
        <f t="shared" si="7"/>
        <v>0</v>
      </c>
    </row>
    <row r="516" spans="8:8" x14ac:dyDescent="0.25">
      <c r="H516" s="4">
        <f t="shared" si="7"/>
        <v>0</v>
      </c>
    </row>
    <row r="517" spans="8:8" x14ac:dyDescent="0.25">
      <c r="H517" s="4">
        <f t="shared" ref="H517:H575" si="8">+C517+D517+E517+F517+(G517/2)</f>
        <v>0</v>
      </c>
    </row>
    <row r="518" spans="8:8" x14ac:dyDescent="0.25">
      <c r="H518" s="4">
        <f t="shared" si="8"/>
        <v>0</v>
      </c>
    </row>
    <row r="519" spans="8:8" x14ac:dyDescent="0.25">
      <c r="H519" s="4">
        <f t="shared" si="8"/>
        <v>0</v>
      </c>
    </row>
    <row r="520" spans="8:8" x14ac:dyDescent="0.25">
      <c r="H520" s="4">
        <f t="shared" si="8"/>
        <v>0</v>
      </c>
    </row>
    <row r="521" spans="8:8" x14ac:dyDescent="0.25">
      <c r="H521" s="4">
        <f t="shared" si="8"/>
        <v>0</v>
      </c>
    </row>
    <row r="522" spans="8:8" x14ac:dyDescent="0.25">
      <c r="H522" s="4">
        <f t="shared" si="8"/>
        <v>0</v>
      </c>
    </row>
    <row r="523" spans="8:8" x14ac:dyDescent="0.25">
      <c r="H523" s="4">
        <f t="shared" si="8"/>
        <v>0</v>
      </c>
    </row>
    <row r="524" spans="8:8" x14ac:dyDescent="0.25">
      <c r="H524" s="4">
        <f t="shared" si="8"/>
        <v>0</v>
      </c>
    </row>
    <row r="525" spans="8:8" x14ac:dyDescent="0.25">
      <c r="H525" s="4">
        <f t="shared" si="8"/>
        <v>0</v>
      </c>
    </row>
    <row r="526" spans="8:8" x14ac:dyDescent="0.25">
      <c r="H526" s="4">
        <f t="shared" si="8"/>
        <v>0</v>
      </c>
    </row>
    <row r="527" spans="8:8" x14ac:dyDescent="0.25">
      <c r="H527" s="4">
        <f t="shared" si="8"/>
        <v>0</v>
      </c>
    </row>
    <row r="528" spans="8:8" x14ac:dyDescent="0.25">
      <c r="H528" s="4">
        <f t="shared" si="8"/>
        <v>0</v>
      </c>
    </row>
    <row r="529" spans="8:8" x14ac:dyDescent="0.25">
      <c r="H529" s="4">
        <f t="shared" si="8"/>
        <v>0</v>
      </c>
    </row>
    <row r="530" spans="8:8" x14ac:dyDescent="0.25">
      <c r="H530" s="4">
        <f t="shared" si="8"/>
        <v>0</v>
      </c>
    </row>
    <row r="531" spans="8:8" x14ac:dyDescent="0.25">
      <c r="H531" s="4">
        <f t="shared" si="8"/>
        <v>0</v>
      </c>
    </row>
    <row r="532" spans="8:8" x14ac:dyDescent="0.25">
      <c r="H532" s="4">
        <f t="shared" si="8"/>
        <v>0</v>
      </c>
    </row>
    <row r="533" spans="8:8" x14ac:dyDescent="0.25">
      <c r="H533" s="4">
        <f t="shared" si="8"/>
        <v>0</v>
      </c>
    </row>
    <row r="534" spans="8:8" x14ac:dyDescent="0.25">
      <c r="H534" s="4">
        <f t="shared" si="8"/>
        <v>0</v>
      </c>
    </row>
    <row r="535" spans="8:8" x14ac:dyDescent="0.25">
      <c r="H535" s="4">
        <f t="shared" si="8"/>
        <v>0</v>
      </c>
    </row>
    <row r="536" spans="8:8" x14ac:dyDescent="0.25">
      <c r="H536" s="4">
        <f t="shared" si="8"/>
        <v>0</v>
      </c>
    </row>
    <row r="537" spans="8:8" x14ac:dyDescent="0.25">
      <c r="H537" s="4">
        <f t="shared" si="8"/>
        <v>0</v>
      </c>
    </row>
    <row r="538" spans="8:8" x14ac:dyDescent="0.25">
      <c r="H538" s="4">
        <f t="shared" si="8"/>
        <v>0</v>
      </c>
    </row>
    <row r="539" spans="8:8" x14ac:dyDescent="0.25">
      <c r="H539" s="4">
        <f t="shared" si="8"/>
        <v>0</v>
      </c>
    </row>
    <row r="540" spans="8:8" x14ac:dyDescent="0.25">
      <c r="H540" s="4">
        <f t="shared" si="8"/>
        <v>0</v>
      </c>
    </row>
    <row r="541" spans="8:8" x14ac:dyDescent="0.25">
      <c r="H541" s="4">
        <f t="shared" si="8"/>
        <v>0</v>
      </c>
    </row>
    <row r="542" spans="8:8" x14ac:dyDescent="0.25">
      <c r="H542" s="4">
        <f t="shared" si="8"/>
        <v>0</v>
      </c>
    </row>
    <row r="543" spans="8:8" x14ac:dyDescent="0.25">
      <c r="H543" s="4">
        <f t="shared" si="8"/>
        <v>0</v>
      </c>
    </row>
    <row r="544" spans="8:8" x14ac:dyDescent="0.25">
      <c r="H544" s="4">
        <f t="shared" si="8"/>
        <v>0</v>
      </c>
    </row>
    <row r="545" spans="8:8" x14ac:dyDescent="0.25">
      <c r="H545" s="4">
        <f t="shared" si="8"/>
        <v>0</v>
      </c>
    </row>
    <row r="546" spans="8:8" x14ac:dyDescent="0.25">
      <c r="H546" s="4">
        <f t="shared" si="8"/>
        <v>0</v>
      </c>
    </row>
    <row r="547" spans="8:8" x14ac:dyDescent="0.25">
      <c r="H547" s="4">
        <f t="shared" si="8"/>
        <v>0</v>
      </c>
    </row>
    <row r="548" spans="8:8" x14ac:dyDescent="0.25">
      <c r="H548" s="4">
        <f t="shared" si="8"/>
        <v>0</v>
      </c>
    </row>
    <row r="549" spans="8:8" x14ac:dyDescent="0.25">
      <c r="H549" s="4">
        <f t="shared" si="8"/>
        <v>0</v>
      </c>
    </row>
    <row r="550" spans="8:8" x14ac:dyDescent="0.25">
      <c r="H550" s="4">
        <f t="shared" si="8"/>
        <v>0</v>
      </c>
    </row>
    <row r="551" spans="8:8" x14ac:dyDescent="0.25">
      <c r="H551" s="4">
        <f t="shared" si="8"/>
        <v>0</v>
      </c>
    </row>
    <row r="552" spans="8:8" x14ac:dyDescent="0.25">
      <c r="H552" s="4">
        <f t="shared" si="8"/>
        <v>0</v>
      </c>
    </row>
    <row r="553" spans="8:8" x14ac:dyDescent="0.25">
      <c r="H553" s="4">
        <f t="shared" si="8"/>
        <v>0</v>
      </c>
    </row>
    <row r="554" spans="8:8" x14ac:dyDescent="0.25">
      <c r="H554" s="4">
        <f t="shared" si="8"/>
        <v>0</v>
      </c>
    </row>
    <row r="555" spans="8:8" x14ac:dyDescent="0.25">
      <c r="H555" s="4">
        <f t="shared" si="8"/>
        <v>0</v>
      </c>
    </row>
    <row r="556" spans="8:8" x14ac:dyDescent="0.25">
      <c r="H556" s="4">
        <f t="shared" si="8"/>
        <v>0</v>
      </c>
    </row>
    <row r="557" spans="8:8" x14ac:dyDescent="0.25">
      <c r="H557" s="4">
        <f t="shared" si="8"/>
        <v>0</v>
      </c>
    </row>
    <row r="558" spans="8:8" x14ac:dyDescent="0.25">
      <c r="H558" s="4">
        <f t="shared" si="8"/>
        <v>0</v>
      </c>
    </row>
    <row r="559" spans="8:8" x14ac:dyDescent="0.25">
      <c r="H559" s="4">
        <f t="shared" si="8"/>
        <v>0</v>
      </c>
    </row>
    <row r="560" spans="8:8" x14ac:dyDescent="0.25">
      <c r="H560" s="4">
        <f t="shared" si="8"/>
        <v>0</v>
      </c>
    </row>
    <row r="561" spans="8:8" x14ac:dyDescent="0.25">
      <c r="H561" s="4">
        <f t="shared" si="8"/>
        <v>0</v>
      </c>
    </row>
    <row r="562" spans="8:8" x14ac:dyDescent="0.25">
      <c r="H562" s="4">
        <f t="shared" si="8"/>
        <v>0</v>
      </c>
    </row>
    <row r="563" spans="8:8" x14ac:dyDescent="0.25">
      <c r="H563" s="4">
        <f t="shared" si="8"/>
        <v>0</v>
      </c>
    </row>
    <row r="564" spans="8:8" x14ac:dyDescent="0.25">
      <c r="H564" s="4">
        <f t="shared" si="8"/>
        <v>0</v>
      </c>
    </row>
    <row r="565" spans="8:8" x14ac:dyDescent="0.25">
      <c r="H565" s="4">
        <f t="shared" si="8"/>
        <v>0</v>
      </c>
    </row>
    <row r="566" spans="8:8" x14ac:dyDescent="0.25">
      <c r="H566" s="4">
        <f t="shared" si="8"/>
        <v>0</v>
      </c>
    </row>
    <row r="567" spans="8:8" x14ac:dyDescent="0.25">
      <c r="H567" s="4">
        <f t="shared" si="8"/>
        <v>0</v>
      </c>
    </row>
    <row r="568" spans="8:8" x14ac:dyDescent="0.25">
      <c r="H568" s="4">
        <f t="shared" si="8"/>
        <v>0</v>
      </c>
    </row>
    <row r="569" spans="8:8" x14ac:dyDescent="0.25">
      <c r="H569" s="4">
        <f t="shared" si="8"/>
        <v>0</v>
      </c>
    </row>
    <row r="570" spans="8:8" x14ac:dyDescent="0.25">
      <c r="H570" s="4">
        <f t="shared" si="8"/>
        <v>0</v>
      </c>
    </row>
    <row r="571" spans="8:8" x14ac:dyDescent="0.25">
      <c r="H571" s="4">
        <f t="shared" si="8"/>
        <v>0</v>
      </c>
    </row>
    <row r="572" spans="8:8" x14ac:dyDescent="0.25">
      <c r="H572" s="4">
        <f t="shared" si="8"/>
        <v>0</v>
      </c>
    </row>
    <row r="573" spans="8:8" x14ac:dyDescent="0.25">
      <c r="H573" s="4">
        <f t="shared" si="8"/>
        <v>0</v>
      </c>
    </row>
    <row r="574" spans="8:8" x14ac:dyDescent="0.25">
      <c r="H574" s="4">
        <f t="shared" si="8"/>
        <v>0</v>
      </c>
    </row>
    <row r="575" spans="8:8" x14ac:dyDescent="0.25">
      <c r="H575" s="4">
        <f t="shared" si="8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F694-580E-464A-9875-6E55BFABB070}">
  <sheetPr codeName="Hoja7"/>
  <dimension ref="A1:J665"/>
  <sheetViews>
    <sheetView topLeftCell="A91" workbookViewId="0">
      <selection activeCell="E110" sqref="E110"/>
    </sheetView>
  </sheetViews>
  <sheetFormatPr baseColWidth="10" defaultRowHeight="15" x14ac:dyDescent="0.25"/>
  <cols>
    <col min="1" max="1" width="11.42578125" style="13"/>
    <col min="2" max="2" width="8.7109375" style="13" bestFit="1" customWidth="1"/>
    <col min="3" max="3" width="20.140625" style="13" customWidth="1"/>
    <col min="4" max="4" width="11.42578125" style="13"/>
    <col min="5" max="5" width="11.42578125" style="4"/>
    <col min="8" max="8" width="13.7109375" customWidth="1"/>
  </cols>
  <sheetData>
    <row r="1" spans="1:10" ht="35.25" customHeight="1" x14ac:dyDescent="0.25">
      <c r="A1" s="26" t="s">
        <v>23</v>
      </c>
      <c r="B1" s="26" t="s">
        <v>46</v>
      </c>
      <c r="C1" s="26" t="s">
        <v>45</v>
      </c>
      <c r="D1" s="26" t="s">
        <v>47</v>
      </c>
      <c r="E1" s="22" t="s">
        <v>42</v>
      </c>
      <c r="H1" s="55" t="s">
        <v>43</v>
      </c>
      <c r="I1" s="56" t="s">
        <v>49</v>
      </c>
    </row>
    <row r="2" spans="1:10" x14ac:dyDescent="0.25">
      <c r="A2" s="43">
        <v>46106</v>
      </c>
      <c r="B2" s="13">
        <v>1</v>
      </c>
      <c r="C2" s="13" t="s">
        <v>45</v>
      </c>
      <c r="D2" s="13">
        <v>24</v>
      </c>
      <c r="E2" s="4">
        <f>+D2*400</f>
        <v>9600</v>
      </c>
      <c r="H2" s="57" t="s">
        <v>45</v>
      </c>
      <c r="I2" s="58">
        <f>+SUMIF(C:C,H2:H2,E:E)</f>
        <v>281200</v>
      </c>
    </row>
    <row r="3" spans="1:10" x14ac:dyDescent="0.25">
      <c r="A3" s="43">
        <v>46107</v>
      </c>
      <c r="B3" s="13">
        <v>1</v>
      </c>
      <c r="C3" s="1" t="s">
        <v>45</v>
      </c>
      <c r="D3" s="13">
        <v>32</v>
      </c>
      <c r="E3" s="4">
        <f t="shared" ref="E3:E66" si="0">+D3*400</f>
        <v>12800</v>
      </c>
      <c r="H3" s="59" t="s">
        <v>21</v>
      </c>
      <c r="I3" s="60">
        <f>+SUMIF(C:C,H3:H3,E:E)</f>
        <v>48800</v>
      </c>
    </row>
    <row r="4" spans="1:10" x14ac:dyDescent="0.25">
      <c r="A4" s="43">
        <v>46108</v>
      </c>
      <c r="B4" s="13">
        <v>1</v>
      </c>
      <c r="C4" s="13" t="s">
        <v>45</v>
      </c>
      <c r="D4" s="13">
        <v>34</v>
      </c>
      <c r="E4" s="4">
        <f t="shared" si="0"/>
        <v>13600</v>
      </c>
      <c r="H4" s="61" t="s">
        <v>22</v>
      </c>
      <c r="I4" s="62">
        <f>+SUMIF(C:C,H4:H4,E:E)</f>
        <v>96800</v>
      </c>
    </row>
    <row r="5" spans="1:10" ht="15.75" thickBot="1" x14ac:dyDescent="0.3">
      <c r="A5" s="43">
        <v>46108</v>
      </c>
      <c r="B5" s="13">
        <v>1</v>
      </c>
      <c r="C5" s="13" t="s">
        <v>20</v>
      </c>
      <c r="D5" s="13">
        <v>54</v>
      </c>
      <c r="E5" s="4">
        <f t="shared" si="0"/>
        <v>21600</v>
      </c>
      <c r="H5" s="63" t="s">
        <v>20</v>
      </c>
      <c r="I5" s="64">
        <f>+SUMIF(C:C,H5:H5,E:E)</f>
        <v>263600</v>
      </c>
    </row>
    <row r="6" spans="1:10" ht="15.75" thickBot="1" x14ac:dyDescent="0.3">
      <c r="A6" s="43">
        <v>46111</v>
      </c>
      <c r="B6" s="13">
        <v>1</v>
      </c>
      <c r="C6" s="13" t="s">
        <v>45</v>
      </c>
      <c r="D6" s="13">
        <v>49</v>
      </c>
      <c r="E6" s="4">
        <f t="shared" si="0"/>
        <v>19600</v>
      </c>
      <c r="H6" s="113" t="s">
        <v>185</v>
      </c>
      <c r="I6" s="64">
        <f>+SUMIF(C:C,H6:H6,E:E)</f>
        <v>89600</v>
      </c>
    </row>
    <row r="7" spans="1:10" x14ac:dyDescent="0.25">
      <c r="A7" s="43">
        <v>46111</v>
      </c>
      <c r="B7" s="13">
        <v>1</v>
      </c>
      <c r="C7" s="13" t="s">
        <v>21</v>
      </c>
      <c r="D7" s="13">
        <v>18</v>
      </c>
      <c r="E7" s="4">
        <f t="shared" si="0"/>
        <v>7200</v>
      </c>
    </row>
    <row r="8" spans="1:10" x14ac:dyDescent="0.25">
      <c r="A8" s="43">
        <v>46111</v>
      </c>
      <c r="B8" s="13">
        <v>1</v>
      </c>
      <c r="C8" s="13" t="s">
        <v>21</v>
      </c>
      <c r="D8" s="13">
        <v>11</v>
      </c>
      <c r="E8" s="4">
        <f t="shared" si="0"/>
        <v>4400</v>
      </c>
    </row>
    <row r="9" spans="1:10" x14ac:dyDescent="0.25">
      <c r="A9" s="43">
        <v>46112</v>
      </c>
      <c r="B9" s="13">
        <v>1</v>
      </c>
      <c r="C9" s="13" t="s">
        <v>45</v>
      </c>
      <c r="D9" s="13">
        <v>14</v>
      </c>
      <c r="E9" s="4">
        <f t="shared" si="0"/>
        <v>5600</v>
      </c>
    </row>
    <row r="10" spans="1:10" x14ac:dyDescent="0.25">
      <c r="A10" s="43">
        <v>46113</v>
      </c>
      <c r="B10" s="13">
        <v>1</v>
      </c>
      <c r="C10" s="13" t="s">
        <v>45</v>
      </c>
      <c r="D10" s="13">
        <v>23</v>
      </c>
      <c r="E10" s="4">
        <f t="shared" si="0"/>
        <v>9200</v>
      </c>
    </row>
    <row r="11" spans="1:10" x14ac:dyDescent="0.25">
      <c r="A11" s="43">
        <v>46113</v>
      </c>
      <c r="B11" s="13">
        <v>1</v>
      </c>
      <c r="C11" s="13" t="s">
        <v>21</v>
      </c>
      <c r="D11" s="13">
        <v>20</v>
      </c>
      <c r="E11" s="4">
        <f t="shared" si="0"/>
        <v>8000</v>
      </c>
    </row>
    <row r="12" spans="1:10" x14ac:dyDescent="0.25">
      <c r="A12" s="43">
        <v>46113</v>
      </c>
      <c r="B12" s="13">
        <v>1</v>
      </c>
      <c r="C12" t="s">
        <v>185</v>
      </c>
      <c r="D12" s="13">
        <v>5</v>
      </c>
      <c r="E12" s="4">
        <f t="shared" si="0"/>
        <v>2000</v>
      </c>
      <c r="H12">
        <v>409</v>
      </c>
    </row>
    <row r="13" spans="1:10" x14ac:dyDescent="0.25">
      <c r="A13" s="43">
        <v>46114</v>
      </c>
      <c r="B13" s="13">
        <v>1</v>
      </c>
      <c r="C13" s="13" t="s">
        <v>185</v>
      </c>
      <c r="D13" s="13">
        <v>30</v>
      </c>
      <c r="E13" s="4">
        <f t="shared" si="0"/>
        <v>12000</v>
      </c>
      <c r="H13">
        <v>83</v>
      </c>
      <c r="J13">
        <f>83/409</f>
        <v>0.20293398533007334</v>
      </c>
    </row>
    <row r="14" spans="1:10" x14ac:dyDescent="0.25">
      <c r="A14" s="43">
        <v>46114</v>
      </c>
      <c r="B14" s="13">
        <v>1</v>
      </c>
      <c r="C14" s="13" t="s">
        <v>21</v>
      </c>
      <c r="D14" s="13">
        <v>6</v>
      </c>
      <c r="E14" s="4">
        <f t="shared" si="0"/>
        <v>2400</v>
      </c>
      <c r="H14">
        <f>+(H13/H12)*100</f>
        <v>20.293398533007334</v>
      </c>
    </row>
    <row r="15" spans="1:10" x14ac:dyDescent="0.25">
      <c r="A15" s="43">
        <v>46116</v>
      </c>
      <c r="B15" s="13">
        <v>1</v>
      </c>
      <c r="C15" s="13" t="s">
        <v>185</v>
      </c>
      <c r="D15" s="13">
        <v>39</v>
      </c>
      <c r="E15" s="4">
        <f t="shared" si="0"/>
        <v>15600</v>
      </c>
    </row>
    <row r="16" spans="1:10" x14ac:dyDescent="0.25">
      <c r="A16" s="43">
        <v>46116</v>
      </c>
      <c r="B16" s="13">
        <v>1</v>
      </c>
      <c r="C16" s="13" t="s">
        <v>20</v>
      </c>
      <c r="D16" s="13">
        <v>10</v>
      </c>
      <c r="E16" s="4">
        <f t="shared" si="0"/>
        <v>4000</v>
      </c>
    </row>
    <row r="17" spans="1:5" x14ac:dyDescent="0.25">
      <c r="A17" s="43">
        <v>46118</v>
      </c>
      <c r="B17" s="13">
        <v>1</v>
      </c>
      <c r="C17" s="13" t="s">
        <v>20</v>
      </c>
      <c r="D17" s="13">
        <v>8</v>
      </c>
      <c r="E17" s="4">
        <f t="shared" si="0"/>
        <v>3200</v>
      </c>
    </row>
    <row r="18" spans="1:5" x14ac:dyDescent="0.25">
      <c r="A18" s="43">
        <v>46118</v>
      </c>
      <c r="B18" s="13">
        <v>1</v>
      </c>
      <c r="C18" s="13" t="s">
        <v>45</v>
      </c>
      <c r="D18" s="13">
        <v>18</v>
      </c>
      <c r="E18" s="4">
        <f t="shared" si="0"/>
        <v>7200</v>
      </c>
    </row>
    <row r="19" spans="1:5" x14ac:dyDescent="0.25">
      <c r="A19" s="43">
        <v>46118</v>
      </c>
      <c r="B19" s="13">
        <v>1</v>
      </c>
      <c r="C19" s="116" t="s">
        <v>185</v>
      </c>
      <c r="D19" s="13">
        <v>33</v>
      </c>
      <c r="E19" s="4">
        <f t="shared" si="0"/>
        <v>13200</v>
      </c>
    </row>
    <row r="20" spans="1:5" x14ac:dyDescent="0.25">
      <c r="A20" s="43">
        <v>46119</v>
      </c>
      <c r="B20" s="13">
        <v>1</v>
      </c>
      <c r="C20" s="13" t="s">
        <v>45</v>
      </c>
      <c r="D20" s="13">
        <v>34</v>
      </c>
      <c r="E20" s="4">
        <f t="shared" si="0"/>
        <v>13600</v>
      </c>
    </row>
    <row r="21" spans="1:5" x14ac:dyDescent="0.25">
      <c r="A21" s="43">
        <v>46119</v>
      </c>
      <c r="B21" s="13">
        <v>1</v>
      </c>
      <c r="C21" s="13" t="s">
        <v>21</v>
      </c>
      <c r="D21" s="13">
        <v>6</v>
      </c>
      <c r="E21" s="4">
        <f t="shared" si="0"/>
        <v>2400</v>
      </c>
    </row>
    <row r="22" spans="1:5" x14ac:dyDescent="0.25">
      <c r="A22" s="43">
        <v>46119</v>
      </c>
      <c r="B22" s="13">
        <v>1</v>
      </c>
      <c r="C22" s="13" t="s">
        <v>22</v>
      </c>
      <c r="D22" s="13">
        <v>4</v>
      </c>
      <c r="E22" s="4">
        <f t="shared" si="0"/>
        <v>1600</v>
      </c>
    </row>
    <row r="23" spans="1:5" x14ac:dyDescent="0.25">
      <c r="A23" s="43">
        <v>46119</v>
      </c>
      <c r="B23" s="13">
        <v>1</v>
      </c>
      <c r="C23" s="13" t="s">
        <v>185</v>
      </c>
      <c r="D23" s="13">
        <v>6</v>
      </c>
      <c r="E23" s="4">
        <f t="shared" si="0"/>
        <v>2400</v>
      </c>
    </row>
    <row r="24" spans="1:5" x14ac:dyDescent="0.25">
      <c r="A24" s="43">
        <v>46120</v>
      </c>
      <c r="B24" s="13">
        <v>1</v>
      </c>
      <c r="C24" s="13" t="s">
        <v>20</v>
      </c>
      <c r="D24" s="13">
        <v>27</v>
      </c>
      <c r="E24" s="4">
        <f t="shared" si="0"/>
        <v>10800</v>
      </c>
    </row>
    <row r="25" spans="1:5" x14ac:dyDescent="0.25">
      <c r="A25" s="43">
        <v>46122</v>
      </c>
      <c r="B25" s="13">
        <v>1</v>
      </c>
      <c r="C25" s="13" t="s">
        <v>20</v>
      </c>
      <c r="D25" s="13">
        <v>36</v>
      </c>
      <c r="E25" s="4">
        <f t="shared" si="0"/>
        <v>14400</v>
      </c>
    </row>
    <row r="26" spans="1:5" x14ac:dyDescent="0.25">
      <c r="A26" s="43">
        <v>46123</v>
      </c>
      <c r="B26" s="13">
        <v>1</v>
      </c>
      <c r="C26" s="13" t="s">
        <v>20</v>
      </c>
      <c r="D26" s="13">
        <v>3</v>
      </c>
      <c r="E26" s="4">
        <f t="shared" si="0"/>
        <v>1200</v>
      </c>
    </row>
    <row r="27" spans="1:5" x14ac:dyDescent="0.25">
      <c r="A27" s="43">
        <v>46123</v>
      </c>
      <c r="B27" s="13">
        <v>1</v>
      </c>
      <c r="C27" s="13" t="s">
        <v>45</v>
      </c>
      <c r="D27" s="13">
        <v>10</v>
      </c>
      <c r="E27" s="4">
        <f t="shared" si="0"/>
        <v>4000</v>
      </c>
    </row>
    <row r="28" spans="1:5" x14ac:dyDescent="0.25">
      <c r="A28" s="43">
        <v>46123</v>
      </c>
      <c r="B28" s="13">
        <v>1</v>
      </c>
      <c r="C28" s="13" t="s">
        <v>22</v>
      </c>
      <c r="D28" s="13">
        <v>10</v>
      </c>
      <c r="E28" s="4">
        <f t="shared" si="0"/>
        <v>4000</v>
      </c>
    </row>
    <row r="29" spans="1:5" x14ac:dyDescent="0.25">
      <c r="A29" s="43">
        <v>46123</v>
      </c>
      <c r="B29" s="13">
        <v>1</v>
      </c>
      <c r="C29" s="13" t="s">
        <v>21</v>
      </c>
      <c r="D29" s="13">
        <v>6</v>
      </c>
      <c r="E29" s="4">
        <f t="shared" si="0"/>
        <v>2400</v>
      </c>
    </row>
    <row r="30" spans="1:5" x14ac:dyDescent="0.25">
      <c r="A30" s="43">
        <v>46125</v>
      </c>
      <c r="B30" s="13">
        <v>1</v>
      </c>
      <c r="C30" s="13" t="s">
        <v>20</v>
      </c>
      <c r="D30" s="13">
        <v>22</v>
      </c>
      <c r="E30" s="4">
        <f t="shared" si="0"/>
        <v>8800</v>
      </c>
    </row>
    <row r="31" spans="1:5" x14ac:dyDescent="0.25">
      <c r="A31" s="43">
        <v>46125</v>
      </c>
      <c r="B31" s="13">
        <v>1</v>
      </c>
      <c r="C31" s="13" t="s">
        <v>45</v>
      </c>
      <c r="D31" s="13">
        <v>0</v>
      </c>
      <c r="E31" s="4">
        <f t="shared" si="0"/>
        <v>0</v>
      </c>
    </row>
    <row r="32" spans="1:5" x14ac:dyDescent="0.25">
      <c r="A32" s="43">
        <v>46125</v>
      </c>
      <c r="B32" s="13">
        <v>1</v>
      </c>
      <c r="C32" s="13" t="s">
        <v>185</v>
      </c>
      <c r="D32" s="13">
        <v>1</v>
      </c>
      <c r="E32" s="4">
        <f t="shared" si="0"/>
        <v>400</v>
      </c>
    </row>
    <row r="33" spans="1:5" x14ac:dyDescent="0.25">
      <c r="A33" s="43">
        <v>46125</v>
      </c>
      <c r="B33" s="13">
        <v>1</v>
      </c>
      <c r="C33" s="13" t="s">
        <v>21</v>
      </c>
      <c r="D33" s="13">
        <v>1</v>
      </c>
      <c r="E33" s="4">
        <f t="shared" si="0"/>
        <v>400</v>
      </c>
    </row>
    <row r="34" spans="1:5" x14ac:dyDescent="0.25">
      <c r="A34" s="43">
        <v>46126</v>
      </c>
      <c r="B34" s="13">
        <v>1</v>
      </c>
      <c r="C34" s="13" t="s">
        <v>20</v>
      </c>
      <c r="D34" s="13">
        <v>12</v>
      </c>
      <c r="E34" s="4">
        <f t="shared" si="0"/>
        <v>4800</v>
      </c>
    </row>
    <row r="35" spans="1:5" x14ac:dyDescent="0.25">
      <c r="A35" s="43">
        <v>46126</v>
      </c>
      <c r="B35" s="13">
        <v>1</v>
      </c>
      <c r="C35" s="13" t="s">
        <v>45</v>
      </c>
      <c r="D35" s="13">
        <v>17</v>
      </c>
      <c r="E35" s="4">
        <f t="shared" si="0"/>
        <v>6800</v>
      </c>
    </row>
    <row r="36" spans="1:5" x14ac:dyDescent="0.25">
      <c r="A36" s="43">
        <v>46126</v>
      </c>
      <c r="B36" s="13">
        <v>1</v>
      </c>
      <c r="C36" s="13" t="s">
        <v>22</v>
      </c>
      <c r="D36" s="13">
        <v>1</v>
      </c>
      <c r="E36" s="4">
        <f t="shared" si="0"/>
        <v>400</v>
      </c>
    </row>
    <row r="37" spans="1:5" x14ac:dyDescent="0.25">
      <c r="A37" s="43">
        <v>46126</v>
      </c>
      <c r="B37" s="13">
        <v>1</v>
      </c>
      <c r="C37" s="13" t="s">
        <v>21</v>
      </c>
      <c r="D37" s="13">
        <v>1</v>
      </c>
      <c r="E37" s="4">
        <f t="shared" si="0"/>
        <v>400</v>
      </c>
    </row>
    <row r="38" spans="1:5" x14ac:dyDescent="0.25">
      <c r="A38" s="43">
        <v>46127</v>
      </c>
      <c r="B38" s="13">
        <v>1</v>
      </c>
      <c r="C38" s="13" t="s">
        <v>20</v>
      </c>
      <c r="D38" s="13">
        <v>49</v>
      </c>
      <c r="E38" s="4">
        <f t="shared" si="0"/>
        <v>19600</v>
      </c>
    </row>
    <row r="39" spans="1:5" x14ac:dyDescent="0.25">
      <c r="A39" s="43">
        <v>46128</v>
      </c>
      <c r="B39" s="13">
        <v>1</v>
      </c>
      <c r="C39" s="13" t="s">
        <v>22</v>
      </c>
      <c r="D39" s="13">
        <v>20</v>
      </c>
      <c r="E39" s="4">
        <f t="shared" si="0"/>
        <v>8000</v>
      </c>
    </row>
    <row r="40" spans="1:5" x14ac:dyDescent="0.25">
      <c r="A40" s="43">
        <v>46128</v>
      </c>
      <c r="B40" s="13">
        <v>1</v>
      </c>
      <c r="C40" s="13" t="s">
        <v>20</v>
      </c>
      <c r="D40" s="13">
        <v>8</v>
      </c>
      <c r="E40" s="4">
        <f t="shared" si="0"/>
        <v>3200</v>
      </c>
    </row>
    <row r="41" spans="1:5" x14ac:dyDescent="0.25">
      <c r="A41" s="43">
        <v>46128</v>
      </c>
      <c r="B41" s="13">
        <v>1</v>
      </c>
      <c r="C41" s="13" t="s">
        <v>45</v>
      </c>
      <c r="D41" s="13">
        <v>3</v>
      </c>
      <c r="E41" s="4">
        <f t="shared" si="0"/>
        <v>1200</v>
      </c>
    </row>
    <row r="42" spans="1:5" x14ac:dyDescent="0.25">
      <c r="A42" s="43">
        <v>46129</v>
      </c>
      <c r="B42" s="13">
        <v>1</v>
      </c>
      <c r="C42" s="13" t="s">
        <v>20</v>
      </c>
      <c r="D42" s="13">
        <v>26</v>
      </c>
      <c r="E42" s="4">
        <f t="shared" si="0"/>
        <v>10400</v>
      </c>
    </row>
    <row r="43" spans="1:5" x14ac:dyDescent="0.25">
      <c r="A43" s="43">
        <v>46129</v>
      </c>
      <c r="B43" s="13">
        <v>1</v>
      </c>
      <c r="C43" s="13" t="s">
        <v>185</v>
      </c>
      <c r="D43" s="13">
        <v>7</v>
      </c>
      <c r="E43" s="4">
        <f t="shared" si="0"/>
        <v>2800</v>
      </c>
    </row>
    <row r="44" spans="1:5" x14ac:dyDescent="0.25">
      <c r="A44" s="43">
        <v>46129</v>
      </c>
      <c r="B44" s="13">
        <v>1</v>
      </c>
      <c r="C44" s="13" t="s">
        <v>22</v>
      </c>
      <c r="D44" s="13">
        <v>1</v>
      </c>
      <c r="E44" s="4">
        <f t="shared" si="0"/>
        <v>400</v>
      </c>
    </row>
    <row r="45" spans="1:5" x14ac:dyDescent="0.25">
      <c r="A45" s="43">
        <v>46129</v>
      </c>
      <c r="B45" s="13">
        <v>1</v>
      </c>
      <c r="C45" s="13" t="s">
        <v>45</v>
      </c>
      <c r="D45" s="13">
        <v>1</v>
      </c>
      <c r="E45" s="4">
        <f t="shared" si="0"/>
        <v>400</v>
      </c>
    </row>
    <row r="46" spans="1:5" x14ac:dyDescent="0.25">
      <c r="A46" s="43">
        <v>46130</v>
      </c>
      <c r="B46" s="13">
        <v>1</v>
      </c>
      <c r="C46" s="13" t="s">
        <v>20</v>
      </c>
      <c r="D46" s="13">
        <v>26</v>
      </c>
      <c r="E46" s="4">
        <f t="shared" si="0"/>
        <v>10400</v>
      </c>
    </row>
    <row r="47" spans="1:5" x14ac:dyDescent="0.25">
      <c r="A47" s="43">
        <v>46130</v>
      </c>
      <c r="B47" s="13">
        <v>1</v>
      </c>
      <c r="C47" s="13" t="s">
        <v>185</v>
      </c>
      <c r="D47" s="13">
        <v>4</v>
      </c>
      <c r="E47" s="4">
        <f t="shared" si="0"/>
        <v>1600</v>
      </c>
    </row>
    <row r="48" spans="1:5" x14ac:dyDescent="0.25">
      <c r="A48" s="43">
        <v>46130</v>
      </c>
      <c r="B48" s="13">
        <v>1</v>
      </c>
      <c r="C48" s="13" t="s">
        <v>22</v>
      </c>
      <c r="D48" s="13">
        <v>8</v>
      </c>
      <c r="E48" s="4">
        <f t="shared" si="0"/>
        <v>3200</v>
      </c>
    </row>
    <row r="49" spans="1:5" x14ac:dyDescent="0.25">
      <c r="A49" s="43">
        <v>46132</v>
      </c>
      <c r="B49" s="13">
        <v>1</v>
      </c>
      <c r="C49" s="13" t="s">
        <v>22</v>
      </c>
      <c r="D49" s="13">
        <v>29</v>
      </c>
      <c r="E49" s="4">
        <f t="shared" si="0"/>
        <v>11600</v>
      </c>
    </row>
    <row r="50" spans="1:5" x14ac:dyDescent="0.25">
      <c r="A50" s="43">
        <v>46132</v>
      </c>
      <c r="B50" s="13">
        <v>1</v>
      </c>
      <c r="C50" s="13" t="s">
        <v>185</v>
      </c>
      <c r="D50" s="13">
        <v>4</v>
      </c>
      <c r="E50" s="4">
        <f t="shared" si="0"/>
        <v>1600</v>
      </c>
    </row>
    <row r="51" spans="1:5" x14ac:dyDescent="0.25">
      <c r="A51" s="43">
        <v>46132</v>
      </c>
      <c r="B51" s="13">
        <v>1</v>
      </c>
      <c r="C51" s="13" t="s">
        <v>20</v>
      </c>
      <c r="D51" s="13">
        <v>2</v>
      </c>
      <c r="E51" s="4">
        <f t="shared" si="0"/>
        <v>800</v>
      </c>
    </row>
    <row r="52" spans="1:5" x14ac:dyDescent="0.25">
      <c r="A52" s="43">
        <v>46132</v>
      </c>
      <c r="B52" s="13">
        <v>1</v>
      </c>
      <c r="C52" s="13" t="s">
        <v>45</v>
      </c>
      <c r="D52" s="13">
        <v>17</v>
      </c>
      <c r="E52" s="4">
        <f t="shared" si="0"/>
        <v>6800</v>
      </c>
    </row>
    <row r="53" spans="1:5" x14ac:dyDescent="0.25">
      <c r="A53" s="43">
        <v>46133</v>
      </c>
      <c r="B53" s="13">
        <v>1</v>
      </c>
      <c r="C53" s="13" t="s">
        <v>22</v>
      </c>
      <c r="D53" s="13">
        <v>25</v>
      </c>
      <c r="E53" s="4">
        <f t="shared" si="0"/>
        <v>10000</v>
      </c>
    </row>
    <row r="54" spans="1:5" x14ac:dyDescent="0.25">
      <c r="A54" s="43">
        <v>46133</v>
      </c>
      <c r="B54" s="13">
        <v>1</v>
      </c>
      <c r="C54" s="13" t="s">
        <v>45</v>
      </c>
      <c r="D54" s="13">
        <v>36</v>
      </c>
      <c r="E54" s="4">
        <f t="shared" si="0"/>
        <v>14400</v>
      </c>
    </row>
    <row r="55" spans="1:5" x14ac:dyDescent="0.25">
      <c r="A55" s="43">
        <v>46134</v>
      </c>
      <c r="B55" s="13">
        <v>1</v>
      </c>
      <c r="C55" s="13" t="s">
        <v>20</v>
      </c>
      <c r="D55" s="13">
        <v>36</v>
      </c>
      <c r="E55" s="4">
        <f t="shared" si="0"/>
        <v>14400</v>
      </c>
    </row>
    <row r="56" spans="1:5" x14ac:dyDescent="0.25">
      <c r="A56" s="43">
        <v>46134</v>
      </c>
      <c r="B56" s="13">
        <v>1</v>
      </c>
      <c r="C56" s="13" t="s">
        <v>45</v>
      </c>
      <c r="D56" s="13">
        <v>10</v>
      </c>
      <c r="E56" s="4">
        <f t="shared" si="0"/>
        <v>4000</v>
      </c>
    </row>
    <row r="57" spans="1:5" x14ac:dyDescent="0.25">
      <c r="A57" s="43">
        <v>46134</v>
      </c>
      <c r="B57" s="13">
        <v>1</v>
      </c>
      <c r="C57" s="13" t="s">
        <v>185</v>
      </c>
      <c r="D57" s="13">
        <v>4</v>
      </c>
      <c r="E57" s="4">
        <f t="shared" si="0"/>
        <v>1600</v>
      </c>
    </row>
    <row r="58" spans="1:5" x14ac:dyDescent="0.25">
      <c r="A58" s="43">
        <v>46134</v>
      </c>
      <c r="B58" s="13">
        <v>1</v>
      </c>
      <c r="C58" s="13" t="s">
        <v>20</v>
      </c>
      <c r="D58" s="13">
        <v>0</v>
      </c>
      <c r="E58" s="4">
        <f t="shared" si="0"/>
        <v>0</v>
      </c>
    </row>
    <row r="59" spans="1:5" x14ac:dyDescent="0.25">
      <c r="A59" s="43">
        <v>46135</v>
      </c>
      <c r="B59" s="13">
        <v>1</v>
      </c>
      <c r="C59" s="13" t="s">
        <v>20</v>
      </c>
      <c r="D59" s="13">
        <v>53</v>
      </c>
      <c r="E59" s="4">
        <f t="shared" si="0"/>
        <v>21200</v>
      </c>
    </row>
    <row r="60" spans="1:5" x14ac:dyDescent="0.25">
      <c r="A60" s="43">
        <v>46136</v>
      </c>
      <c r="B60" s="13">
        <v>1</v>
      </c>
      <c r="C60" s="13" t="s">
        <v>185</v>
      </c>
      <c r="D60" s="13">
        <v>17</v>
      </c>
      <c r="E60" s="4">
        <f t="shared" si="0"/>
        <v>6800</v>
      </c>
    </row>
    <row r="61" spans="1:5" x14ac:dyDescent="0.25">
      <c r="A61" s="43">
        <v>46136</v>
      </c>
      <c r="B61" s="13">
        <v>1</v>
      </c>
      <c r="C61" s="13" t="s">
        <v>20</v>
      </c>
      <c r="D61" s="13">
        <v>4</v>
      </c>
      <c r="E61" s="4">
        <f t="shared" si="0"/>
        <v>1600</v>
      </c>
    </row>
    <row r="62" spans="1:5" x14ac:dyDescent="0.25">
      <c r="A62" s="43">
        <v>46136</v>
      </c>
      <c r="B62" s="13">
        <v>1</v>
      </c>
      <c r="C62" s="13" t="s">
        <v>22</v>
      </c>
      <c r="D62" s="13">
        <v>38</v>
      </c>
      <c r="E62" s="4">
        <f t="shared" si="0"/>
        <v>15200</v>
      </c>
    </row>
    <row r="63" spans="1:5" x14ac:dyDescent="0.25">
      <c r="A63" s="43">
        <v>46136</v>
      </c>
      <c r="B63" s="13">
        <v>1</v>
      </c>
      <c r="C63" s="13" t="s">
        <v>45</v>
      </c>
      <c r="D63" s="13">
        <v>10</v>
      </c>
      <c r="E63" s="4">
        <f t="shared" si="0"/>
        <v>4000</v>
      </c>
    </row>
    <row r="64" spans="1:5" x14ac:dyDescent="0.25">
      <c r="A64" s="43">
        <v>46137</v>
      </c>
      <c r="B64" s="13">
        <v>2</v>
      </c>
      <c r="C64" s="13" t="s">
        <v>20</v>
      </c>
      <c r="D64" s="13">
        <v>6</v>
      </c>
      <c r="E64" s="4">
        <f t="shared" si="0"/>
        <v>2400</v>
      </c>
    </row>
    <row r="65" spans="1:5" x14ac:dyDescent="0.25">
      <c r="A65" s="43">
        <v>46137</v>
      </c>
      <c r="B65" s="13">
        <v>2</v>
      </c>
      <c r="C65" s="13" t="s">
        <v>22</v>
      </c>
      <c r="D65" s="13">
        <v>27</v>
      </c>
      <c r="E65" s="4">
        <f t="shared" si="0"/>
        <v>10800</v>
      </c>
    </row>
    <row r="66" spans="1:5" x14ac:dyDescent="0.25">
      <c r="A66" s="43">
        <v>46139</v>
      </c>
      <c r="B66" s="13">
        <v>1</v>
      </c>
      <c r="C66" s="13" t="s">
        <v>20</v>
      </c>
      <c r="D66" s="13">
        <v>13</v>
      </c>
      <c r="E66" s="4">
        <f t="shared" si="0"/>
        <v>5200</v>
      </c>
    </row>
    <row r="67" spans="1:5" x14ac:dyDescent="0.25">
      <c r="A67" s="43">
        <v>46139</v>
      </c>
      <c r="B67" s="13">
        <v>1</v>
      </c>
      <c r="C67" s="13" t="s">
        <v>45</v>
      </c>
      <c r="D67" s="13">
        <v>24</v>
      </c>
      <c r="E67" s="4">
        <f t="shared" ref="E67:E127" si="1">+D67*400</f>
        <v>9600</v>
      </c>
    </row>
    <row r="68" spans="1:5" x14ac:dyDescent="0.25">
      <c r="A68" s="43">
        <v>46140</v>
      </c>
      <c r="B68" s="13">
        <v>1</v>
      </c>
      <c r="C68" s="13" t="s">
        <v>20</v>
      </c>
      <c r="D68" s="13">
        <v>4</v>
      </c>
      <c r="E68" s="4">
        <f t="shared" si="1"/>
        <v>1600</v>
      </c>
    </row>
    <row r="69" spans="1:5" x14ac:dyDescent="0.25">
      <c r="A69" s="43">
        <v>46140</v>
      </c>
      <c r="B69" s="13">
        <v>1</v>
      </c>
      <c r="C69" s="13" t="s">
        <v>45</v>
      </c>
      <c r="D69" s="13">
        <v>45</v>
      </c>
      <c r="E69" s="4">
        <f t="shared" si="1"/>
        <v>18000</v>
      </c>
    </row>
    <row r="70" spans="1:5" x14ac:dyDescent="0.25">
      <c r="A70" s="43">
        <v>46141</v>
      </c>
      <c r="B70" s="13">
        <v>1</v>
      </c>
      <c r="C70" s="13" t="s">
        <v>20</v>
      </c>
      <c r="D70" s="13">
        <v>33</v>
      </c>
      <c r="E70" s="4">
        <f t="shared" si="1"/>
        <v>13200</v>
      </c>
    </row>
    <row r="71" spans="1:5" x14ac:dyDescent="0.25">
      <c r="A71" s="43">
        <v>46141</v>
      </c>
      <c r="B71" s="13">
        <v>1</v>
      </c>
      <c r="C71" s="13" t="s">
        <v>22</v>
      </c>
      <c r="D71" s="13">
        <v>14</v>
      </c>
      <c r="E71" s="4">
        <f t="shared" si="1"/>
        <v>5600</v>
      </c>
    </row>
    <row r="72" spans="1:5" x14ac:dyDescent="0.25">
      <c r="A72" s="43">
        <v>46141</v>
      </c>
      <c r="B72" s="13">
        <v>1</v>
      </c>
      <c r="C72" s="13" t="s">
        <v>45</v>
      </c>
      <c r="D72" s="13">
        <v>8</v>
      </c>
      <c r="E72" s="4">
        <f t="shared" si="1"/>
        <v>3200</v>
      </c>
    </row>
    <row r="73" spans="1:5" x14ac:dyDescent="0.25">
      <c r="A73" s="43">
        <v>46142</v>
      </c>
      <c r="B73" s="13">
        <v>1</v>
      </c>
      <c r="C73" s="13" t="s">
        <v>20</v>
      </c>
      <c r="D73" s="13">
        <v>14</v>
      </c>
      <c r="E73" s="4">
        <f t="shared" si="1"/>
        <v>5600</v>
      </c>
    </row>
    <row r="74" spans="1:5" x14ac:dyDescent="0.25">
      <c r="A74" s="43">
        <v>46142</v>
      </c>
      <c r="B74" s="13">
        <v>1</v>
      </c>
      <c r="C74" s="13" t="s">
        <v>22</v>
      </c>
      <c r="D74" s="13">
        <v>7</v>
      </c>
      <c r="E74" s="4">
        <f t="shared" si="1"/>
        <v>2800</v>
      </c>
    </row>
    <row r="75" spans="1:5" x14ac:dyDescent="0.25">
      <c r="A75" s="43">
        <v>46142</v>
      </c>
      <c r="B75" s="13">
        <v>1</v>
      </c>
      <c r="C75" s="13" t="s">
        <v>21</v>
      </c>
      <c r="D75" s="13">
        <v>10</v>
      </c>
      <c r="E75" s="4">
        <f t="shared" si="1"/>
        <v>4000</v>
      </c>
    </row>
    <row r="76" spans="1:5" x14ac:dyDescent="0.25">
      <c r="A76" s="43">
        <v>46142</v>
      </c>
      <c r="B76" s="13">
        <v>1</v>
      </c>
      <c r="C76" s="13" t="s">
        <v>45</v>
      </c>
      <c r="D76" s="13">
        <v>26</v>
      </c>
      <c r="E76" s="4">
        <f t="shared" si="1"/>
        <v>10400</v>
      </c>
    </row>
    <row r="77" spans="1:5" x14ac:dyDescent="0.25">
      <c r="A77" s="43">
        <v>46144</v>
      </c>
      <c r="B77" s="13">
        <v>1</v>
      </c>
      <c r="C77" s="13" t="s">
        <v>21</v>
      </c>
      <c r="D77" s="13">
        <v>7</v>
      </c>
      <c r="E77" s="4">
        <f t="shared" si="1"/>
        <v>2800</v>
      </c>
    </row>
    <row r="78" spans="1:5" x14ac:dyDescent="0.25">
      <c r="A78" s="43">
        <v>46144</v>
      </c>
      <c r="B78" s="13">
        <v>1</v>
      </c>
      <c r="C78" s="13" t="s">
        <v>22</v>
      </c>
      <c r="D78" s="13">
        <v>11</v>
      </c>
      <c r="E78" s="4">
        <f t="shared" si="1"/>
        <v>4400</v>
      </c>
    </row>
    <row r="79" spans="1:5" x14ac:dyDescent="0.25">
      <c r="A79" s="43">
        <v>46144</v>
      </c>
      <c r="B79" s="13">
        <v>1</v>
      </c>
      <c r="C79" s="13" t="s">
        <v>45</v>
      </c>
      <c r="D79" s="13">
        <v>41</v>
      </c>
      <c r="E79" s="4">
        <f t="shared" si="1"/>
        <v>16400</v>
      </c>
    </row>
    <row r="80" spans="1:5" x14ac:dyDescent="0.25">
      <c r="A80" s="43">
        <v>46144</v>
      </c>
      <c r="B80" s="13">
        <v>1</v>
      </c>
      <c r="C80" s="13" t="s">
        <v>20</v>
      </c>
      <c r="D80" s="13">
        <v>12</v>
      </c>
      <c r="E80" s="4">
        <f t="shared" si="1"/>
        <v>4800</v>
      </c>
    </row>
    <row r="81" spans="1:5" x14ac:dyDescent="0.25">
      <c r="A81" s="43">
        <v>46146</v>
      </c>
      <c r="B81" s="13">
        <v>1</v>
      </c>
      <c r="C81" s="13" t="s">
        <v>20</v>
      </c>
      <c r="D81" s="13">
        <v>25</v>
      </c>
      <c r="E81" s="4">
        <f t="shared" si="1"/>
        <v>10000</v>
      </c>
    </row>
    <row r="82" spans="1:5" x14ac:dyDescent="0.25">
      <c r="A82" s="43">
        <v>46146</v>
      </c>
      <c r="B82" s="13">
        <v>2</v>
      </c>
      <c r="C82" s="13" t="s">
        <v>20</v>
      </c>
      <c r="D82" s="13">
        <v>15</v>
      </c>
      <c r="E82" s="4">
        <f t="shared" si="1"/>
        <v>6000</v>
      </c>
    </row>
    <row r="83" spans="1:5" x14ac:dyDescent="0.25">
      <c r="A83" s="43">
        <v>46146</v>
      </c>
      <c r="B83" s="13">
        <v>2</v>
      </c>
      <c r="C83" s="13" t="s">
        <v>45</v>
      </c>
      <c r="D83" s="13">
        <v>11</v>
      </c>
      <c r="E83" s="4">
        <f t="shared" si="1"/>
        <v>4400</v>
      </c>
    </row>
    <row r="84" spans="1:5" x14ac:dyDescent="0.25">
      <c r="A84" s="43">
        <v>46146</v>
      </c>
      <c r="B84" s="13">
        <v>2</v>
      </c>
      <c r="C84" s="13" t="s">
        <v>22</v>
      </c>
      <c r="D84" s="13">
        <v>6</v>
      </c>
      <c r="E84" s="4">
        <f t="shared" si="1"/>
        <v>2400</v>
      </c>
    </row>
    <row r="85" spans="1:5" x14ac:dyDescent="0.25">
      <c r="A85" s="43">
        <v>46147</v>
      </c>
      <c r="B85" s="13">
        <v>1</v>
      </c>
      <c r="C85" s="13" t="s">
        <v>20</v>
      </c>
      <c r="D85" s="13">
        <v>15</v>
      </c>
      <c r="E85" s="4">
        <f t="shared" si="1"/>
        <v>6000</v>
      </c>
    </row>
    <row r="86" spans="1:5" x14ac:dyDescent="0.25">
      <c r="A86" s="43">
        <v>46147</v>
      </c>
      <c r="B86" s="13">
        <v>1</v>
      </c>
      <c r="C86" s="13" t="s">
        <v>45</v>
      </c>
      <c r="D86" s="13">
        <v>40</v>
      </c>
      <c r="E86" s="4">
        <f t="shared" si="1"/>
        <v>16000</v>
      </c>
    </row>
    <row r="87" spans="1:5" x14ac:dyDescent="0.25">
      <c r="A87" s="43">
        <v>46147</v>
      </c>
      <c r="B87" s="13">
        <v>2</v>
      </c>
      <c r="C87" s="13" t="s">
        <v>45</v>
      </c>
      <c r="D87" s="13">
        <v>12</v>
      </c>
      <c r="E87" s="4">
        <f t="shared" si="1"/>
        <v>4800</v>
      </c>
    </row>
    <row r="88" spans="1:5" x14ac:dyDescent="0.25">
      <c r="A88" s="43">
        <v>46147</v>
      </c>
      <c r="B88" s="13">
        <v>2</v>
      </c>
      <c r="C88" s="13" t="s">
        <v>22</v>
      </c>
      <c r="D88" s="13">
        <v>26</v>
      </c>
      <c r="E88" s="4">
        <f t="shared" si="1"/>
        <v>10400</v>
      </c>
    </row>
    <row r="89" spans="1:5" x14ac:dyDescent="0.25">
      <c r="A89" s="43">
        <v>46147</v>
      </c>
      <c r="B89" s="13">
        <v>2</v>
      </c>
      <c r="C89" s="13" t="s">
        <v>21</v>
      </c>
      <c r="D89" s="13">
        <v>9</v>
      </c>
      <c r="E89" s="4">
        <f t="shared" si="1"/>
        <v>3600</v>
      </c>
    </row>
    <row r="90" spans="1:5" x14ac:dyDescent="0.25">
      <c r="A90" s="43">
        <v>46148</v>
      </c>
      <c r="B90" s="13">
        <v>1</v>
      </c>
      <c r="C90" s="13" t="s">
        <v>45</v>
      </c>
      <c r="D90" s="13">
        <v>32</v>
      </c>
      <c r="E90" s="4">
        <f t="shared" si="1"/>
        <v>12800</v>
      </c>
    </row>
    <row r="91" spans="1:5" x14ac:dyDescent="0.25">
      <c r="A91" s="43">
        <v>46148</v>
      </c>
      <c r="B91" s="13">
        <v>1</v>
      </c>
      <c r="C91" s="13" t="s">
        <v>20</v>
      </c>
      <c r="D91" s="13">
        <v>45</v>
      </c>
      <c r="E91" s="4">
        <f t="shared" si="1"/>
        <v>18000</v>
      </c>
    </row>
    <row r="92" spans="1:5" x14ac:dyDescent="0.25">
      <c r="A92" s="43">
        <v>46148</v>
      </c>
      <c r="B92" s="13">
        <v>2</v>
      </c>
      <c r="C92" s="13" t="s">
        <v>45</v>
      </c>
      <c r="D92" s="13">
        <v>36</v>
      </c>
      <c r="E92" s="4">
        <f t="shared" si="1"/>
        <v>14400</v>
      </c>
    </row>
    <row r="93" spans="1:5" x14ac:dyDescent="0.25">
      <c r="A93" s="43">
        <v>46149</v>
      </c>
      <c r="B93" s="13">
        <v>1</v>
      </c>
      <c r="C93" s="13" t="s">
        <v>20</v>
      </c>
      <c r="D93" s="13">
        <v>30</v>
      </c>
      <c r="E93" s="4">
        <f t="shared" si="1"/>
        <v>12000</v>
      </c>
    </row>
    <row r="94" spans="1:5" x14ac:dyDescent="0.25">
      <c r="A94" s="43">
        <v>46149</v>
      </c>
      <c r="B94" s="13">
        <v>1</v>
      </c>
      <c r="C94" s="13" t="s">
        <v>185</v>
      </c>
      <c r="D94" s="13">
        <v>7</v>
      </c>
      <c r="E94" s="4">
        <f t="shared" si="1"/>
        <v>2800</v>
      </c>
    </row>
    <row r="95" spans="1:5" x14ac:dyDescent="0.25">
      <c r="A95" s="43">
        <v>46149</v>
      </c>
      <c r="B95" s="13">
        <v>2</v>
      </c>
      <c r="C95" s="13" t="s">
        <v>185</v>
      </c>
      <c r="D95" s="13">
        <v>6</v>
      </c>
      <c r="E95" s="4">
        <f t="shared" si="1"/>
        <v>2400</v>
      </c>
    </row>
    <row r="96" spans="1:5" x14ac:dyDescent="0.25">
      <c r="A96" s="43">
        <v>46149</v>
      </c>
      <c r="B96" s="13">
        <v>2</v>
      </c>
      <c r="C96" s="13" t="s">
        <v>45</v>
      </c>
      <c r="D96" s="13">
        <v>25</v>
      </c>
      <c r="E96" s="4">
        <f t="shared" si="1"/>
        <v>10000</v>
      </c>
    </row>
    <row r="97" spans="1:5" x14ac:dyDescent="0.25">
      <c r="A97" s="43">
        <v>46149</v>
      </c>
      <c r="B97" s="13">
        <v>2</v>
      </c>
      <c r="C97" s="13" t="s">
        <v>21</v>
      </c>
      <c r="D97" s="13">
        <v>4</v>
      </c>
      <c r="E97" s="4">
        <f t="shared" si="1"/>
        <v>1600</v>
      </c>
    </row>
    <row r="98" spans="1:5" x14ac:dyDescent="0.25">
      <c r="A98" s="43">
        <v>46149</v>
      </c>
      <c r="B98" s="13">
        <v>2</v>
      </c>
      <c r="C98" s="13" t="s">
        <v>22</v>
      </c>
      <c r="D98" s="13">
        <v>10</v>
      </c>
      <c r="E98" s="4">
        <f t="shared" si="1"/>
        <v>4000</v>
      </c>
    </row>
    <row r="99" spans="1:5" x14ac:dyDescent="0.25">
      <c r="A99" s="43">
        <v>46150</v>
      </c>
      <c r="B99" s="13">
        <v>1</v>
      </c>
      <c r="C99" s="13" t="s">
        <v>20</v>
      </c>
      <c r="D99" s="13">
        <v>44</v>
      </c>
      <c r="E99" s="4">
        <f t="shared" si="1"/>
        <v>17600</v>
      </c>
    </row>
    <row r="100" spans="1:5" x14ac:dyDescent="0.25">
      <c r="A100" s="43">
        <v>46150</v>
      </c>
      <c r="B100" s="13">
        <v>1</v>
      </c>
      <c r="C100" s="13" t="s">
        <v>45</v>
      </c>
      <c r="D100" s="13">
        <v>5</v>
      </c>
      <c r="E100" s="4">
        <f t="shared" si="1"/>
        <v>2000</v>
      </c>
    </row>
    <row r="101" spans="1:5" x14ac:dyDescent="0.25">
      <c r="A101" s="43">
        <v>46150</v>
      </c>
      <c r="B101" s="13">
        <v>2</v>
      </c>
      <c r="C101" s="13" t="s">
        <v>185</v>
      </c>
      <c r="D101" s="13">
        <v>27</v>
      </c>
      <c r="E101" s="4">
        <f t="shared" si="1"/>
        <v>10800</v>
      </c>
    </row>
    <row r="102" spans="1:5" x14ac:dyDescent="0.25">
      <c r="A102" s="43">
        <v>46150</v>
      </c>
      <c r="B102" s="13">
        <v>2</v>
      </c>
      <c r="C102" s="13" t="s">
        <v>22</v>
      </c>
      <c r="D102" s="13">
        <v>5</v>
      </c>
      <c r="E102" s="4">
        <f t="shared" si="1"/>
        <v>2000</v>
      </c>
    </row>
    <row r="103" spans="1:5" x14ac:dyDescent="0.25">
      <c r="A103" s="43">
        <v>46150</v>
      </c>
      <c r="B103" s="13">
        <v>2</v>
      </c>
      <c r="C103" s="13" t="s">
        <v>45</v>
      </c>
      <c r="D103" s="13">
        <v>1</v>
      </c>
      <c r="E103" s="4">
        <f t="shared" si="1"/>
        <v>400</v>
      </c>
    </row>
    <row r="104" spans="1:5" x14ac:dyDescent="0.25">
      <c r="A104" s="43">
        <v>46151</v>
      </c>
      <c r="B104" s="13">
        <v>1</v>
      </c>
      <c r="C104" s="13" t="s">
        <v>185</v>
      </c>
      <c r="D104" s="13">
        <v>15</v>
      </c>
      <c r="E104" s="4">
        <f t="shared" si="1"/>
        <v>6000</v>
      </c>
    </row>
    <row r="105" spans="1:5" x14ac:dyDescent="0.25">
      <c r="A105" s="43">
        <v>46151</v>
      </c>
      <c r="B105" s="13">
        <v>1</v>
      </c>
      <c r="C105" s="13" t="s">
        <v>20</v>
      </c>
      <c r="D105" s="13">
        <v>27</v>
      </c>
      <c r="E105" s="4">
        <f t="shared" si="1"/>
        <v>10800</v>
      </c>
    </row>
    <row r="106" spans="1:5" x14ac:dyDescent="0.25">
      <c r="A106" s="43">
        <v>46151</v>
      </c>
      <c r="B106" s="13">
        <v>1</v>
      </c>
      <c r="C106" s="13" t="s">
        <v>45</v>
      </c>
      <c r="D106" s="13">
        <v>15</v>
      </c>
      <c r="E106" s="4">
        <f t="shared" si="1"/>
        <v>6000</v>
      </c>
    </row>
    <row r="107" spans="1:5" x14ac:dyDescent="0.25">
      <c r="A107" s="43">
        <v>46151</v>
      </c>
      <c r="B107" s="13">
        <v>1</v>
      </c>
      <c r="C107" s="13" t="s">
        <v>21</v>
      </c>
      <c r="D107" s="13">
        <v>18</v>
      </c>
      <c r="E107" s="4">
        <f t="shared" si="1"/>
        <v>7200</v>
      </c>
    </row>
    <row r="108" spans="1:5" x14ac:dyDescent="0.25">
      <c r="A108" s="43">
        <v>46151</v>
      </c>
      <c r="B108" s="13">
        <v>2</v>
      </c>
      <c r="C108" s="13" t="s">
        <v>45</v>
      </c>
      <c r="D108" s="13">
        <v>50</v>
      </c>
      <c r="E108" s="4">
        <f t="shared" si="1"/>
        <v>20000</v>
      </c>
    </row>
    <row r="109" spans="1:5" x14ac:dyDescent="0.25">
      <c r="A109" s="43">
        <v>46151</v>
      </c>
      <c r="B109" s="13">
        <v>2</v>
      </c>
      <c r="C109" s="13" t="s">
        <v>185</v>
      </c>
      <c r="D109" s="13">
        <v>19</v>
      </c>
      <c r="E109" s="4">
        <f t="shared" si="1"/>
        <v>7600</v>
      </c>
    </row>
    <row r="110" spans="1:5" x14ac:dyDescent="0.25">
      <c r="A110" s="43">
        <v>46151</v>
      </c>
      <c r="B110" s="13">
        <v>2</v>
      </c>
      <c r="C110" s="13" t="s">
        <v>21</v>
      </c>
      <c r="D110" s="13">
        <v>5</v>
      </c>
      <c r="E110" s="4">
        <f t="shared" si="1"/>
        <v>2000</v>
      </c>
    </row>
    <row r="111" spans="1:5" x14ac:dyDescent="0.25">
      <c r="E111" s="4">
        <f t="shared" si="1"/>
        <v>0</v>
      </c>
    </row>
    <row r="112" spans="1:5" x14ac:dyDescent="0.25">
      <c r="E112" s="4">
        <f t="shared" si="1"/>
        <v>0</v>
      </c>
    </row>
    <row r="113" spans="5:5" x14ac:dyDescent="0.25">
      <c r="E113" s="4">
        <f t="shared" si="1"/>
        <v>0</v>
      </c>
    </row>
    <row r="114" spans="5:5" x14ac:dyDescent="0.25">
      <c r="E114" s="4">
        <f t="shared" si="1"/>
        <v>0</v>
      </c>
    </row>
    <row r="115" spans="5:5" x14ac:dyDescent="0.25">
      <c r="E115" s="4">
        <f t="shared" si="1"/>
        <v>0</v>
      </c>
    </row>
    <row r="116" spans="5:5" x14ac:dyDescent="0.25">
      <c r="E116" s="4">
        <f t="shared" si="1"/>
        <v>0</v>
      </c>
    </row>
    <row r="117" spans="5:5" x14ac:dyDescent="0.25">
      <c r="E117" s="4">
        <f t="shared" si="1"/>
        <v>0</v>
      </c>
    </row>
    <row r="118" spans="5:5" x14ac:dyDescent="0.25">
      <c r="E118" s="4">
        <f t="shared" si="1"/>
        <v>0</v>
      </c>
    </row>
    <row r="119" spans="5:5" x14ac:dyDescent="0.25">
      <c r="E119" s="4">
        <f t="shared" si="1"/>
        <v>0</v>
      </c>
    </row>
    <row r="120" spans="5:5" x14ac:dyDescent="0.25">
      <c r="E120" s="4">
        <f t="shared" si="1"/>
        <v>0</v>
      </c>
    </row>
    <row r="121" spans="5:5" x14ac:dyDescent="0.25">
      <c r="E121" s="4">
        <f t="shared" si="1"/>
        <v>0</v>
      </c>
    </row>
    <row r="122" spans="5:5" x14ac:dyDescent="0.25">
      <c r="E122" s="4">
        <f t="shared" si="1"/>
        <v>0</v>
      </c>
    </row>
    <row r="123" spans="5:5" x14ac:dyDescent="0.25">
      <c r="E123" s="4">
        <f t="shared" si="1"/>
        <v>0</v>
      </c>
    </row>
    <row r="124" spans="5:5" x14ac:dyDescent="0.25">
      <c r="E124" s="4">
        <f t="shared" si="1"/>
        <v>0</v>
      </c>
    </row>
    <row r="125" spans="5:5" x14ac:dyDescent="0.25">
      <c r="E125" s="4">
        <f t="shared" si="1"/>
        <v>0</v>
      </c>
    </row>
    <row r="126" spans="5:5" x14ac:dyDescent="0.25">
      <c r="E126" s="4">
        <f t="shared" si="1"/>
        <v>0</v>
      </c>
    </row>
    <row r="127" spans="5:5" x14ac:dyDescent="0.25">
      <c r="E127" s="4">
        <f t="shared" si="1"/>
        <v>0</v>
      </c>
    </row>
    <row r="128" spans="5:5" x14ac:dyDescent="0.25">
      <c r="E128" s="4">
        <f t="shared" ref="E128:E191" si="2">+D128*400</f>
        <v>0</v>
      </c>
    </row>
    <row r="129" spans="5:5" x14ac:dyDescent="0.25">
      <c r="E129" s="4">
        <f t="shared" si="2"/>
        <v>0</v>
      </c>
    </row>
    <row r="130" spans="5:5" x14ac:dyDescent="0.25">
      <c r="E130" s="4">
        <f t="shared" si="2"/>
        <v>0</v>
      </c>
    </row>
    <row r="131" spans="5:5" x14ac:dyDescent="0.25">
      <c r="E131" s="4">
        <f t="shared" si="2"/>
        <v>0</v>
      </c>
    </row>
    <row r="132" spans="5:5" x14ac:dyDescent="0.25">
      <c r="E132" s="4">
        <f t="shared" si="2"/>
        <v>0</v>
      </c>
    </row>
    <row r="133" spans="5:5" x14ac:dyDescent="0.25">
      <c r="E133" s="4">
        <f t="shared" si="2"/>
        <v>0</v>
      </c>
    </row>
    <row r="134" spans="5:5" x14ac:dyDescent="0.25">
      <c r="E134" s="4">
        <f t="shared" si="2"/>
        <v>0</v>
      </c>
    </row>
    <row r="135" spans="5:5" x14ac:dyDescent="0.25">
      <c r="E135" s="4">
        <f t="shared" si="2"/>
        <v>0</v>
      </c>
    </row>
    <row r="136" spans="5:5" x14ac:dyDescent="0.25">
      <c r="E136" s="4">
        <f t="shared" si="2"/>
        <v>0</v>
      </c>
    </row>
    <row r="137" spans="5:5" x14ac:dyDescent="0.25">
      <c r="E137" s="4">
        <f t="shared" si="2"/>
        <v>0</v>
      </c>
    </row>
    <row r="138" spans="5:5" x14ac:dyDescent="0.25">
      <c r="E138" s="4">
        <f t="shared" si="2"/>
        <v>0</v>
      </c>
    </row>
    <row r="139" spans="5:5" x14ac:dyDescent="0.25">
      <c r="E139" s="4">
        <f t="shared" si="2"/>
        <v>0</v>
      </c>
    </row>
    <row r="140" spans="5:5" x14ac:dyDescent="0.25">
      <c r="E140" s="4">
        <f t="shared" si="2"/>
        <v>0</v>
      </c>
    </row>
    <row r="141" spans="5:5" x14ac:dyDescent="0.25">
      <c r="E141" s="4">
        <f t="shared" si="2"/>
        <v>0</v>
      </c>
    </row>
    <row r="142" spans="5:5" x14ac:dyDescent="0.25">
      <c r="E142" s="4">
        <f t="shared" si="2"/>
        <v>0</v>
      </c>
    </row>
    <row r="143" spans="5:5" x14ac:dyDescent="0.25">
      <c r="E143" s="4">
        <f t="shared" si="2"/>
        <v>0</v>
      </c>
    </row>
    <row r="144" spans="5:5" x14ac:dyDescent="0.25">
      <c r="E144" s="4">
        <f t="shared" si="2"/>
        <v>0</v>
      </c>
    </row>
    <row r="145" spans="5:5" x14ac:dyDescent="0.25">
      <c r="E145" s="4">
        <f t="shared" si="2"/>
        <v>0</v>
      </c>
    </row>
    <row r="146" spans="5:5" x14ac:dyDescent="0.25">
      <c r="E146" s="4">
        <f t="shared" si="2"/>
        <v>0</v>
      </c>
    </row>
    <row r="147" spans="5:5" x14ac:dyDescent="0.25">
      <c r="E147" s="4">
        <f t="shared" si="2"/>
        <v>0</v>
      </c>
    </row>
    <row r="148" spans="5:5" x14ac:dyDescent="0.25">
      <c r="E148" s="4">
        <f t="shared" si="2"/>
        <v>0</v>
      </c>
    </row>
    <row r="149" spans="5:5" x14ac:dyDescent="0.25">
      <c r="E149" s="4">
        <f t="shared" si="2"/>
        <v>0</v>
      </c>
    </row>
    <row r="150" spans="5:5" x14ac:dyDescent="0.25">
      <c r="E150" s="4">
        <f t="shared" si="2"/>
        <v>0</v>
      </c>
    </row>
    <row r="151" spans="5:5" x14ac:dyDescent="0.25">
      <c r="E151" s="4">
        <f t="shared" si="2"/>
        <v>0</v>
      </c>
    </row>
    <row r="152" spans="5:5" x14ac:dyDescent="0.25">
      <c r="E152" s="4">
        <f t="shared" si="2"/>
        <v>0</v>
      </c>
    </row>
    <row r="153" spans="5:5" x14ac:dyDescent="0.25">
      <c r="E153" s="4">
        <f t="shared" si="2"/>
        <v>0</v>
      </c>
    </row>
    <row r="154" spans="5:5" x14ac:dyDescent="0.25">
      <c r="E154" s="4">
        <f t="shared" si="2"/>
        <v>0</v>
      </c>
    </row>
    <row r="155" spans="5:5" x14ac:dyDescent="0.25">
      <c r="E155" s="4">
        <f t="shared" si="2"/>
        <v>0</v>
      </c>
    </row>
    <row r="156" spans="5:5" x14ac:dyDescent="0.25">
      <c r="E156" s="4">
        <f t="shared" si="2"/>
        <v>0</v>
      </c>
    </row>
    <row r="157" spans="5:5" x14ac:dyDescent="0.25">
      <c r="E157" s="4">
        <f t="shared" si="2"/>
        <v>0</v>
      </c>
    </row>
    <row r="158" spans="5:5" x14ac:dyDescent="0.25">
      <c r="E158" s="4">
        <f t="shared" si="2"/>
        <v>0</v>
      </c>
    </row>
    <row r="159" spans="5:5" x14ac:dyDescent="0.25">
      <c r="E159" s="4">
        <f t="shared" si="2"/>
        <v>0</v>
      </c>
    </row>
    <row r="160" spans="5:5" x14ac:dyDescent="0.25">
      <c r="E160" s="4">
        <f t="shared" si="2"/>
        <v>0</v>
      </c>
    </row>
    <row r="161" spans="5:5" x14ac:dyDescent="0.25">
      <c r="E161" s="4">
        <f t="shared" si="2"/>
        <v>0</v>
      </c>
    </row>
    <row r="162" spans="5:5" x14ac:dyDescent="0.25">
      <c r="E162" s="4">
        <f t="shared" si="2"/>
        <v>0</v>
      </c>
    </row>
    <row r="163" spans="5:5" x14ac:dyDescent="0.25">
      <c r="E163" s="4">
        <f t="shared" si="2"/>
        <v>0</v>
      </c>
    </row>
    <row r="164" spans="5:5" x14ac:dyDescent="0.25">
      <c r="E164" s="4">
        <f t="shared" si="2"/>
        <v>0</v>
      </c>
    </row>
    <row r="165" spans="5:5" x14ac:dyDescent="0.25">
      <c r="E165" s="4">
        <f t="shared" si="2"/>
        <v>0</v>
      </c>
    </row>
    <row r="166" spans="5:5" x14ac:dyDescent="0.25">
      <c r="E166" s="4">
        <f t="shared" si="2"/>
        <v>0</v>
      </c>
    </row>
    <row r="167" spans="5:5" x14ac:dyDescent="0.25">
      <c r="E167" s="4">
        <f t="shared" si="2"/>
        <v>0</v>
      </c>
    </row>
    <row r="168" spans="5:5" x14ac:dyDescent="0.25">
      <c r="E168" s="4">
        <f t="shared" si="2"/>
        <v>0</v>
      </c>
    </row>
    <row r="169" spans="5:5" x14ac:dyDescent="0.25">
      <c r="E169" s="4">
        <f t="shared" si="2"/>
        <v>0</v>
      </c>
    </row>
    <row r="170" spans="5:5" x14ac:dyDescent="0.25">
      <c r="E170" s="4">
        <f t="shared" si="2"/>
        <v>0</v>
      </c>
    </row>
    <row r="171" spans="5:5" x14ac:dyDescent="0.25">
      <c r="E171" s="4">
        <f t="shared" si="2"/>
        <v>0</v>
      </c>
    </row>
    <row r="172" spans="5:5" x14ac:dyDescent="0.25">
      <c r="E172" s="4">
        <f t="shared" si="2"/>
        <v>0</v>
      </c>
    </row>
    <row r="173" spans="5:5" x14ac:dyDescent="0.25">
      <c r="E173" s="4">
        <f t="shared" si="2"/>
        <v>0</v>
      </c>
    </row>
    <row r="174" spans="5:5" x14ac:dyDescent="0.25">
      <c r="E174" s="4">
        <f t="shared" si="2"/>
        <v>0</v>
      </c>
    </row>
    <row r="175" spans="5:5" x14ac:dyDescent="0.25">
      <c r="E175" s="4">
        <f t="shared" si="2"/>
        <v>0</v>
      </c>
    </row>
    <row r="176" spans="5:5" x14ac:dyDescent="0.25">
      <c r="E176" s="4">
        <f t="shared" si="2"/>
        <v>0</v>
      </c>
    </row>
    <row r="177" spans="5:5" x14ac:dyDescent="0.25">
      <c r="E177" s="4">
        <f t="shared" si="2"/>
        <v>0</v>
      </c>
    </row>
    <row r="178" spans="5:5" x14ac:dyDescent="0.25">
      <c r="E178" s="4">
        <f t="shared" si="2"/>
        <v>0</v>
      </c>
    </row>
    <row r="179" spans="5:5" x14ac:dyDescent="0.25">
      <c r="E179" s="4">
        <f t="shared" si="2"/>
        <v>0</v>
      </c>
    </row>
    <row r="180" spans="5:5" x14ac:dyDescent="0.25">
      <c r="E180" s="4">
        <f t="shared" si="2"/>
        <v>0</v>
      </c>
    </row>
    <row r="181" spans="5:5" x14ac:dyDescent="0.25">
      <c r="E181" s="4">
        <f t="shared" si="2"/>
        <v>0</v>
      </c>
    </row>
    <row r="182" spans="5:5" x14ac:dyDescent="0.25">
      <c r="E182" s="4">
        <f t="shared" si="2"/>
        <v>0</v>
      </c>
    </row>
    <row r="183" spans="5:5" x14ac:dyDescent="0.25">
      <c r="E183" s="4">
        <f t="shared" si="2"/>
        <v>0</v>
      </c>
    </row>
    <row r="184" spans="5:5" x14ac:dyDescent="0.25">
      <c r="E184" s="4">
        <f t="shared" si="2"/>
        <v>0</v>
      </c>
    </row>
    <row r="185" spans="5:5" x14ac:dyDescent="0.25">
      <c r="E185" s="4">
        <f t="shared" si="2"/>
        <v>0</v>
      </c>
    </row>
    <row r="186" spans="5:5" x14ac:dyDescent="0.25">
      <c r="E186" s="4">
        <f t="shared" si="2"/>
        <v>0</v>
      </c>
    </row>
    <row r="187" spans="5:5" x14ac:dyDescent="0.25">
      <c r="E187" s="4">
        <f t="shared" si="2"/>
        <v>0</v>
      </c>
    </row>
    <row r="188" spans="5:5" x14ac:dyDescent="0.25">
      <c r="E188" s="4">
        <f t="shared" si="2"/>
        <v>0</v>
      </c>
    </row>
    <row r="189" spans="5:5" x14ac:dyDescent="0.25">
      <c r="E189" s="4">
        <f t="shared" si="2"/>
        <v>0</v>
      </c>
    </row>
    <row r="190" spans="5:5" x14ac:dyDescent="0.25">
      <c r="E190" s="4">
        <f t="shared" si="2"/>
        <v>0</v>
      </c>
    </row>
    <row r="191" spans="5:5" x14ac:dyDescent="0.25">
      <c r="E191" s="4">
        <f t="shared" si="2"/>
        <v>0</v>
      </c>
    </row>
    <row r="192" spans="5:5" x14ac:dyDescent="0.25">
      <c r="E192" s="4">
        <f t="shared" ref="E192:E255" si="3">+D192*400</f>
        <v>0</v>
      </c>
    </row>
    <row r="193" spans="5:5" x14ac:dyDescent="0.25">
      <c r="E193" s="4">
        <f t="shared" si="3"/>
        <v>0</v>
      </c>
    </row>
    <row r="194" spans="5:5" x14ac:dyDescent="0.25">
      <c r="E194" s="4">
        <f t="shared" si="3"/>
        <v>0</v>
      </c>
    </row>
    <row r="195" spans="5:5" x14ac:dyDescent="0.25">
      <c r="E195" s="4">
        <f t="shared" si="3"/>
        <v>0</v>
      </c>
    </row>
    <row r="196" spans="5:5" x14ac:dyDescent="0.25">
      <c r="E196" s="4">
        <f t="shared" si="3"/>
        <v>0</v>
      </c>
    </row>
    <row r="197" spans="5:5" x14ac:dyDescent="0.25">
      <c r="E197" s="4">
        <f t="shared" si="3"/>
        <v>0</v>
      </c>
    </row>
    <row r="198" spans="5:5" x14ac:dyDescent="0.25">
      <c r="E198" s="4">
        <f t="shared" si="3"/>
        <v>0</v>
      </c>
    </row>
    <row r="199" spans="5:5" x14ac:dyDescent="0.25">
      <c r="E199" s="4">
        <f t="shared" si="3"/>
        <v>0</v>
      </c>
    </row>
    <row r="200" spans="5:5" x14ac:dyDescent="0.25">
      <c r="E200" s="4">
        <f t="shared" si="3"/>
        <v>0</v>
      </c>
    </row>
    <row r="201" spans="5:5" x14ac:dyDescent="0.25">
      <c r="E201" s="4">
        <f t="shared" si="3"/>
        <v>0</v>
      </c>
    </row>
    <row r="202" spans="5:5" x14ac:dyDescent="0.25">
      <c r="E202" s="4">
        <f t="shared" si="3"/>
        <v>0</v>
      </c>
    </row>
    <row r="203" spans="5:5" x14ac:dyDescent="0.25">
      <c r="E203" s="4">
        <f t="shared" si="3"/>
        <v>0</v>
      </c>
    </row>
    <row r="204" spans="5:5" x14ac:dyDescent="0.25">
      <c r="E204" s="4">
        <f t="shared" si="3"/>
        <v>0</v>
      </c>
    </row>
    <row r="205" spans="5:5" x14ac:dyDescent="0.25">
      <c r="E205" s="4">
        <f t="shared" si="3"/>
        <v>0</v>
      </c>
    </row>
    <row r="206" spans="5:5" x14ac:dyDescent="0.25">
      <c r="E206" s="4">
        <f t="shared" si="3"/>
        <v>0</v>
      </c>
    </row>
    <row r="207" spans="5:5" x14ac:dyDescent="0.25">
      <c r="E207" s="4">
        <f t="shared" si="3"/>
        <v>0</v>
      </c>
    </row>
    <row r="208" spans="5:5" x14ac:dyDescent="0.25">
      <c r="E208" s="4">
        <f t="shared" si="3"/>
        <v>0</v>
      </c>
    </row>
    <row r="209" spans="5:5" x14ac:dyDescent="0.25">
      <c r="E209" s="4">
        <f t="shared" si="3"/>
        <v>0</v>
      </c>
    </row>
    <row r="210" spans="5:5" x14ac:dyDescent="0.25">
      <c r="E210" s="4">
        <f t="shared" si="3"/>
        <v>0</v>
      </c>
    </row>
    <row r="211" spans="5:5" x14ac:dyDescent="0.25">
      <c r="E211" s="4">
        <f t="shared" si="3"/>
        <v>0</v>
      </c>
    </row>
    <row r="212" spans="5:5" x14ac:dyDescent="0.25">
      <c r="E212" s="4">
        <f t="shared" si="3"/>
        <v>0</v>
      </c>
    </row>
    <row r="213" spans="5:5" x14ac:dyDescent="0.25">
      <c r="E213" s="4">
        <f t="shared" si="3"/>
        <v>0</v>
      </c>
    </row>
    <row r="214" spans="5:5" x14ac:dyDescent="0.25">
      <c r="E214" s="4">
        <f t="shared" si="3"/>
        <v>0</v>
      </c>
    </row>
    <row r="215" spans="5:5" x14ac:dyDescent="0.25">
      <c r="E215" s="4">
        <f t="shared" si="3"/>
        <v>0</v>
      </c>
    </row>
    <row r="216" spans="5:5" x14ac:dyDescent="0.25">
      <c r="E216" s="4">
        <f t="shared" si="3"/>
        <v>0</v>
      </c>
    </row>
    <row r="217" spans="5:5" x14ac:dyDescent="0.25">
      <c r="E217" s="4">
        <f t="shared" si="3"/>
        <v>0</v>
      </c>
    </row>
    <row r="218" spans="5:5" x14ac:dyDescent="0.25">
      <c r="E218" s="4">
        <f t="shared" si="3"/>
        <v>0</v>
      </c>
    </row>
    <row r="219" spans="5:5" x14ac:dyDescent="0.25">
      <c r="E219" s="4">
        <f t="shared" si="3"/>
        <v>0</v>
      </c>
    </row>
    <row r="220" spans="5:5" x14ac:dyDescent="0.25">
      <c r="E220" s="4">
        <f t="shared" si="3"/>
        <v>0</v>
      </c>
    </row>
    <row r="221" spans="5:5" x14ac:dyDescent="0.25">
      <c r="E221" s="4">
        <f t="shared" si="3"/>
        <v>0</v>
      </c>
    </row>
    <row r="222" spans="5:5" x14ac:dyDescent="0.25">
      <c r="E222" s="4">
        <f t="shared" si="3"/>
        <v>0</v>
      </c>
    </row>
    <row r="223" spans="5:5" x14ac:dyDescent="0.25">
      <c r="E223" s="4">
        <f t="shared" si="3"/>
        <v>0</v>
      </c>
    </row>
    <row r="224" spans="5:5" x14ac:dyDescent="0.25">
      <c r="E224" s="4">
        <f t="shared" si="3"/>
        <v>0</v>
      </c>
    </row>
    <row r="225" spans="5:5" x14ac:dyDescent="0.25">
      <c r="E225" s="4">
        <f t="shared" si="3"/>
        <v>0</v>
      </c>
    </row>
    <row r="226" spans="5:5" x14ac:dyDescent="0.25">
      <c r="E226" s="4">
        <f t="shared" si="3"/>
        <v>0</v>
      </c>
    </row>
    <row r="227" spans="5:5" x14ac:dyDescent="0.25">
      <c r="E227" s="4">
        <f t="shared" si="3"/>
        <v>0</v>
      </c>
    </row>
    <row r="228" spans="5:5" x14ac:dyDescent="0.25">
      <c r="E228" s="4">
        <f t="shared" si="3"/>
        <v>0</v>
      </c>
    </row>
    <row r="229" spans="5:5" x14ac:dyDescent="0.25">
      <c r="E229" s="4">
        <f t="shared" si="3"/>
        <v>0</v>
      </c>
    </row>
    <row r="230" spans="5:5" x14ac:dyDescent="0.25">
      <c r="E230" s="4">
        <f t="shared" si="3"/>
        <v>0</v>
      </c>
    </row>
    <row r="231" spans="5:5" x14ac:dyDescent="0.25">
      <c r="E231" s="4">
        <f t="shared" si="3"/>
        <v>0</v>
      </c>
    </row>
    <row r="232" spans="5:5" x14ac:dyDescent="0.25">
      <c r="E232" s="4">
        <f t="shared" si="3"/>
        <v>0</v>
      </c>
    </row>
    <row r="233" spans="5:5" x14ac:dyDescent="0.25">
      <c r="E233" s="4">
        <f t="shared" si="3"/>
        <v>0</v>
      </c>
    </row>
    <row r="234" spans="5:5" x14ac:dyDescent="0.25">
      <c r="E234" s="4">
        <f t="shared" si="3"/>
        <v>0</v>
      </c>
    </row>
    <row r="235" spans="5:5" x14ac:dyDescent="0.25">
      <c r="E235" s="4">
        <f t="shared" si="3"/>
        <v>0</v>
      </c>
    </row>
    <row r="236" spans="5:5" x14ac:dyDescent="0.25">
      <c r="E236" s="4">
        <f t="shared" si="3"/>
        <v>0</v>
      </c>
    </row>
    <row r="237" spans="5:5" x14ac:dyDescent="0.25">
      <c r="E237" s="4">
        <f t="shared" si="3"/>
        <v>0</v>
      </c>
    </row>
    <row r="238" spans="5:5" x14ac:dyDescent="0.25">
      <c r="E238" s="4">
        <f t="shared" si="3"/>
        <v>0</v>
      </c>
    </row>
    <row r="239" spans="5:5" x14ac:dyDescent="0.25">
      <c r="E239" s="4">
        <f t="shared" si="3"/>
        <v>0</v>
      </c>
    </row>
    <row r="240" spans="5:5" x14ac:dyDescent="0.25">
      <c r="E240" s="4">
        <f t="shared" si="3"/>
        <v>0</v>
      </c>
    </row>
    <row r="241" spans="5:5" x14ac:dyDescent="0.25">
      <c r="E241" s="4">
        <f t="shared" si="3"/>
        <v>0</v>
      </c>
    </row>
    <row r="242" spans="5:5" x14ac:dyDescent="0.25">
      <c r="E242" s="4">
        <f t="shared" si="3"/>
        <v>0</v>
      </c>
    </row>
    <row r="243" spans="5:5" x14ac:dyDescent="0.25">
      <c r="E243" s="4">
        <f t="shared" si="3"/>
        <v>0</v>
      </c>
    </row>
    <row r="244" spans="5:5" x14ac:dyDescent="0.25">
      <c r="E244" s="4">
        <f t="shared" si="3"/>
        <v>0</v>
      </c>
    </row>
    <row r="245" spans="5:5" x14ac:dyDescent="0.25">
      <c r="E245" s="4">
        <f t="shared" si="3"/>
        <v>0</v>
      </c>
    </row>
    <row r="246" spans="5:5" x14ac:dyDescent="0.25">
      <c r="E246" s="4">
        <f t="shared" si="3"/>
        <v>0</v>
      </c>
    </row>
    <row r="247" spans="5:5" x14ac:dyDescent="0.25">
      <c r="E247" s="4">
        <f t="shared" si="3"/>
        <v>0</v>
      </c>
    </row>
    <row r="248" spans="5:5" x14ac:dyDescent="0.25">
      <c r="E248" s="4">
        <f t="shared" si="3"/>
        <v>0</v>
      </c>
    </row>
    <row r="249" spans="5:5" x14ac:dyDescent="0.25">
      <c r="E249" s="4">
        <f t="shared" si="3"/>
        <v>0</v>
      </c>
    </row>
    <row r="250" spans="5:5" x14ac:dyDescent="0.25">
      <c r="E250" s="4">
        <f t="shared" si="3"/>
        <v>0</v>
      </c>
    </row>
    <row r="251" spans="5:5" x14ac:dyDescent="0.25">
      <c r="E251" s="4">
        <f t="shared" si="3"/>
        <v>0</v>
      </c>
    </row>
    <row r="252" spans="5:5" x14ac:dyDescent="0.25">
      <c r="E252" s="4">
        <f t="shared" si="3"/>
        <v>0</v>
      </c>
    </row>
    <row r="253" spans="5:5" x14ac:dyDescent="0.25">
      <c r="E253" s="4">
        <f t="shared" si="3"/>
        <v>0</v>
      </c>
    </row>
    <row r="254" spans="5:5" x14ac:dyDescent="0.25">
      <c r="E254" s="4">
        <f t="shared" si="3"/>
        <v>0</v>
      </c>
    </row>
    <row r="255" spans="5:5" x14ac:dyDescent="0.25">
      <c r="E255" s="4">
        <f t="shared" si="3"/>
        <v>0</v>
      </c>
    </row>
    <row r="256" spans="5:5" x14ac:dyDescent="0.25">
      <c r="E256" s="4">
        <f t="shared" ref="E256:E319" si="4">+D256*400</f>
        <v>0</v>
      </c>
    </row>
    <row r="257" spans="5:5" x14ac:dyDescent="0.25">
      <c r="E257" s="4">
        <f t="shared" si="4"/>
        <v>0</v>
      </c>
    </row>
    <row r="258" spans="5:5" x14ac:dyDescent="0.25">
      <c r="E258" s="4">
        <f t="shared" si="4"/>
        <v>0</v>
      </c>
    </row>
    <row r="259" spans="5:5" x14ac:dyDescent="0.25">
      <c r="E259" s="4">
        <f t="shared" si="4"/>
        <v>0</v>
      </c>
    </row>
    <row r="260" spans="5:5" x14ac:dyDescent="0.25">
      <c r="E260" s="4">
        <f t="shared" si="4"/>
        <v>0</v>
      </c>
    </row>
    <row r="261" spans="5:5" x14ac:dyDescent="0.25">
      <c r="E261" s="4">
        <f t="shared" si="4"/>
        <v>0</v>
      </c>
    </row>
    <row r="262" spans="5:5" x14ac:dyDescent="0.25">
      <c r="E262" s="4">
        <f t="shared" si="4"/>
        <v>0</v>
      </c>
    </row>
    <row r="263" spans="5:5" x14ac:dyDescent="0.25">
      <c r="E263" s="4">
        <f t="shared" si="4"/>
        <v>0</v>
      </c>
    </row>
    <row r="264" spans="5:5" x14ac:dyDescent="0.25">
      <c r="E264" s="4">
        <f t="shared" si="4"/>
        <v>0</v>
      </c>
    </row>
    <row r="265" spans="5:5" x14ac:dyDescent="0.25">
      <c r="E265" s="4">
        <f t="shared" si="4"/>
        <v>0</v>
      </c>
    </row>
    <row r="266" spans="5:5" x14ac:dyDescent="0.25">
      <c r="E266" s="4">
        <f t="shared" si="4"/>
        <v>0</v>
      </c>
    </row>
    <row r="267" spans="5:5" x14ac:dyDescent="0.25">
      <c r="E267" s="4">
        <f t="shared" si="4"/>
        <v>0</v>
      </c>
    </row>
    <row r="268" spans="5:5" x14ac:dyDescent="0.25">
      <c r="E268" s="4">
        <f t="shared" si="4"/>
        <v>0</v>
      </c>
    </row>
    <row r="269" spans="5:5" x14ac:dyDescent="0.25">
      <c r="E269" s="4">
        <f t="shared" si="4"/>
        <v>0</v>
      </c>
    </row>
    <row r="270" spans="5:5" x14ac:dyDescent="0.25">
      <c r="E270" s="4">
        <f t="shared" si="4"/>
        <v>0</v>
      </c>
    </row>
    <row r="271" spans="5:5" x14ac:dyDescent="0.25">
      <c r="E271" s="4">
        <f t="shared" si="4"/>
        <v>0</v>
      </c>
    </row>
    <row r="272" spans="5:5" x14ac:dyDescent="0.25">
      <c r="E272" s="4">
        <f t="shared" si="4"/>
        <v>0</v>
      </c>
    </row>
    <row r="273" spans="5:5" x14ac:dyDescent="0.25">
      <c r="E273" s="4">
        <f t="shared" si="4"/>
        <v>0</v>
      </c>
    </row>
    <row r="274" spans="5:5" x14ac:dyDescent="0.25">
      <c r="E274" s="4">
        <f t="shared" si="4"/>
        <v>0</v>
      </c>
    </row>
    <row r="275" spans="5:5" x14ac:dyDescent="0.25">
      <c r="E275" s="4">
        <f t="shared" si="4"/>
        <v>0</v>
      </c>
    </row>
    <row r="276" spans="5:5" x14ac:dyDescent="0.25">
      <c r="E276" s="4">
        <f t="shared" si="4"/>
        <v>0</v>
      </c>
    </row>
    <row r="277" spans="5:5" x14ac:dyDescent="0.25">
      <c r="E277" s="4">
        <f t="shared" si="4"/>
        <v>0</v>
      </c>
    </row>
    <row r="278" spans="5:5" x14ac:dyDescent="0.25">
      <c r="E278" s="4">
        <f t="shared" si="4"/>
        <v>0</v>
      </c>
    </row>
    <row r="279" spans="5:5" x14ac:dyDescent="0.25">
      <c r="E279" s="4">
        <f t="shared" si="4"/>
        <v>0</v>
      </c>
    </row>
    <row r="280" spans="5:5" x14ac:dyDescent="0.25">
      <c r="E280" s="4">
        <f t="shared" si="4"/>
        <v>0</v>
      </c>
    </row>
    <row r="281" spans="5:5" x14ac:dyDescent="0.25">
      <c r="E281" s="4">
        <f t="shared" si="4"/>
        <v>0</v>
      </c>
    </row>
    <row r="282" spans="5:5" x14ac:dyDescent="0.25">
      <c r="E282" s="4">
        <f t="shared" si="4"/>
        <v>0</v>
      </c>
    </row>
    <row r="283" spans="5:5" x14ac:dyDescent="0.25">
      <c r="E283" s="4">
        <f t="shared" si="4"/>
        <v>0</v>
      </c>
    </row>
    <row r="284" spans="5:5" x14ac:dyDescent="0.25">
      <c r="E284" s="4">
        <f t="shared" si="4"/>
        <v>0</v>
      </c>
    </row>
    <row r="285" spans="5:5" x14ac:dyDescent="0.25">
      <c r="E285" s="4">
        <f t="shared" si="4"/>
        <v>0</v>
      </c>
    </row>
    <row r="286" spans="5:5" x14ac:dyDescent="0.25">
      <c r="E286" s="4">
        <f t="shared" si="4"/>
        <v>0</v>
      </c>
    </row>
    <row r="287" spans="5:5" x14ac:dyDescent="0.25">
      <c r="E287" s="4">
        <f t="shared" si="4"/>
        <v>0</v>
      </c>
    </row>
    <row r="288" spans="5:5" x14ac:dyDescent="0.25">
      <c r="E288" s="4">
        <f t="shared" si="4"/>
        <v>0</v>
      </c>
    </row>
    <row r="289" spans="5:5" x14ac:dyDescent="0.25">
      <c r="E289" s="4">
        <f t="shared" si="4"/>
        <v>0</v>
      </c>
    </row>
    <row r="290" spans="5:5" x14ac:dyDescent="0.25">
      <c r="E290" s="4">
        <f t="shared" si="4"/>
        <v>0</v>
      </c>
    </row>
    <row r="291" spans="5:5" x14ac:dyDescent="0.25">
      <c r="E291" s="4">
        <f t="shared" si="4"/>
        <v>0</v>
      </c>
    </row>
    <row r="292" spans="5:5" x14ac:dyDescent="0.25">
      <c r="E292" s="4">
        <f t="shared" si="4"/>
        <v>0</v>
      </c>
    </row>
    <row r="293" spans="5:5" x14ac:dyDescent="0.25">
      <c r="E293" s="4">
        <f t="shared" si="4"/>
        <v>0</v>
      </c>
    </row>
    <row r="294" spans="5:5" x14ac:dyDescent="0.25">
      <c r="E294" s="4">
        <f t="shared" si="4"/>
        <v>0</v>
      </c>
    </row>
    <row r="295" spans="5:5" x14ac:dyDescent="0.25">
      <c r="E295" s="4">
        <f t="shared" si="4"/>
        <v>0</v>
      </c>
    </row>
    <row r="296" spans="5:5" x14ac:dyDescent="0.25">
      <c r="E296" s="4">
        <f t="shared" si="4"/>
        <v>0</v>
      </c>
    </row>
    <row r="297" spans="5:5" x14ac:dyDescent="0.25">
      <c r="E297" s="4">
        <f t="shared" si="4"/>
        <v>0</v>
      </c>
    </row>
    <row r="298" spans="5:5" x14ac:dyDescent="0.25">
      <c r="E298" s="4">
        <f t="shared" si="4"/>
        <v>0</v>
      </c>
    </row>
    <row r="299" spans="5:5" x14ac:dyDescent="0.25">
      <c r="E299" s="4">
        <f t="shared" si="4"/>
        <v>0</v>
      </c>
    </row>
    <row r="300" spans="5:5" x14ac:dyDescent="0.25">
      <c r="E300" s="4">
        <f t="shared" si="4"/>
        <v>0</v>
      </c>
    </row>
    <row r="301" spans="5:5" x14ac:dyDescent="0.25">
      <c r="E301" s="4">
        <f t="shared" si="4"/>
        <v>0</v>
      </c>
    </row>
    <row r="302" spans="5:5" x14ac:dyDescent="0.25">
      <c r="E302" s="4">
        <f t="shared" si="4"/>
        <v>0</v>
      </c>
    </row>
    <row r="303" spans="5:5" x14ac:dyDescent="0.25">
      <c r="E303" s="4">
        <f t="shared" si="4"/>
        <v>0</v>
      </c>
    </row>
    <row r="304" spans="5:5" x14ac:dyDescent="0.25">
      <c r="E304" s="4">
        <f t="shared" si="4"/>
        <v>0</v>
      </c>
    </row>
    <row r="305" spans="5:5" x14ac:dyDescent="0.25">
      <c r="E305" s="4">
        <f t="shared" si="4"/>
        <v>0</v>
      </c>
    </row>
    <row r="306" spans="5:5" x14ac:dyDescent="0.25">
      <c r="E306" s="4">
        <f t="shared" si="4"/>
        <v>0</v>
      </c>
    </row>
    <row r="307" spans="5:5" x14ac:dyDescent="0.25">
      <c r="E307" s="4">
        <f t="shared" si="4"/>
        <v>0</v>
      </c>
    </row>
    <row r="308" spans="5:5" x14ac:dyDescent="0.25">
      <c r="E308" s="4">
        <f t="shared" si="4"/>
        <v>0</v>
      </c>
    </row>
    <row r="309" spans="5:5" x14ac:dyDescent="0.25">
      <c r="E309" s="4">
        <f t="shared" si="4"/>
        <v>0</v>
      </c>
    </row>
    <row r="310" spans="5:5" x14ac:dyDescent="0.25">
      <c r="E310" s="4">
        <f t="shared" si="4"/>
        <v>0</v>
      </c>
    </row>
    <row r="311" spans="5:5" x14ac:dyDescent="0.25">
      <c r="E311" s="4">
        <f t="shared" si="4"/>
        <v>0</v>
      </c>
    </row>
    <row r="312" spans="5:5" x14ac:dyDescent="0.25">
      <c r="E312" s="4">
        <f t="shared" si="4"/>
        <v>0</v>
      </c>
    </row>
    <row r="313" spans="5:5" x14ac:dyDescent="0.25">
      <c r="E313" s="4">
        <f t="shared" si="4"/>
        <v>0</v>
      </c>
    </row>
    <row r="314" spans="5:5" x14ac:dyDescent="0.25">
      <c r="E314" s="4">
        <f t="shared" si="4"/>
        <v>0</v>
      </c>
    </row>
    <row r="315" spans="5:5" x14ac:dyDescent="0.25">
      <c r="E315" s="4">
        <f t="shared" si="4"/>
        <v>0</v>
      </c>
    </row>
    <row r="316" spans="5:5" x14ac:dyDescent="0.25">
      <c r="E316" s="4">
        <f t="shared" si="4"/>
        <v>0</v>
      </c>
    </row>
    <row r="317" spans="5:5" x14ac:dyDescent="0.25">
      <c r="E317" s="4">
        <f t="shared" si="4"/>
        <v>0</v>
      </c>
    </row>
    <row r="318" spans="5:5" x14ac:dyDescent="0.25">
      <c r="E318" s="4">
        <f t="shared" si="4"/>
        <v>0</v>
      </c>
    </row>
    <row r="319" spans="5:5" x14ac:dyDescent="0.25">
      <c r="E319" s="4">
        <f t="shared" si="4"/>
        <v>0</v>
      </c>
    </row>
    <row r="320" spans="5:5" x14ac:dyDescent="0.25">
      <c r="E320" s="4">
        <f t="shared" ref="E320:E383" si="5">+D320*400</f>
        <v>0</v>
      </c>
    </row>
    <row r="321" spans="5:5" x14ac:dyDescent="0.25">
      <c r="E321" s="4">
        <f t="shared" si="5"/>
        <v>0</v>
      </c>
    </row>
    <row r="322" spans="5:5" x14ac:dyDescent="0.25">
      <c r="E322" s="4">
        <f t="shared" si="5"/>
        <v>0</v>
      </c>
    </row>
    <row r="323" spans="5:5" x14ac:dyDescent="0.25">
      <c r="E323" s="4">
        <f t="shared" si="5"/>
        <v>0</v>
      </c>
    </row>
    <row r="324" spans="5:5" x14ac:dyDescent="0.25">
      <c r="E324" s="4">
        <f t="shared" si="5"/>
        <v>0</v>
      </c>
    </row>
    <row r="325" spans="5:5" x14ac:dyDescent="0.25">
      <c r="E325" s="4">
        <f t="shared" si="5"/>
        <v>0</v>
      </c>
    </row>
    <row r="326" spans="5:5" x14ac:dyDescent="0.25">
      <c r="E326" s="4">
        <f t="shared" si="5"/>
        <v>0</v>
      </c>
    </row>
    <row r="327" spans="5:5" x14ac:dyDescent="0.25">
      <c r="E327" s="4">
        <f t="shared" si="5"/>
        <v>0</v>
      </c>
    </row>
    <row r="328" spans="5:5" x14ac:dyDescent="0.25">
      <c r="E328" s="4">
        <f t="shared" si="5"/>
        <v>0</v>
      </c>
    </row>
    <row r="329" spans="5:5" x14ac:dyDescent="0.25">
      <c r="E329" s="4">
        <f t="shared" si="5"/>
        <v>0</v>
      </c>
    </row>
    <row r="330" spans="5:5" x14ac:dyDescent="0.25">
      <c r="E330" s="4">
        <f t="shared" si="5"/>
        <v>0</v>
      </c>
    </row>
    <row r="331" spans="5:5" x14ac:dyDescent="0.25">
      <c r="E331" s="4">
        <f t="shared" si="5"/>
        <v>0</v>
      </c>
    </row>
    <row r="332" spans="5:5" x14ac:dyDescent="0.25">
      <c r="E332" s="4">
        <f t="shared" si="5"/>
        <v>0</v>
      </c>
    </row>
    <row r="333" spans="5:5" x14ac:dyDescent="0.25">
      <c r="E333" s="4">
        <f t="shared" si="5"/>
        <v>0</v>
      </c>
    </row>
    <row r="334" spans="5:5" x14ac:dyDescent="0.25">
      <c r="E334" s="4">
        <f t="shared" si="5"/>
        <v>0</v>
      </c>
    </row>
    <row r="335" spans="5:5" x14ac:dyDescent="0.25">
      <c r="E335" s="4">
        <f t="shared" si="5"/>
        <v>0</v>
      </c>
    </row>
    <row r="336" spans="5:5" x14ac:dyDescent="0.25">
      <c r="E336" s="4">
        <f t="shared" si="5"/>
        <v>0</v>
      </c>
    </row>
    <row r="337" spans="5:5" x14ac:dyDescent="0.25">
      <c r="E337" s="4">
        <f t="shared" si="5"/>
        <v>0</v>
      </c>
    </row>
    <row r="338" spans="5:5" x14ac:dyDescent="0.25">
      <c r="E338" s="4">
        <f t="shared" si="5"/>
        <v>0</v>
      </c>
    </row>
    <row r="339" spans="5:5" x14ac:dyDescent="0.25">
      <c r="E339" s="4">
        <f t="shared" si="5"/>
        <v>0</v>
      </c>
    </row>
    <row r="340" spans="5:5" x14ac:dyDescent="0.25">
      <c r="E340" s="4">
        <f t="shared" si="5"/>
        <v>0</v>
      </c>
    </row>
    <row r="341" spans="5:5" x14ac:dyDescent="0.25">
      <c r="E341" s="4">
        <f t="shared" si="5"/>
        <v>0</v>
      </c>
    </row>
    <row r="342" spans="5:5" x14ac:dyDescent="0.25">
      <c r="E342" s="4">
        <f t="shared" si="5"/>
        <v>0</v>
      </c>
    </row>
    <row r="343" spans="5:5" x14ac:dyDescent="0.25">
      <c r="E343" s="4">
        <f t="shared" si="5"/>
        <v>0</v>
      </c>
    </row>
    <row r="344" spans="5:5" x14ac:dyDescent="0.25">
      <c r="E344" s="4">
        <f t="shared" si="5"/>
        <v>0</v>
      </c>
    </row>
    <row r="345" spans="5:5" x14ac:dyDescent="0.25">
      <c r="E345" s="4">
        <f t="shared" si="5"/>
        <v>0</v>
      </c>
    </row>
    <row r="346" spans="5:5" x14ac:dyDescent="0.25">
      <c r="E346" s="4">
        <f t="shared" si="5"/>
        <v>0</v>
      </c>
    </row>
    <row r="347" spans="5:5" x14ac:dyDescent="0.25">
      <c r="E347" s="4">
        <f t="shared" si="5"/>
        <v>0</v>
      </c>
    </row>
    <row r="348" spans="5:5" x14ac:dyDescent="0.25">
      <c r="E348" s="4">
        <f t="shared" si="5"/>
        <v>0</v>
      </c>
    </row>
    <row r="349" spans="5:5" x14ac:dyDescent="0.25">
      <c r="E349" s="4">
        <f t="shared" si="5"/>
        <v>0</v>
      </c>
    </row>
    <row r="350" spans="5:5" x14ac:dyDescent="0.25">
      <c r="E350" s="4">
        <f t="shared" si="5"/>
        <v>0</v>
      </c>
    </row>
    <row r="351" spans="5:5" x14ac:dyDescent="0.25">
      <c r="E351" s="4">
        <f t="shared" si="5"/>
        <v>0</v>
      </c>
    </row>
    <row r="352" spans="5:5" x14ac:dyDescent="0.25">
      <c r="E352" s="4">
        <f t="shared" si="5"/>
        <v>0</v>
      </c>
    </row>
    <row r="353" spans="5:5" x14ac:dyDescent="0.25">
      <c r="E353" s="4">
        <f t="shared" si="5"/>
        <v>0</v>
      </c>
    </row>
    <row r="354" spans="5:5" x14ac:dyDescent="0.25">
      <c r="E354" s="4">
        <f t="shared" si="5"/>
        <v>0</v>
      </c>
    </row>
    <row r="355" spans="5:5" x14ac:dyDescent="0.25">
      <c r="E355" s="4">
        <f t="shared" si="5"/>
        <v>0</v>
      </c>
    </row>
    <row r="356" spans="5:5" x14ac:dyDescent="0.25">
      <c r="E356" s="4">
        <f t="shared" si="5"/>
        <v>0</v>
      </c>
    </row>
    <row r="357" spans="5:5" x14ac:dyDescent="0.25">
      <c r="E357" s="4">
        <f t="shared" si="5"/>
        <v>0</v>
      </c>
    </row>
    <row r="358" spans="5:5" x14ac:dyDescent="0.25">
      <c r="E358" s="4">
        <f t="shared" si="5"/>
        <v>0</v>
      </c>
    </row>
    <row r="359" spans="5:5" x14ac:dyDescent="0.25">
      <c r="E359" s="4">
        <f t="shared" si="5"/>
        <v>0</v>
      </c>
    </row>
    <row r="360" spans="5:5" x14ac:dyDescent="0.25">
      <c r="E360" s="4">
        <f t="shared" si="5"/>
        <v>0</v>
      </c>
    </row>
    <row r="361" spans="5:5" x14ac:dyDescent="0.25">
      <c r="E361" s="4">
        <f t="shared" si="5"/>
        <v>0</v>
      </c>
    </row>
    <row r="362" spans="5:5" x14ac:dyDescent="0.25">
      <c r="E362" s="4">
        <f t="shared" si="5"/>
        <v>0</v>
      </c>
    </row>
    <row r="363" spans="5:5" x14ac:dyDescent="0.25">
      <c r="E363" s="4">
        <f t="shared" si="5"/>
        <v>0</v>
      </c>
    </row>
    <row r="364" spans="5:5" x14ac:dyDescent="0.25">
      <c r="E364" s="4">
        <f t="shared" si="5"/>
        <v>0</v>
      </c>
    </row>
    <row r="365" spans="5:5" x14ac:dyDescent="0.25">
      <c r="E365" s="4">
        <f t="shared" si="5"/>
        <v>0</v>
      </c>
    </row>
    <row r="366" spans="5:5" x14ac:dyDescent="0.25">
      <c r="E366" s="4">
        <f t="shared" si="5"/>
        <v>0</v>
      </c>
    </row>
    <row r="367" spans="5:5" x14ac:dyDescent="0.25">
      <c r="E367" s="4">
        <f t="shared" si="5"/>
        <v>0</v>
      </c>
    </row>
    <row r="368" spans="5:5" x14ac:dyDescent="0.25">
      <c r="E368" s="4">
        <f t="shared" si="5"/>
        <v>0</v>
      </c>
    </row>
    <row r="369" spans="5:5" x14ac:dyDescent="0.25">
      <c r="E369" s="4">
        <f t="shared" si="5"/>
        <v>0</v>
      </c>
    </row>
    <row r="370" spans="5:5" x14ac:dyDescent="0.25">
      <c r="E370" s="4">
        <f t="shared" si="5"/>
        <v>0</v>
      </c>
    </row>
    <row r="371" spans="5:5" x14ac:dyDescent="0.25">
      <c r="E371" s="4">
        <f t="shared" si="5"/>
        <v>0</v>
      </c>
    </row>
    <row r="372" spans="5:5" x14ac:dyDescent="0.25">
      <c r="E372" s="4">
        <f t="shared" si="5"/>
        <v>0</v>
      </c>
    </row>
    <row r="373" spans="5:5" x14ac:dyDescent="0.25">
      <c r="E373" s="4">
        <f t="shared" si="5"/>
        <v>0</v>
      </c>
    </row>
    <row r="374" spans="5:5" x14ac:dyDescent="0.25">
      <c r="E374" s="4">
        <f t="shared" si="5"/>
        <v>0</v>
      </c>
    </row>
    <row r="375" spans="5:5" x14ac:dyDescent="0.25">
      <c r="E375" s="4">
        <f t="shared" si="5"/>
        <v>0</v>
      </c>
    </row>
    <row r="376" spans="5:5" x14ac:dyDescent="0.25">
      <c r="E376" s="4">
        <f t="shared" si="5"/>
        <v>0</v>
      </c>
    </row>
    <row r="377" spans="5:5" x14ac:dyDescent="0.25">
      <c r="E377" s="4">
        <f t="shared" si="5"/>
        <v>0</v>
      </c>
    </row>
    <row r="378" spans="5:5" x14ac:dyDescent="0.25">
      <c r="E378" s="4">
        <f t="shared" si="5"/>
        <v>0</v>
      </c>
    </row>
    <row r="379" spans="5:5" x14ac:dyDescent="0.25">
      <c r="E379" s="4">
        <f t="shared" si="5"/>
        <v>0</v>
      </c>
    </row>
    <row r="380" spans="5:5" x14ac:dyDescent="0.25">
      <c r="E380" s="4">
        <f t="shared" si="5"/>
        <v>0</v>
      </c>
    </row>
    <row r="381" spans="5:5" x14ac:dyDescent="0.25">
      <c r="E381" s="4">
        <f t="shared" si="5"/>
        <v>0</v>
      </c>
    </row>
    <row r="382" spans="5:5" x14ac:dyDescent="0.25">
      <c r="E382" s="4">
        <f t="shared" si="5"/>
        <v>0</v>
      </c>
    </row>
    <row r="383" spans="5:5" x14ac:dyDescent="0.25">
      <c r="E383" s="4">
        <f t="shared" si="5"/>
        <v>0</v>
      </c>
    </row>
    <row r="384" spans="5:5" x14ac:dyDescent="0.25">
      <c r="E384" s="4">
        <f t="shared" ref="E384:E447" si="6">+D384*400</f>
        <v>0</v>
      </c>
    </row>
    <row r="385" spans="5:5" x14ac:dyDescent="0.25">
      <c r="E385" s="4">
        <f t="shared" si="6"/>
        <v>0</v>
      </c>
    </row>
    <row r="386" spans="5:5" x14ac:dyDescent="0.25">
      <c r="E386" s="4">
        <f t="shared" si="6"/>
        <v>0</v>
      </c>
    </row>
    <row r="387" spans="5:5" x14ac:dyDescent="0.25">
      <c r="E387" s="4">
        <f t="shared" si="6"/>
        <v>0</v>
      </c>
    </row>
    <row r="388" spans="5:5" x14ac:dyDescent="0.25">
      <c r="E388" s="4">
        <f t="shared" si="6"/>
        <v>0</v>
      </c>
    </row>
    <row r="389" spans="5:5" x14ac:dyDescent="0.25">
      <c r="E389" s="4">
        <f t="shared" si="6"/>
        <v>0</v>
      </c>
    </row>
    <row r="390" spans="5:5" x14ac:dyDescent="0.25">
      <c r="E390" s="4">
        <f t="shared" si="6"/>
        <v>0</v>
      </c>
    </row>
    <row r="391" spans="5:5" x14ac:dyDescent="0.25">
      <c r="E391" s="4">
        <f t="shared" si="6"/>
        <v>0</v>
      </c>
    </row>
    <row r="392" spans="5:5" x14ac:dyDescent="0.25">
      <c r="E392" s="4">
        <f t="shared" si="6"/>
        <v>0</v>
      </c>
    </row>
    <row r="393" spans="5:5" x14ac:dyDescent="0.25">
      <c r="E393" s="4">
        <f t="shared" si="6"/>
        <v>0</v>
      </c>
    </row>
    <row r="394" spans="5:5" x14ac:dyDescent="0.25">
      <c r="E394" s="4">
        <f t="shared" si="6"/>
        <v>0</v>
      </c>
    </row>
    <row r="395" spans="5:5" x14ac:dyDescent="0.25">
      <c r="E395" s="4">
        <f t="shared" si="6"/>
        <v>0</v>
      </c>
    </row>
    <row r="396" spans="5:5" x14ac:dyDescent="0.25">
      <c r="E396" s="4">
        <f t="shared" si="6"/>
        <v>0</v>
      </c>
    </row>
    <row r="397" spans="5:5" x14ac:dyDescent="0.25">
      <c r="E397" s="4">
        <f t="shared" si="6"/>
        <v>0</v>
      </c>
    </row>
    <row r="398" spans="5:5" x14ac:dyDescent="0.25">
      <c r="E398" s="4">
        <f t="shared" si="6"/>
        <v>0</v>
      </c>
    </row>
    <row r="399" spans="5:5" x14ac:dyDescent="0.25">
      <c r="E399" s="4">
        <f t="shared" si="6"/>
        <v>0</v>
      </c>
    </row>
    <row r="400" spans="5:5" x14ac:dyDescent="0.25">
      <c r="E400" s="4">
        <f t="shared" si="6"/>
        <v>0</v>
      </c>
    </row>
    <row r="401" spans="5:5" x14ac:dyDescent="0.25">
      <c r="E401" s="4">
        <f t="shared" si="6"/>
        <v>0</v>
      </c>
    </row>
    <row r="402" spans="5:5" x14ac:dyDescent="0.25">
      <c r="E402" s="4">
        <f t="shared" si="6"/>
        <v>0</v>
      </c>
    </row>
    <row r="403" spans="5:5" x14ac:dyDescent="0.25">
      <c r="E403" s="4">
        <f t="shared" si="6"/>
        <v>0</v>
      </c>
    </row>
    <row r="404" spans="5:5" x14ac:dyDescent="0.25">
      <c r="E404" s="4">
        <f t="shared" si="6"/>
        <v>0</v>
      </c>
    </row>
    <row r="405" spans="5:5" x14ac:dyDescent="0.25">
      <c r="E405" s="4">
        <f t="shared" si="6"/>
        <v>0</v>
      </c>
    </row>
    <row r="406" spans="5:5" x14ac:dyDescent="0.25">
      <c r="E406" s="4">
        <f t="shared" si="6"/>
        <v>0</v>
      </c>
    </row>
    <row r="407" spans="5:5" x14ac:dyDescent="0.25">
      <c r="E407" s="4">
        <f t="shared" si="6"/>
        <v>0</v>
      </c>
    </row>
    <row r="408" spans="5:5" x14ac:dyDescent="0.25">
      <c r="E408" s="4">
        <f t="shared" si="6"/>
        <v>0</v>
      </c>
    </row>
    <row r="409" spans="5:5" x14ac:dyDescent="0.25">
      <c r="E409" s="4">
        <f t="shared" si="6"/>
        <v>0</v>
      </c>
    </row>
    <row r="410" spans="5:5" x14ac:dyDescent="0.25">
      <c r="E410" s="4">
        <f t="shared" si="6"/>
        <v>0</v>
      </c>
    </row>
    <row r="411" spans="5:5" x14ac:dyDescent="0.25">
      <c r="E411" s="4">
        <f t="shared" si="6"/>
        <v>0</v>
      </c>
    </row>
    <row r="412" spans="5:5" x14ac:dyDescent="0.25">
      <c r="E412" s="4">
        <f t="shared" si="6"/>
        <v>0</v>
      </c>
    </row>
    <row r="413" spans="5:5" x14ac:dyDescent="0.25">
      <c r="E413" s="4">
        <f t="shared" si="6"/>
        <v>0</v>
      </c>
    </row>
    <row r="414" spans="5:5" x14ac:dyDescent="0.25">
      <c r="E414" s="4">
        <f t="shared" si="6"/>
        <v>0</v>
      </c>
    </row>
    <row r="415" spans="5:5" x14ac:dyDescent="0.25">
      <c r="E415" s="4">
        <f t="shared" si="6"/>
        <v>0</v>
      </c>
    </row>
    <row r="416" spans="5:5" x14ac:dyDescent="0.25">
      <c r="E416" s="4">
        <f t="shared" si="6"/>
        <v>0</v>
      </c>
    </row>
    <row r="417" spans="5:5" x14ac:dyDescent="0.25">
      <c r="E417" s="4">
        <f t="shared" si="6"/>
        <v>0</v>
      </c>
    </row>
    <row r="418" spans="5:5" x14ac:dyDescent="0.25">
      <c r="E418" s="4">
        <f t="shared" si="6"/>
        <v>0</v>
      </c>
    </row>
    <row r="419" spans="5:5" x14ac:dyDescent="0.25">
      <c r="E419" s="4">
        <f t="shared" si="6"/>
        <v>0</v>
      </c>
    </row>
    <row r="420" spans="5:5" x14ac:dyDescent="0.25">
      <c r="E420" s="4">
        <f t="shared" si="6"/>
        <v>0</v>
      </c>
    </row>
    <row r="421" spans="5:5" x14ac:dyDescent="0.25">
      <c r="E421" s="4">
        <f t="shared" si="6"/>
        <v>0</v>
      </c>
    </row>
    <row r="422" spans="5:5" x14ac:dyDescent="0.25">
      <c r="E422" s="4">
        <f t="shared" si="6"/>
        <v>0</v>
      </c>
    </row>
    <row r="423" spans="5:5" x14ac:dyDescent="0.25">
      <c r="E423" s="4">
        <f t="shared" si="6"/>
        <v>0</v>
      </c>
    </row>
    <row r="424" spans="5:5" x14ac:dyDescent="0.25">
      <c r="E424" s="4">
        <f t="shared" si="6"/>
        <v>0</v>
      </c>
    </row>
    <row r="425" spans="5:5" x14ac:dyDescent="0.25">
      <c r="E425" s="4">
        <f t="shared" si="6"/>
        <v>0</v>
      </c>
    </row>
    <row r="426" spans="5:5" x14ac:dyDescent="0.25">
      <c r="E426" s="4">
        <f t="shared" si="6"/>
        <v>0</v>
      </c>
    </row>
    <row r="427" spans="5:5" x14ac:dyDescent="0.25">
      <c r="E427" s="4">
        <f t="shared" si="6"/>
        <v>0</v>
      </c>
    </row>
    <row r="428" spans="5:5" x14ac:dyDescent="0.25">
      <c r="E428" s="4">
        <f t="shared" si="6"/>
        <v>0</v>
      </c>
    </row>
    <row r="429" spans="5:5" x14ac:dyDescent="0.25">
      <c r="E429" s="4">
        <f t="shared" si="6"/>
        <v>0</v>
      </c>
    </row>
    <row r="430" spans="5:5" x14ac:dyDescent="0.25">
      <c r="E430" s="4">
        <f t="shared" si="6"/>
        <v>0</v>
      </c>
    </row>
    <row r="431" spans="5:5" x14ac:dyDescent="0.25">
      <c r="E431" s="4">
        <f t="shared" si="6"/>
        <v>0</v>
      </c>
    </row>
    <row r="432" spans="5:5" x14ac:dyDescent="0.25">
      <c r="E432" s="4">
        <f t="shared" si="6"/>
        <v>0</v>
      </c>
    </row>
    <row r="433" spans="5:5" x14ac:dyDescent="0.25">
      <c r="E433" s="4">
        <f t="shared" si="6"/>
        <v>0</v>
      </c>
    </row>
    <row r="434" spans="5:5" x14ac:dyDescent="0.25">
      <c r="E434" s="4">
        <f t="shared" si="6"/>
        <v>0</v>
      </c>
    </row>
    <row r="435" spans="5:5" x14ac:dyDescent="0.25">
      <c r="E435" s="4">
        <f t="shared" si="6"/>
        <v>0</v>
      </c>
    </row>
    <row r="436" spans="5:5" x14ac:dyDescent="0.25">
      <c r="E436" s="4">
        <f t="shared" si="6"/>
        <v>0</v>
      </c>
    </row>
    <row r="437" spans="5:5" x14ac:dyDescent="0.25">
      <c r="E437" s="4">
        <f t="shared" si="6"/>
        <v>0</v>
      </c>
    </row>
    <row r="438" spans="5:5" x14ac:dyDescent="0.25">
      <c r="E438" s="4">
        <f t="shared" si="6"/>
        <v>0</v>
      </c>
    </row>
    <row r="439" spans="5:5" x14ac:dyDescent="0.25">
      <c r="E439" s="4">
        <f t="shared" si="6"/>
        <v>0</v>
      </c>
    </row>
    <row r="440" spans="5:5" x14ac:dyDescent="0.25">
      <c r="E440" s="4">
        <f t="shared" si="6"/>
        <v>0</v>
      </c>
    </row>
    <row r="441" spans="5:5" x14ac:dyDescent="0.25">
      <c r="E441" s="4">
        <f t="shared" si="6"/>
        <v>0</v>
      </c>
    </row>
    <row r="442" spans="5:5" x14ac:dyDescent="0.25">
      <c r="E442" s="4">
        <f t="shared" si="6"/>
        <v>0</v>
      </c>
    </row>
    <row r="443" spans="5:5" x14ac:dyDescent="0.25">
      <c r="E443" s="4">
        <f t="shared" si="6"/>
        <v>0</v>
      </c>
    </row>
    <row r="444" spans="5:5" x14ac:dyDescent="0.25">
      <c r="E444" s="4">
        <f t="shared" si="6"/>
        <v>0</v>
      </c>
    </row>
    <row r="445" spans="5:5" x14ac:dyDescent="0.25">
      <c r="E445" s="4">
        <f t="shared" si="6"/>
        <v>0</v>
      </c>
    </row>
    <row r="446" spans="5:5" x14ac:dyDescent="0.25">
      <c r="E446" s="4">
        <f t="shared" si="6"/>
        <v>0</v>
      </c>
    </row>
    <row r="447" spans="5:5" x14ac:dyDescent="0.25">
      <c r="E447" s="4">
        <f t="shared" si="6"/>
        <v>0</v>
      </c>
    </row>
    <row r="448" spans="5:5" x14ac:dyDescent="0.25">
      <c r="E448" s="4">
        <f t="shared" ref="E448:E511" si="7">+D448*400</f>
        <v>0</v>
      </c>
    </row>
    <row r="449" spans="5:5" x14ac:dyDescent="0.25">
      <c r="E449" s="4">
        <f t="shared" si="7"/>
        <v>0</v>
      </c>
    </row>
    <row r="450" spans="5:5" x14ac:dyDescent="0.25">
      <c r="E450" s="4">
        <f t="shared" si="7"/>
        <v>0</v>
      </c>
    </row>
    <row r="451" spans="5:5" x14ac:dyDescent="0.25">
      <c r="E451" s="4">
        <f t="shared" si="7"/>
        <v>0</v>
      </c>
    </row>
    <row r="452" spans="5:5" x14ac:dyDescent="0.25">
      <c r="E452" s="4">
        <f t="shared" si="7"/>
        <v>0</v>
      </c>
    </row>
    <row r="453" spans="5:5" x14ac:dyDescent="0.25">
      <c r="E453" s="4">
        <f t="shared" si="7"/>
        <v>0</v>
      </c>
    </row>
    <row r="454" spans="5:5" x14ac:dyDescent="0.25">
      <c r="E454" s="4">
        <f t="shared" si="7"/>
        <v>0</v>
      </c>
    </row>
    <row r="455" spans="5:5" x14ac:dyDescent="0.25">
      <c r="E455" s="4">
        <f t="shared" si="7"/>
        <v>0</v>
      </c>
    </row>
    <row r="456" spans="5:5" x14ac:dyDescent="0.25">
      <c r="E456" s="4">
        <f t="shared" si="7"/>
        <v>0</v>
      </c>
    </row>
    <row r="457" spans="5:5" x14ac:dyDescent="0.25">
      <c r="E457" s="4">
        <f t="shared" si="7"/>
        <v>0</v>
      </c>
    </row>
    <row r="458" spans="5:5" x14ac:dyDescent="0.25">
      <c r="E458" s="4">
        <f t="shared" si="7"/>
        <v>0</v>
      </c>
    </row>
    <row r="459" spans="5:5" x14ac:dyDescent="0.25">
      <c r="E459" s="4">
        <f t="shared" si="7"/>
        <v>0</v>
      </c>
    </row>
    <row r="460" spans="5:5" x14ac:dyDescent="0.25">
      <c r="E460" s="4">
        <f t="shared" si="7"/>
        <v>0</v>
      </c>
    </row>
    <row r="461" spans="5:5" x14ac:dyDescent="0.25">
      <c r="E461" s="4">
        <f t="shared" si="7"/>
        <v>0</v>
      </c>
    </row>
    <row r="462" spans="5:5" x14ac:dyDescent="0.25">
      <c r="E462" s="4">
        <f t="shared" si="7"/>
        <v>0</v>
      </c>
    </row>
    <row r="463" spans="5:5" x14ac:dyDescent="0.25">
      <c r="E463" s="4">
        <f t="shared" si="7"/>
        <v>0</v>
      </c>
    </row>
    <row r="464" spans="5:5" x14ac:dyDescent="0.25">
      <c r="E464" s="4">
        <f t="shared" si="7"/>
        <v>0</v>
      </c>
    </row>
    <row r="465" spans="5:5" x14ac:dyDescent="0.25">
      <c r="E465" s="4">
        <f t="shared" si="7"/>
        <v>0</v>
      </c>
    </row>
    <row r="466" spans="5:5" x14ac:dyDescent="0.25">
      <c r="E466" s="4">
        <f t="shared" si="7"/>
        <v>0</v>
      </c>
    </row>
    <row r="467" spans="5:5" x14ac:dyDescent="0.25">
      <c r="E467" s="4">
        <f t="shared" si="7"/>
        <v>0</v>
      </c>
    </row>
    <row r="468" spans="5:5" x14ac:dyDescent="0.25">
      <c r="E468" s="4">
        <f t="shared" si="7"/>
        <v>0</v>
      </c>
    </row>
    <row r="469" spans="5:5" x14ac:dyDescent="0.25">
      <c r="E469" s="4">
        <f t="shared" si="7"/>
        <v>0</v>
      </c>
    </row>
    <row r="470" spans="5:5" x14ac:dyDescent="0.25">
      <c r="E470" s="4">
        <f t="shared" si="7"/>
        <v>0</v>
      </c>
    </row>
    <row r="471" spans="5:5" x14ac:dyDescent="0.25">
      <c r="E471" s="4">
        <f t="shared" si="7"/>
        <v>0</v>
      </c>
    </row>
    <row r="472" spans="5:5" x14ac:dyDescent="0.25">
      <c r="E472" s="4">
        <f t="shared" si="7"/>
        <v>0</v>
      </c>
    </row>
    <row r="473" spans="5:5" x14ac:dyDescent="0.25">
      <c r="E473" s="4">
        <f t="shared" si="7"/>
        <v>0</v>
      </c>
    </row>
    <row r="474" spans="5:5" x14ac:dyDescent="0.25">
      <c r="E474" s="4">
        <f t="shared" si="7"/>
        <v>0</v>
      </c>
    </row>
    <row r="475" spans="5:5" x14ac:dyDescent="0.25">
      <c r="E475" s="4">
        <f t="shared" si="7"/>
        <v>0</v>
      </c>
    </row>
    <row r="476" spans="5:5" x14ac:dyDescent="0.25">
      <c r="E476" s="4">
        <f t="shared" si="7"/>
        <v>0</v>
      </c>
    </row>
    <row r="477" spans="5:5" x14ac:dyDescent="0.25">
      <c r="E477" s="4">
        <f t="shared" si="7"/>
        <v>0</v>
      </c>
    </row>
    <row r="478" spans="5:5" x14ac:dyDescent="0.25">
      <c r="E478" s="4">
        <f t="shared" si="7"/>
        <v>0</v>
      </c>
    </row>
    <row r="479" spans="5:5" x14ac:dyDescent="0.25">
      <c r="E479" s="4">
        <f t="shared" si="7"/>
        <v>0</v>
      </c>
    </row>
    <row r="480" spans="5:5" x14ac:dyDescent="0.25">
      <c r="E480" s="4">
        <f t="shared" si="7"/>
        <v>0</v>
      </c>
    </row>
    <row r="481" spans="5:5" x14ac:dyDescent="0.25">
      <c r="E481" s="4">
        <f t="shared" si="7"/>
        <v>0</v>
      </c>
    </row>
    <row r="482" spans="5:5" x14ac:dyDescent="0.25">
      <c r="E482" s="4">
        <f t="shared" si="7"/>
        <v>0</v>
      </c>
    </row>
    <row r="483" spans="5:5" x14ac:dyDescent="0.25">
      <c r="E483" s="4">
        <f t="shared" si="7"/>
        <v>0</v>
      </c>
    </row>
    <row r="484" spans="5:5" x14ac:dyDescent="0.25">
      <c r="E484" s="4">
        <f t="shared" si="7"/>
        <v>0</v>
      </c>
    </row>
    <row r="485" spans="5:5" x14ac:dyDescent="0.25">
      <c r="E485" s="4">
        <f t="shared" si="7"/>
        <v>0</v>
      </c>
    </row>
    <row r="486" spans="5:5" x14ac:dyDescent="0.25">
      <c r="E486" s="4">
        <f t="shared" si="7"/>
        <v>0</v>
      </c>
    </row>
    <row r="487" spans="5:5" x14ac:dyDescent="0.25">
      <c r="E487" s="4">
        <f t="shared" si="7"/>
        <v>0</v>
      </c>
    </row>
    <row r="488" spans="5:5" x14ac:dyDescent="0.25">
      <c r="E488" s="4">
        <f t="shared" si="7"/>
        <v>0</v>
      </c>
    </row>
    <row r="489" spans="5:5" x14ac:dyDescent="0.25">
      <c r="E489" s="4">
        <f t="shared" si="7"/>
        <v>0</v>
      </c>
    </row>
    <row r="490" spans="5:5" x14ac:dyDescent="0.25">
      <c r="E490" s="4">
        <f t="shared" si="7"/>
        <v>0</v>
      </c>
    </row>
    <row r="491" spans="5:5" x14ac:dyDescent="0.25">
      <c r="E491" s="4">
        <f t="shared" si="7"/>
        <v>0</v>
      </c>
    </row>
    <row r="492" spans="5:5" x14ac:dyDescent="0.25">
      <c r="E492" s="4">
        <f t="shared" si="7"/>
        <v>0</v>
      </c>
    </row>
    <row r="493" spans="5:5" x14ac:dyDescent="0.25">
      <c r="E493" s="4">
        <f t="shared" si="7"/>
        <v>0</v>
      </c>
    </row>
    <row r="494" spans="5:5" x14ac:dyDescent="0.25">
      <c r="E494" s="4">
        <f t="shared" si="7"/>
        <v>0</v>
      </c>
    </row>
    <row r="495" spans="5:5" x14ac:dyDescent="0.25">
      <c r="E495" s="4">
        <f t="shared" si="7"/>
        <v>0</v>
      </c>
    </row>
    <row r="496" spans="5:5" x14ac:dyDescent="0.25">
      <c r="E496" s="4">
        <f t="shared" si="7"/>
        <v>0</v>
      </c>
    </row>
    <row r="497" spans="5:5" x14ac:dyDescent="0.25">
      <c r="E497" s="4">
        <f t="shared" si="7"/>
        <v>0</v>
      </c>
    </row>
    <row r="498" spans="5:5" x14ac:dyDescent="0.25">
      <c r="E498" s="4">
        <f t="shared" si="7"/>
        <v>0</v>
      </c>
    </row>
    <row r="499" spans="5:5" x14ac:dyDescent="0.25">
      <c r="E499" s="4">
        <f t="shared" si="7"/>
        <v>0</v>
      </c>
    </row>
    <row r="500" spans="5:5" x14ac:dyDescent="0.25">
      <c r="E500" s="4">
        <f t="shared" si="7"/>
        <v>0</v>
      </c>
    </row>
    <row r="501" spans="5:5" x14ac:dyDescent="0.25">
      <c r="E501" s="4">
        <f t="shared" si="7"/>
        <v>0</v>
      </c>
    </row>
    <row r="502" spans="5:5" x14ac:dyDescent="0.25">
      <c r="E502" s="4">
        <f t="shared" si="7"/>
        <v>0</v>
      </c>
    </row>
    <row r="503" spans="5:5" x14ac:dyDescent="0.25">
      <c r="E503" s="4">
        <f t="shared" si="7"/>
        <v>0</v>
      </c>
    </row>
    <row r="504" spans="5:5" x14ac:dyDescent="0.25">
      <c r="E504" s="4">
        <f t="shared" si="7"/>
        <v>0</v>
      </c>
    </row>
    <row r="505" spans="5:5" x14ac:dyDescent="0.25">
      <c r="E505" s="4">
        <f t="shared" si="7"/>
        <v>0</v>
      </c>
    </row>
    <row r="506" spans="5:5" x14ac:dyDescent="0.25">
      <c r="E506" s="4">
        <f t="shared" si="7"/>
        <v>0</v>
      </c>
    </row>
    <row r="507" spans="5:5" x14ac:dyDescent="0.25">
      <c r="E507" s="4">
        <f t="shared" si="7"/>
        <v>0</v>
      </c>
    </row>
    <row r="508" spans="5:5" x14ac:dyDescent="0.25">
      <c r="E508" s="4">
        <f t="shared" si="7"/>
        <v>0</v>
      </c>
    </row>
    <row r="509" spans="5:5" x14ac:dyDescent="0.25">
      <c r="E509" s="4">
        <f t="shared" si="7"/>
        <v>0</v>
      </c>
    </row>
    <row r="510" spans="5:5" x14ac:dyDescent="0.25">
      <c r="E510" s="4">
        <f t="shared" si="7"/>
        <v>0</v>
      </c>
    </row>
    <row r="511" spans="5:5" x14ac:dyDescent="0.25">
      <c r="E511" s="4">
        <f t="shared" si="7"/>
        <v>0</v>
      </c>
    </row>
    <row r="512" spans="5:5" x14ac:dyDescent="0.25">
      <c r="E512" s="4">
        <f t="shared" ref="E512:E575" si="8">+D512*400</f>
        <v>0</v>
      </c>
    </row>
    <row r="513" spans="5:5" x14ac:dyDescent="0.25">
      <c r="E513" s="4">
        <f t="shared" si="8"/>
        <v>0</v>
      </c>
    </row>
    <row r="514" spans="5:5" x14ac:dyDescent="0.25">
      <c r="E514" s="4">
        <f t="shared" si="8"/>
        <v>0</v>
      </c>
    </row>
    <row r="515" spans="5:5" x14ac:dyDescent="0.25">
      <c r="E515" s="4">
        <f t="shared" si="8"/>
        <v>0</v>
      </c>
    </row>
    <row r="516" spans="5:5" x14ac:dyDescent="0.25">
      <c r="E516" s="4">
        <f t="shared" si="8"/>
        <v>0</v>
      </c>
    </row>
    <row r="517" spans="5:5" x14ac:dyDescent="0.25">
      <c r="E517" s="4">
        <f t="shared" si="8"/>
        <v>0</v>
      </c>
    </row>
    <row r="518" spans="5:5" x14ac:dyDescent="0.25">
      <c r="E518" s="4">
        <f t="shared" si="8"/>
        <v>0</v>
      </c>
    </row>
    <row r="519" spans="5:5" x14ac:dyDescent="0.25">
      <c r="E519" s="4">
        <f t="shared" si="8"/>
        <v>0</v>
      </c>
    </row>
    <row r="520" spans="5:5" x14ac:dyDescent="0.25">
      <c r="E520" s="4">
        <f t="shared" si="8"/>
        <v>0</v>
      </c>
    </row>
    <row r="521" spans="5:5" x14ac:dyDescent="0.25">
      <c r="E521" s="4">
        <f t="shared" si="8"/>
        <v>0</v>
      </c>
    </row>
    <row r="522" spans="5:5" x14ac:dyDescent="0.25">
      <c r="E522" s="4">
        <f t="shared" si="8"/>
        <v>0</v>
      </c>
    </row>
    <row r="523" spans="5:5" x14ac:dyDescent="0.25">
      <c r="E523" s="4">
        <f t="shared" si="8"/>
        <v>0</v>
      </c>
    </row>
    <row r="524" spans="5:5" x14ac:dyDescent="0.25">
      <c r="E524" s="4">
        <f t="shared" si="8"/>
        <v>0</v>
      </c>
    </row>
    <row r="525" spans="5:5" x14ac:dyDescent="0.25">
      <c r="E525" s="4">
        <f t="shared" si="8"/>
        <v>0</v>
      </c>
    </row>
    <row r="526" spans="5:5" x14ac:dyDescent="0.25">
      <c r="E526" s="4">
        <f t="shared" si="8"/>
        <v>0</v>
      </c>
    </row>
    <row r="527" spans="5:5" x14ac:dyDescent="0.25">
      <c r="E527" s="4">
        <f t="shared" si="8"/>
        <v>0</v>
      </c>
    </row>
    <row r="528" spans="5:5" x14ac:dyDescent="0.25">
      <c r="E528" s="4">
        <f t="shared" si="8"/>
        <v>0</v>
      </c>
    </row>
    <row r="529" spans="5:5" x14ac:dyDescent="0.25">
      <c r="E529" s="4">
        <f t="shared" si="8"/>
        <v>0</v>
      </c>
    </row>
    <row r="530" spans="5:5" x14ac:dyDescent="0.25">
      <c r="E530" s="4">
        <f t="shared" si="8"/>
        <v>0</v>
      </c>
    </row>
    <row r="531" spans="5:5" x14ac:dyDescent="0.25">
      <c r="E531" s="4">
        <f t="shared" si="8"/>
        <v>0</v>
      </c>
    </row>
    <row r="532" spans="5:5" x14ac:dyDescent="0.25">
      <c r="E532" s="4">
        <f t="shared" si="8"/>
        <v>0</v>
      </c>
    </row>
    <row r="533" spans="5:5" x14ac:dyDescent="0.25">
      <c r="E533" s="4">
        <f t="shared" si="8"/>
        <v>0</v>
      </c>
    </row>
    <row r="534" spans="5:5" x14ac:dyDescent="0.25">
      <c r="E534" s="4">
        <f t="shared" si="8"/>
        <v>0</v>
      </c>
    </row>
    <row r="535" spans="5:5" x14ac:dyDescent="0.25">
      <c r="E535" s="4">
        <f t="shared" si="8"/>
        <v>0</v>
      </c>
    </row>
    <row r="536" spans="5:5" x14ac:dyDescent="0.25">
      <c r="E536" s="4">
        <f t="shared" si="8"/>
        <v>0</v>
      </c>
    </row>
    <row r="537" spans="5:5" x14ac:dyDescent="0.25">
      <c r="E537" s="4">
        <f t="shared" si="8"/>
        <v>0</v>
      </c>
    </row>
    <row r="538" spans="5:5" x14ac:dyDescent="0.25">
      <c r="E538" s="4">
        <f t="shared" si="8"/>
        <v>0</v>
      </c>
    </row>
    <row r="539" spans="5:5" x14ac:dyDescent="0.25">
      <c r="E539" s="4">
        <f t="shared" si="8"/>
        <v>0</v>
      </c>
    </row>
    <row r="540" spans="5:5" x14ac:dyDescent="0.25">
      <c r="E540" s="4">
        <f t="shared" si="8"/>
        <v>0</v>
      </c>
    </row>
    <row r="541" spans="5:5" x14ac:dyDescent="0.25">
      <c r="E541" s="4">
        <f t="shared" si="8"/>
        <v>0</v>
      </c>
    </row>
    <row r="542" spans="5:5" x14ac:dyDescent="0.25">
      <c r="E542" s="4">
        <f t="shared" si="8"/>
        <v>0</v>
      </c>
    </row>
    <row r="543" spans="5:5" x14ac:dyDescent="0.25">
      <c r="E543" s="4">
        <f t="shared" si="8"/>
        <v>0</v>
      </c>
    </row>
    <row r="544" spans="5:5" x14ac:dyDescent="0.25">
      <c r="E544" s="4">
        <f t="shared" si="8"/>
        <v>0</v>
      </c>
    </row>
    <row r="545" spans="5:5" x14ac:dyDescent="0.25">
      <c r="E545" s="4">
        <f t="shared" si="8"/>
        <v>0</v>
      </c>
    </row>
    <row r="546" spans="5:5" x14ac:dyDescent="0.25">
      <c r="E546" s="4">
        <f t="shared" si="8"/>
        <v>0</v>
      </c>
    </row>
    <row r="547" spans="5:5" x14ac:dyDescent="0.25">
      <c r="E547" s="4">
        <f t="shared" si="8"/>
        <v>0</v>
      </c>
    </row>
    <row r="548" spans="5:5" x14ac:dyDescent="0.25">
      <c r="E548" s="4">
        <f t="shared" si="8"/>
        <v>0</v>
      </c>
    </row>
    <row r="549" spans="5:5" x14ac:dyDescent="0.25">
      <c r="E549" s="4">
        <f t="shared" si="8"/>
        <v>0</v>
      </c>
    </row>
    <row r="550" spans="5:5" x14ac:dyDescent="0.25">
      <c r="E550" s="4">
        <f t="shared" si="8"/>
        <v>0</v>
      </c>
    </row>
    <row r="551" spans="5:5" x14ac:dyDescent="0.25">
      <c r="E551" s="4">
        <f t="shared" si="8"/>
        <v>0</v>
      </c>
    </row>
    <row r="552" spans="5:5" x14ac:dyDescent="0.25">
      <c r="E552" s="4">
        <f t="shared" si="8"/>
        <v>0</v>
      </c>
    </row>
    <row r="553" spans="5:5" x14ac:dyDescent="0.25">
      <c r="E553" s="4">
        <f t="shared" si="8"/>
        <v>0</v>
      </c>
    </row>
    <row r="554" spans="5:5" x14ac:dyDescent="0.25">
      <c r="E554" s="4">
        <f t="shared" si="8"/>
        <v>0</v>
      </c>
    </row>
    <row r="555" spans="5:5" x14ac:dyDescent="0.25">
      <c r="E555" s="4">
        <f t="shared" si="8"/>
        <v>0</v>
      </c>
    </row>
    <row r="556" spans="5:5" x14ac:dyDescent="0.25">
      <c r="E556" s="4">
        <f t="shared" si="8"/>
        <v>0</v>
      </c>
    </row>
    <row r="557" spans="5:5" x14ac:dyDescent="0.25">
      <c r="E557" s="4">
        <f t="shared" si="8"/>
        <v>0</v>
      </c>
    </row>
    <row r="558" spans="5:5" x14ac:dyDescent="0.25">
      <c r="E558" s="4">
        <f t="shared" si="8"/>
        <v>0</v>
      </c>
    </row>
    <row r="559" spans="5:5" x14ac:dyDescent="0.25">
      <c r="E559" s="4">
        <f t="shared" si="8"/>
        <v>0</v>
      </c>
    </row>
    <row r="560" spans="5:5" x14ac:dyDescent="0.25">
      <c r="E560" s="4">
        <f t="shared" si="8"/>
        <v>0</v>
      </c>
    </row>
    <row r="561" spans="5:5" x14ac:dyDescent="0.25">
      <c r="E561" s="4">
        <f t="shared" si="8"/>
        <v>0</v>
      </c>
    </row>
    <row r="562" spans="5:5" x14ac:dyDescent="0.25">
      <c r="E562" s="4">
        <f t="shared" si="8"/>
        <v>0</v>
      </c>
    </row>
    <row r="563" spans="5:5" x14ac:dyDescent="0.25">
      <c r="E563" s="4">
        <f t="shared" si="8"/>
        <v>0</v>
      </c>
    </row>
    <row r="564" spans="5:5" x14ac:dyDescent="0.25">
      <c r="E564" s="4">
        <f t="shared" si="8"/>
        <v>0</v>
      </c>
    </row>
    <row r="565" spans="5:5" x14ac:dyDescent="0.25">
      <c r="E565" s="4">
        <f t="shared" si="8"/>
        <v>0</v>
      </c>
    </row>
    <row r="566" spans="5:5" x14ac:dyDescent="0.25">
      <c r="E566" s="4">
        <f t="shared" si="8"/>
        <v>0</v>
      </c>
    </row>
    <row r="567" spans="5:5" x14ac:dyDescent="0.25">
      <c r="E567" s="4">
        <f t="shared" si="8"/>
        <v>0</v>
      </c>
    </row>
    <row r="568" spans="5:5" x14ac:dyDescent="0.25">
      <c r="E568" s="4">
        <f t="shared" si="8"/>
        <v>0</v>
      </c>
    </row>
    <row r="569" spans="5:5" x14ac:dyDescent="0.25">
      <c r="E569" s="4">
        <f t="shared" si="8"/>
        <v>0</v>
      </c>
    </row>
    <row r="570" spans="5:5" x14ac:dyDescent="0.25">
      <c r="E570" s="4">
        <f t="shared" si="8"/>
        <v>0</v>
      </c>
    </row>
    <row r="571" spans="5:5" x14ac:dyDescent="0.25">
      <c r="E571" s="4">
        <f t="shared" si="8"/>
        <v>0</v>
      </c>
    </row>
    <row r="572" spans="5:5" x14ac:dyDescent="0.25">
      <c r="E572" s="4">
        <f t="shared" si="8"/>
        <v>0</v>
      </c>
    </row>
    <row r="573" spans="5:5" x14ac:dyDescent="0.25">
      <c r="E573" s="4">
        <f t="shared" si="8"/>
        <v>0</v>
      </c>
    </row>
    <row r="574" spans="5:5" x14ac:dyDescent="0.25">
      <c r="E574" s="4">
        <f t="shared" si="8"/>
        <v>0</v>
      </c>
    </row>
    <row r="575" spans="5:5" x14ac:dyDescent="0.25">
      <c r="E575" s="4">
        <f t="shared" si="8"/>
        <v>0</v>
      </c>
    </row>
    <row r="576" spans="5:5" x14ac:dyDescent="0.25">
      <c r="E576" s="4">
        <f t="shared" ref="E576:E639" si="9">+D576*400</f>
        <v>0</v>
      </c>
    </row>
    <row r="577" spans="5:5" x14ac:dyDescent="0.25">
      <c r="E577" s="4">
        <f t="shared" si="9"/>
        <v>0</v>
      </c>
    </row>
    <row r="578" spans="5:5" x14ac:dyDescent="0.25">
      <c r="E578" s="4">
        <f t="shared" si="9"/>
        <v>0</v>
      </c>
    </row>
    <row r="579" spans="5:5" x14ac:dyDescent="0.25">
      <c r="E579" s="4">
        <f t="shared" si="9"/>
        <v>0</v>
      </c>
    </row>
    <row r="580" spans="5:5" x14ac:dyDescent="0.25">
      <c r="E580" s="4">
        <f t="shared" si="9"/>
        <v>0</v>
      </c>
    </row>
    <row r="581" spans="5:5" x14ac:dyDescent="0.25">
      <c r="E581" s="4">
        <f t="shared" si="9"/>
        <v>0</v>
      </c>
    </row>
    <row r="582" spans="5:5" x14ac:dyDescent="0.25">
      <c r="E582" s="4">
        <f t="shared" si="9"/>
        <v>0</v>
      </c>
    </row>
    <row r="583" spans="5:5" x14ac:dyDescent="0.25">
      <c r="E583" s="4">
        <f t="shared" si="9"/>
        <v>0</v>
      </c>
    </row>
    <row r="584" spans="5:5" x14ac:dyDescent="0.25">
      <c r="E584" s="4">
        <f t="shared" si="9"/>
        <v>0</v>
      </c>
    </row>
    <row r="585" spans="5:5" x14ac:dyDescent="0.25">
      <c r="E585" s="4">
        <f t="shared" si="9"/>
        <v>0</v>
      </c>
    </row>
    <row r="586" spans="5:5" x14ac:dyDescent="0.25">
      <c r="E586" s="4">
        <f t="shared" si="9"/>
        <v>0</v>
      </c>
    </row>
    <row r="587" spans="5:5" x14ac:dyDescent="0.25">
      <c r="E587" s="4">
        <f t="shared" si="9"/>
        <v>0</v>
      </c>
    </row>
    <row r="588" spans="5:5" x14ac:dyDescent="0.25">
      <c r="E588" s="4">
        <f t="shared" si="9"/>
        <v>0</v>
      </c>
    </row>
    <row r="589" spans="5:5" x14ac:dyDescent="0.25">
      <c r="E589" s="4">
        <f t="shared" si="9"/>
        <v>0</v>
      </c>
    </row>
    <row r="590" spans="5:5" x14ac:dyDescent="0.25">
      <c r="E590" s="4">
        <f t="shared" si="9"/>
        <v>0</v>
      </c>
    </row>
    <row r="591" spans="5:5" x14ac:dyDescent="0.25">
      <c r="E591" s="4">
        <f t="shared" si="9"/>
        <v>0</v>
      </c>
    </row>
    <row r="592" spans="5:5" x14ac:dyDescent="0.25">
      <c r="E592" s="4">
        <f t="shared" si="9"/>
        <v>0</v>
      </c>
    </row>
    <row r="593" spans="5:5" x14ac:dyDescent="0.25">
      <c r="E593" s="4">
        <f t="shared" si="9"/>
        <v>0</v>
      </c>
    </row>
    <row r="594" spans="5:5" x14ac:dyDescent="0.25">
      <c r="E594" s="4">
        <f t="shared" si="9"/>
        <v>0</v>
      </c>
    </row>
    <row r="595" spans="5:5" x14ac:dyDescent="0.25">
      <c r="E595" s="4">
        <f t="shared" si="9"/>
        <v>0</v>
      </c>
    </row>
    <row r="596" spans="5:5" x14ac:dyDescent="0.25">
      <c r="E596" s="4">
        <f t="shared" si="9"/>
        <v>0</v>
      </c>
    </row>
    <row r="597" spans="5:5" x14ac:dyDescent="0.25">
      <c r="E597" s="4">
        <f t="shared" si="9"/>
        <v>0</v>
      </c>
    </row>
    <row r="598" spans="5:5" x14ac:dyDescent="0.25">
      <c r="E598" s="4">
        <f t="shared" si="9"/>
        <v>0</v>
      </c>
    </row>
    <row r="599" spans="5:5" x14ac:dyDescent="0.25">
      <c r="E599" s="4">
        <f t="shared" si="9"/>
        <v>0</v>
      </c>
    </row>
    <row r="600" spans="5:5" x14ac:dyDescent="0.25">
      <c r="E600" s="4">
        <f t="shared" si="9"/>
        <v>0</v>
      </c>
    </row>
    <row r="601" spans="5:5" x14ac:dyDescent="0.25">
      <c r="E601" s="4">
        <f t="shared" si="9"/>
        <v>0</v>
      </c>
    </row>
    <row r="602" spans="5:5" x14ac:dyDescent="0.25">
      <c r="E602" s="4">
        <f t="shared" si="9"/>
        <v>0</v>
      </c>
    </row>
    <row r="603" spans="5:5" x14ac:dyDescent="0.25">
      <c r="E603" s="4">
        <f t="shared" si="9"/>
        <v>0</v>
      </c>
    </row>
    <row r="604" spans="5:5" x14ac:dyDescent="0.25">
      <c r="E604" s="4">
        <f t="shared" si="9"/>
        <v>0</v>
      </c>
    </row>
    <row r="605" spans="5:5" x14ac:dyDescent="0.25">
      <c r="E605" s="4">
        <f t="shared" si="9"/>
        <v>0</v>
      </c>
    </row>
    <row r="606" spans="5:5" x14ac:dyDescent="0.25">
      <c r="E606" s="4">
        <f t="shared" si="9"/>
        <v>0</v>
      </c>
    </row>
    <row r="607" spans="5:5" x14ac:dyDescent="0.25">
      <c r="E607" s="4">
        <f t="shared" si="9"/>
        <v>0</v>
      </c>
    </row>
    <row r="608" spans="5:5" x14ac:dyDescent="0.25">
      <c r="E608" s="4">
        <f t="shared" si="9"/>
        <v>0</v>
      </c>
    </row>
    <row r="609" spans="5:5" x14ac:dyDescent="0.25">
      <c r="E609" s="4">
        <f t="shared" si="9"/>
        <v>0</v>
      </c>
    </row>
    <row r="610" spans="5:5" x14ac:dyDescent="0.25">
      <c r="E610" s="4">
        <f t="shared" si="9"/>
        <v>0</v>
      </c>
    </row>
    <row r="611" spans="5:5" x14ac:dyDescent="0.25">
      <c r="E611" s="4">
        <f t="shared" si="9"/>
        <v>0</v>
      </c>
    </row>
    <row r="612" spans="5:5" x14ac:dyDescent="0.25">
      <c r="E612" s="4">
        <f t="shared" si="9"/>
        <v>0</v>
      </c>
    </row>
    <row r="613" spans="5:5" x14ac:dyDescent="0.25">
      <c r="E613" s="4">
        <f t="shared" si="9"/>
        <v>0</v>
      </c>
    </row>
    <row r="614" spans="5:5" x14ac:dyDescent="0.25">
      <c r="E614" s="4">
        <f t="shared" si="9"/>
        <v>0</v>
      </c>
    </row>
    <row r="615" spans="5:5" x14ac:dyDescent="0.25">
      <c r="E615" s="4">
        <f t="shared" si="9"/>
        <v>0</v>
      </c>
    </row>
    <row r="616" spans="5:5" x14ac:dyDescent="0.25">
      <c r="E616" s="4">
        <f t="shared" si="9"/>
        <v>0</v>
      </c>
    </row>
    <row r="617" spans="5:5" x14ac:dyDescent="0.25">
      <c r="E617" s="4">
        <f t="shared" si="9"/>
        <v>0</v>
      </c>
    </row>
    <row r="618" spans="5:5" x14ac:dyDescent="0.25">
      <c r="E618" s="4">
        <f t="shared" si="9"/>
        <v>0</v>
      </c>
    </row>
    <row r="619" spans="5:5" x14ac:dyDescent="0.25">
      <c r="E619" s="4">
        <f t="shared" si="9"/>
        <v>0</v>
      </c>
    </row>
    <row r="620" spans="5:5" x14ac:dyDescent="0.25">
      <c r="E620" s="4">
        <f t="shared" si="9"/>
        <v>0</v>
      </c>
    </row>
    <row r="621" spans="5:5" x14ac:dyDescent="0.25">
      <c r="E621" s="4">
        <f t="shared" si="9"/>
        <v>0</v>
      </c>
    </row>
    <row r="622" spans="5:5" x14ac:dyDescent="0.25">
      <c r="E622" s="4">
        <f t="shared" si="9"/>
        <v>0</v>
      </c>
    </row>
    <row r="623" spans="5:5" x14ac:dyDescent="0.25">
      <c r="E623" s="4">
        <f t="shared" si="9"/>
        <v>0</v>
      </c>
    </row>
    <row r="624" spans="5:5" x14ac:dyDescent="0.25">
      <c r="E624" s="4">
        <f t="shared" si="9"/>
        <v>0</v>
      </c>
    </row>
    <row r="625" spans="5:5" x14ac:dyDescent="0.25">
      <c r="E625" s="4">
        <f t="shared" si="9"/>
        <v>0</v>
      </c>
    </row>
    <row r="626" spans="5:5" x14ac:dyDescent="0.25">
      <c r="E626" s="4">
        <f t="shared" si="9"/>
        <v>0</v>
      </c>
    </row>
    <row r="627" spans="5:5" x14ac:dyDescent="0.25">
      <c r="E627" s="4">
        <f t="shared" si="9"/>
        <v>0</v>
      </c>
    </row>
    <row r="628" spans="5:5" x14ac:dyDescent="0.25">
      <c r="E628" s="4">
        <f t="shared" si="9"/>
        <v>0</v>
      </c>
    </row>
    <row r="629" spans="5:5" x14ac:dyDescent="0.25">
      <c r="E629" s="4">
        <f t="shared" si="9"/>
        <v>0</v>
      </c>
    </row>
    <row r="630" spans="5:5" x14ac:dyDescent="0.25">
      <c r="E630" s="4">
        <f t="shared" si="9"/>
        <v>0</v>
      </c>
    </row>
    <row r="631" spans="5:5" x14ac:dyDescent="0.25">
      <c r="E631" s="4">
        <f t="shared" si="9"/>
        <v>0</v>
      </c>
    </row>
    <row r="632" spans="5:5" x14ac:dyDescent="0.25">
      <c r="E632" s="4">
        <f t="shared" si="9"/>
        <v>0</v>
      </c>
    </row>
    <row r="633" spans="5:5" x14ac:dyDescent="0.25">
      <c r="E633" s="4">
        <f t="shared" si="9"/>
        <v>0</v>
      </c>
    </row>
    <row r="634" spans="5:5" x14ac:dyDescent="0.25">
      <c r="E634" s="4">
        <f t="shared" si="9"/>
        <v>0</v>
      </c>
    </row>
    <row r="635" spans="5:5" x14ac:dyDescent="0.25">
      <c r="E635" s="4">
        <f t="shared" si="9"/>
        <v>0</v>
      </c>
    </row>
    <row r="636" spans="5:5" x14ac:dyDescent="0.25">
      <c r="E636" s="4">
        <f t="shared" si="9"/>
        <v>0</v>
      </c>
    </row>
    <row r="637" spans="5:5" x14ac:dyDescent="0.25">
      <c r="E637" s="4">
        <f t="shared" si="9"/>
        <v>0</v>
      </c>
    </row>
    <row r="638" spans="5:5" x14ac:dyDescent="0.25">
      <c r="E638" s="4">
        <f t="shared" si="9"/>
        <v>0</v>
      </c>
    </row>
    <row r="639" spans="5:5" x14ac:dyDescent="0.25">
      <c r="E639" s="4">
        <f t="shared" si="9"/>
        <v>0</v>
      </c>
    </row>
    <row r="640" spans="5:5" x14ac:dyDescent="0.25">
      <c r="E640" s="4">
        <f t="shared" ref="E640:E665" si="10">+D640*400</f>
        <v>0</v>
      </c>
    </row>
    <row r="641" spans="5:5" x14ac:dyDescent="0.25">
      <c r="E641" s="4">
        <f t="shared" si="10"/>
        <v>0</v>
      </c>
    </row>
    <row r="642" spans="5:5" x14ac:dyDescent="0.25">
      <c r="E642" s="4">
        <f t="shared" si="10"/>
        <v>0</v>
      </c>
    </row>
    <row r="643" spans="5:5" x14ac:dyDescent="0.25">
      <c r="E643" s="4">
        <f t="shared" si="10"/>
        <v>0</v>
      </c>
    </row>
    <row r="644" spans="5:5" x14ac:dyDescent="0.25">
      <c r="E644" s="4">
        <f t="shared" si="10"/>
        <v>0</v>
      </c>
    </row>
    <row r="645" spans="5:5" x14ac:dyDescent="0.25">
      <c r="E645" s="4">
        <f t="shared" si="10"/>
        <v>0</v>
      </c>
    </row>
    <row r="646" spans="5:5" x14ac:dyDescent="0.25">
      <c r="E646" s="4">
        <f t="shared" si="10"/>
        <v>0</v>
      </c>
    </row>
    <row r="647" spans="5:5" x14ac:dyDescent="0.25">
      <c r="E647" s="4">
        <f t="shared" si="10"/>
        <v>0</v>
      </c>
    </row>
    <row r="648" spans="5:5" x14ac:dyDescent="0.25">
      <c r="E648" s="4">
        <f t="shared" si="10"/>
        <v>0</v>
      </c>
    </row>
    <row r="649" spans="5:5" x14ac:dyDescent="0.25">
      <c r="E649" s="4">
        <f t="shared" si="10"/>
        <v>0</v>
      </c>
    </row>
    <row r="650" spans="5:5" x14ac:dyDescent="0.25">
      <c r="E650" s="4">
        <f t="shared" si="10"/>
        <v>0</v>
      </c>
    </row>
    <row r="651" spans="5:5" x14ac:dyDescent="0.25">
      <c r="E651" s="4">
        <f t="shared" si="10"/>
        <v>0</v>
      </c>
    </row>
    <row r="652" spans="5:5" x14ac:dyDescent="0.25">
      <c r="E652" s="4">
        <f t="shared" si="10"/>
        <v>0</v>
      </c>
    </row>
    <row r="653" spans="5:5" x14ac:dyDescent="0.25">
      <c r="E653" s="4">
        <f t="shared" si="10"/>
        <v>0</v>
      </c>
    </row>
    <row r="654" spans="5:5" x14ac:dyDescent="0.25">
      <c r="E654" s="4">
        <f t="shared" si="10"/>
        <v>0</v>
      </c>
    </row>
    <row r="655" spans="5:5" x14ac:dyDescent="0.25">
      <c r="E655" s="4">
        <f t="shared" si="10"/>
        <v>0</v>
      </c>
    </row>
    <row r="656" spans="5:5" x14ac:dyDescent="0.25">
      <c r="E656" s="4">
        <f t="shared" si="10"/>
        <v>0</v>
      </c>
    </row>
    <row r="657" spans="5:5" x14ac:dyDescent="0.25">
      <c r="E657" s="4">
        <f t="shared" si="10"/>
        <v>0</v>
      </c>
    </row>
    <row r="658" spans="5:5" x14ac:dyDescent="0.25">
      <c r="E658" s="4">
        <f t="shared" si="10"/>
        <v>0</v>
      </c>
    </row>
    <row r="659" spans="5:5" x14ac:dyDescent="0.25">
      <c r="E659" s="4">
        <f t="shared" si="10"/>
        <v>0</v>
      </c>
    </row>
    <row r="660" spans="5:5" x14ac:dyDescent="0.25">
      <c r="E660" s="4">
        <f t="shared" si="10"/>
        <v>0</v>
      </c>
    </row>
    <row r="661" spans="5:5" x14ac:dyDescent="0.25">
      <c r="E661" s="4">
        <f t="shared" si="10"/>
        <v>0</v>
      </c>
    </row>
    <row r="662" spans="5:5" x14ac:dyDescent="0.25">
      <c r="E662" s="4">
        <f t="shared" si="10"/>
        <v>0</v>
      </c>
    </row>
    <row r="663" spans="5:5" x14ac:dyDescent="0.25">
      <c r="E663" s="4">
        <f t="shared" si="10"/>
        <v>0</v>
      </c>
    </row>
    <row r="664" spans="5:5" x14ac:dyDescent="0.25">
      <c r="E664" s="4">
        <f t="shared" si="10"/>
        <v>0</v>
      </c>
    </row>
    <row r="665" spans="5:5" x14ac:dyDescent="0.25">
      <c r="E665" s="4">
        <f t="shared" si="10"/>
        <v>0</v>
      </c>
    </row>
  </sheetData>
  <autoFilter ref="A1:J665" xr:uid="{8FB1F694-580E-464A-9875-6E55BFABB070}"/>
  <dataValidations count="1">
    <dataValidation type="list" allowBlank="1" showInputMessage="1" showErrorMessage="1" sqref="C1:C1048576" xr:uid="{282678C2-B4F7-46CA-A6D7-1C5D99A5259E}">
      <formula1>$H$2:$H$6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227A-C8F8-4308-B1FE-ACF76F08E4B4}">
  <sheetPr codeName="Hoja8"/>
  <dimension ref="A1:M519"/>
  <sheetViews>
    <sheetView zoomScale="110" zoomScaleNormal="110" workbookViewId="0">
      <pane ySplit="1" topLeftCell="A65" activePane="bottomLeft" state="frozen"/>
      <selection pane="bottomLeft" activeCell="H77" sqref="H77"/>
    </sheetView>
  </sheetViews>
  <sheetFormatPr baseColWidth="10" defaultRowHeight="15" x14ac:dyDescent="0.25"/>
  <cols>
    <col min="1" max="1" width="27.7109375" style="44" bestFit="1" customWidth="1"/>
    <col min="2" max="2" width="11.42578125" style="45"/>
    <col min="3" max="3" width="13.7109375" style="45" bestFit="1" customWidth="1"/>
    <col min="4" max="7" width="11.42578125" style="45"/>
    <col min="8" max="9" width="11.42578125" style="23"/>
  </cols>
  <sheetData>
    <row r="1" spans="1:13" ht="36.75" customHeight="1" x14ac:dyDescent="0.25">
      <c r="A1" s="123" t="s">
        <v>23</v>
      </c>
      <c r="B1" s="28" t="s">
        <v>43</v>
      </c>
      <c r="C1" s="28" t="s">
        <v>69</v>
      </c>
      <c r="D1" s="28" t="s">
        <v>0</v>
      </c>
      <c r="E1" s="28" t="s">
        <v>65</v>
      </c>
      <c r="F1" s="28" t="s">
        <v>609</v>
      </c>
      <c r="G1" s="28" t="s">
        <v>46</v>
      </c>
      <c r="H1" s="35" t="s">
        <v>42</v>
      </c>
      <c r="I1" s="35" t="s">
        <v>82</v>
      </c>
      <c r="J1" s="74"/>
      <c r="M1">
        <v>1</v>
      </c>
    </row>
    <row r="2" spans="1:13" x14ac:dyDescent="0.25">
      <c r="A2" s="44">
        <v>46105</v>
      </c>
      <c r="B2" s="45" t="s">
        <v>67</v>
      </c>
      <c r="C2" s="45" t="s">
        <v>73</v>
      </c>
      <c r="D2" s="45" t="s">
        <v>89</v>
      </c>
      <c r="E2" s="45">
        <v>1</v>
      </c>
      <c r="H2" s="23">
        <f>+E2*15+F2*18</f>
        <v>15</v>
      </c>
      <c r="I2" s="23">
        <f>+F2+E2</f>
        <v>1</v>
      </c>
      <c r="M2">
        <v>2</v>
      </c>
    </row>
    <row r="3" spans="1:13" x14ac:dyDescent="0.25">
      <c r="A3" s="44">
        <v>46106</v>
      </c>
      <c r="B3" s="45" t="s">
        <v>67</v>
      </c>
      <c r="C3" s="45" t="s">
        <v>73</v>
      </c>
      <c r="D3" s="45" t="s">
        <v>89</v>
      </c>
      <c r="E3" s="45">
        <v>8</v>
      </c>
      <c r="F3" s="45">
        <v>92</v>
      </c>
      <c r="G3" s="45">
        <v>1</v>
      </c>
      <c r="H3" s="23">
        <f t="shared" ref="H3:H66" si="0">+E3*15+F3*18</f>
        <v>1776</v>
      </c>
      <c r="I3" s="23">
        <f t="shared" ref="I3:I66" si="1">+F3+E3</f>
        <v>100</v>
      </c>
    </row>
    <row r="4" spans="1:13" x14ac:dyDescent="0.25">
      <c r="A4" s="44">
        <v>46107</v>
      </c>
      <c r="B4" s="45" t="s">
        <v>67</v>
      </c>
      <c r="C4" s="45" t="s">
        <v>73</v>
      </c>
      <c r="D4" s="45" t="s">
        <v>89</v>
      </c>
      <c r="E4" s="45">
        <v>33</v>
      </c>
      <c r="F4" s="45">
        <v>56</v>
      </c>
      <c r="G4" s="45">
        <v>1</v>
      </c>
      <c r="H4" s="23">
        <f t="shared" si="0"/>
        <v>1503</v>
      </c>
      <c r="I4" s="23">
        <f t="shared" si="1"/>
        <v>89</v>
      </c>
    </row>
    <row r="5" spans="1:13" x14ac:dyDescent="0.25">
      <c r="A5" s="44">
        <v>46108</v>
      </c>
      <c r="B5" s="45" t="s">
        <v>67</v>
      </c>
      <c r="C5" s="45" t="s">
        <v>73</v>
      </c>
      <c r="D5" s="45" t="s">
        <v>89</v>
      </c>
      <c r="F5" s="45">
        <v>79</v>
      </c>
      <c r="G5" s="45">
        <v>1</v>
      </c>
      <c r="H5" s="23">
        <f t="shared" si="0"/>
        <v>1422</v>
      </c>
      <c r="I5" s="23">
        <f t="shared" si="1"/>
        <v>79</v>
      </c>
      <c r="M5" s="25"/>
    </row>
    <row r="6" spans="1:13" x14ac:dyDescent="0.25">
      <c r="A6" s="44">
        <v>46108</v>
      </c>
      <c r="B6" s="45" t="s">
        <v>185</v>
      </c>
      <c r="C6" s="45" t="s">
        <v>48</v>
      </c>
      <c r="D6" s="45" t="s">
        <v>169</v>
      </c>
      <c r="F6" s="45">
        <v>19</v>
      </c>
      <c r="G6" s="45">
        <v>1</v>
      </c>
      <c r="H6" s="23">
        <f t="shared" si="0"/>
        <v>342</v>
      </c>
      <c r="I6" s="23">
        <f t="shared" si="1"/>
        <v>19</v>
      </c>
    </row>
    <row r="7" spans="1:13" x14ac:dyDescent="0.25">
      <c r="A7" s="44">
        <v>46110</v>
      </c>
      <c r="B7" s="45" t="s">
        <v>185</v>
      </c>
      <c r="C7" s="45" t="s">
        <v>48</v>
      </c>
      <c r="D7" s="45" t="s">
        <v>169</v>
      </c>
      <c r="E7" s="45">
        <v>22</v>
      </c>
      <c r="F7" s="45">
        <v>12</v>
      </c>
      <c r="H7" s="23">
        <f t="shared" si="0"/>
        <v>546</v>
      </c>
      <c r="I7" s="23">
        <f t="shared" si="1"/>
        <v>34</v>
      </c>
    </row>
    <row r="8" spans="1:13" x14ac:dyDescent="0.25">
      <c r="A8" s="44">
        <v>46110</v>
      </c>
      <c r="B8" s="45" t="s">
        <v>186</v>
      </c>
      <c r="C8" s="45" t="s">
        <v>73</v>
      </c>
      <c r="D8" s="45" t="s">
        <v>89</v>
      </c>
      <c r="F8" s="45">
        <v>9</v>
      </c>
      <c r="H8" s="23">
        <f t="shared" si="0"/>
        <v>162</v>
      </c>
      <c r="I8" s="23">
        <f t="shared" si="1"/>
        <v>9</v>
      </c>
    </row>
    <row r="9" spans="1:13" x14ac:dyDescent="0.25">
      <c r="A9" s="44">
        <v>46110</v>
      </c>
      <c r="B9" s="45" t="s">
        <v>187</v>
      </c>
      <c r="C9" s="45" t="s">
        <v>70</v>
      </c>
      <c r="D9" s="45" t="s">
        <v>161</v>
      </c>
      <c r="F9" s="45">
        <v>57</v>
      </c>
      <c r="H9" s="23">
        <f t="shared" si="0"/>
        <v>1026</v>
      </c>
      <c r="I9" s="23">
        <f t="shared" si="1"/>
        <v>57</v>
      </c>
    </row>
    <row r="10" spans="1:13" x14ac:dyDescent="0.25">
      <c r="A10" s="44">
        <v>46111</v>
      </c>
      <c r="B10" s="45" t="s">
        <v>187</v>
      </c>
      <c r="C10" s="45" t="s">
        <v>70</v>
      </c>
      <c r="D10" s="45" t="s">
        <v>161</v>
      </c>
      <c r="F10" s="45">
        <v>44</v>
      </c>
      <c r="H10" s="23">
        <f t="shared" si="0"/>
        <v>792</v>
      </c>
      <c r="I10" s="23">
        <f t="shared" si="1"/>
        <v>44</v>
      </c>
    </row>
    <row r="11" spans="1:13" x14ac:dyDescent="0.25">
      <c r="A11" s="44">
        <v>46111</v>
      </c>
      <c r="B11" s="45" t="s">
        <v>186</v>
      </c>
      <c r="C11" s="45" t="s">
        <v>73</v>
      </c>
      <c r="D11" s="45" t="s">
        <v>89</v>
      </c>
      <c r="F11" s="45">
        <v>18</v>
      </c>
      <c r="H11" s="23">
        <f t="shared" si="0"/>
        <v>324</v>
      </c>
      <c r="I11" s="23">
        <f t="shared" si="1"/>
        <v>18</v>
      </c>
    </row>
    <row r="12" spans="1:13" x14ac:dyDescent="0.25">
      <c r="A12" s="44">
        <v>46112</v>
      </c>
      <c r="B12" s="45" t="s">
        <v>186</v>
      </c>
      <c r="C12" s="45" t="s">
        <v>73</v>
      </c>
      <c r="D12" s="45" t="s">
        <v>89</v>
      </c>
      <c r="F12" s="45">
        <v>64</v>
      </c>
      <c r="H12" s="23">
        <f t="shared" si="0"/>
        <v>1152</v>
      </c>
      <c r="I12" s="23">
        <f t="shared" si="1"/>
        <v>64</v>
      </c>
    </row>
    <row r="13" spans="1:13" x14ac:dyDescent="0.25">
      <c r="A13" s="44">
        <v>46113</v>
      </c>
      <c r="B13" s="45" t="s">
        <v>186</v>
      </c>
      <c r="C13" s="45" t="s">
        <v>73</v>
      </c>
      <c r="D13" s="45" t="s">
        <v>89</v>
      </c>
      <c r="F13" s="45">
        <v>18</v>
      </c>
      <c r="H13" s="23">
        <f t="shared" si="0"/>
        <v>324</v>
      </c>
      <c r="I13" s="23">
        <f t="shared" si="1"/>
        <v>18</v>
      </c>
    </row>
    <row r="14" spans="1:13" x14ac:dyDescent="0.25">
      <c r="A14" s="44">
        <v>46113</v>
      </c>
      <c r="B14" s="45" t="s">
        <v>185</v>
      </c>
      <c r="C14" s="45" t="s">
        <v>48</v>
      </c>
      <c r="D14" s="45" t="s">
        <v>169</v>
      </c>
      <c r="F14" s="45">
        <v>40</v>
      </c>
      <c r="H14" s="23">
        <f t="shared" si="0"/>
        <v>720</v>
      </c>
      <c r="I14" s="23">
        <f t="shared" si="1"/>
        <v>40</v>
      </c>
    </row>
    <row r="15" spans="1:13" x14ac:dyDescent="0.25">
      <c r="A15" s="44">
        <v>46114</v>
      </c>
      <c r="B15" s="45" t="s">
        <v>185</v>
      </c>
      <c r="C15" s="45" t="s">
        <v>48</v>
      </c>
      <c r="D15" s="45" t="s">
        <v>169</v>
      </c>
      <c r="F15" s="45">
        <f>134+14</f>
        <v>148</v>
      </c>
      <c r="H15" s="23">
        <f t="shared" si="0"/>
        <v>2664</v>
      </c>
      <c r="I15" s="23">
        <f t="shared" si="1"/>
        <v>148</v>
      </c>
    </row>
    <row r="16" spans="1:13" x14ac:dyDescent="0.25">
      <c r="A16" s="44">
        <v>46116</v>
      </c>
      <c r="B16" s="45" t="s">
        <v>20</v>
      </c>
      <c r="C16" s="45" t="s">
        <v>68</v>
      </c>
      <c r="D16" s="45" t="s">
        <v>299</v>
      </c>
      <c r="F16" s="45">
        <v>85</v>
      </c>
      <c r="H16" s="23">
        <f t="shared" si="0"/>
        <v>1530</v>
      </c>
      <c r="I16" s="23">
        <f t="shared" si="1"/>
        <v>85</v>
      </c>
    </row>
    <row r="17" spans="1:9" x14ac:dyDescent="0.25">
      <c r="A17" s="44">
        <v>46118</v>
      </c>
      <c r="B17" s="45" t="s">
        <v>22</v>
      </c>
      <c r="C17" s="45" t="s">
        <v>73</v>
      </c>
      <c r="D17" s="45" t="s">
        <v>89</v>
      </c>
      <c r="F17" s="45">
        <v>64</v>
      </c>
      <c r="G17" s="45">
        <v>1</v>
      </c>
      <c r="H17" s="23">
        <f t="shared" si="0"/>
        <v>1152</v>
      </c>
      <c r="I17" s="23">
        <f t="shared" si="1"/>
        <v>64</v>
      </c>
    </row>
    <row r="18" spans="1:9" x14ac:dyDescent="0.25">
      <c r="A18" s="44">
        <v>46118</v>
      </c>
      <c r="B18" s="45" t="s">
        <v>185</v>
      </c>
      <c r="C18" s="45" t="s">
        <v>48</v>
      </c>
      <c r="D18" s="45" t="s">
        <v>169</v>
      </c>
      <c r="F18" s="45">
        <v>12</v>
      </c>
      <c r="G18" s="45">
        <v>1</v>
      </c>
      <c r="H18" s="23">
        <f t="shared" si="0"/>
        <v>216</v>
      </c>
      <c r="I18" s="23">
        <f t="shared" si="1"/>
        <v>12</v>
      </c>
    </row>
    <row r="19" spans="1:9" x14ac:dyDescent="0.25">
      <c r="A19" s="44">
        <v>46119</v>
      </c>
      <c r="B19" s="45" t="s">
        <v>22</v>
      </c>
      <c r="C19" s="45" t="s">
        <v>72</v>
      </c>
      <c r="D19" s="45" t="s">
        <v>342</v>
      </c>
      <c r="F19" s="45">
        <v>6</v>
      </c>
      <c r="G19" s="45">
        <v>1</v>
      </c>
      <c r="H19" s="23">
        <f t="shared" si="0"/>
        <v>108</v>
      </c>
      <c r="I19" s="23">
        <f t="shared" si="1"/>
        <v>6</v>
      </c>
    </row>
    <row r="20" spans="1:9" x14ac:dyDescent="0.25">
      <c r="A20" s="44">
        <v>46119</v>
      </c>
      <c r="B20" s="45" t="s">
        <v>186</v>
      </c>
      <c r="C20" s="45" t="s">
        <v>73</v>
      </c>
      <c r="D20" s="45" t="s">
        <v>89</v>
      </c>
      <c r="F20" s="45">
        <v>1</v>
      </c>
      <c r="G20" s="45">
        <v>1</v>
      </c>
      <c r="H20" s="23">
        <f t="shared" si="0"/>
        <v>18</v>
      </c>
      <c r="I20" s="23">
        <f t="shared" si="1"/>
        <v>1</v>
      </c>
    </row>
    <row r="21" spans="1:9" x14ac:dyDescent="0.25">
      <c r="A21" s="44">
        <v>46119</v>
      </c>
      <c r="B21" s="45" t="s">
        <v>21</v>
      </c>
      <c r="C21" s="45" t="s">
        <v>71</v>
      </c>
      <c r="D21" s="45" t="s">
        <v>223</v>
      </c>
      <c r="F21" s="45">
        <v>3</v>
      </c>
      <c r="G21" s="45">
        <v>1</v>
      </c>
      <c r="H21" s="23">
        <f t="shared" si="0"/>
        <v>54</v>
      </c>
      <c r="I21" s="23">
        <f t="shared" si="1"/>
        <v>3</v>
      </c>
    </row>
    <row r="22" spans="1:9" x14ac:dyDescent="0.25">
      <c r="A22" s="44">
        <v>46120</v>
      </c>
      <c r="B22" s="45" t="s">
        <v>20</v>
      </c>
      <c r="C22" s="45" t="s">
        <v>68</v>
      </c>
      <c r="D22" s="45" t="s">
        <v>369</v>
      </c>
      <c r="F22" s="45">
        <v>63</v>
      </c>
      <c r="G22" s="45">
        <v>1</v>
      </c>
      <c r="H22" s="23">
        <f t="shared" si="0"/>
        <v>1134</v>
      </c>
      <c r="I22" s="23">
        <f t="shared" si="1"/>
        <v>63</v>
      </c>
    </row>
    <row r="23" spans="1:9" x14ac:dyDescent="0.25">
      <c r="A23" s="44">
        <v>46122</v>
      </c>
      <c r="B23" s="45" t="s">
        <v>20</v>
      </c>
      <c r="C23" s="45" t="s">
        <v>68</v>
      </c>
      <c r="D23" s="45" t="s">
        <v>359</v>
      </c>
      <c r="F23" s="45">
        <v>115</v>
      </c>
      <c r="G23" s="45">
        <v>1</v>
      </c>
      <c r="H23" s="23">
        <f t="shared" si="0"/>
        <v>2070</v>
      </c>
      <c r="I23" s="23">
        <f t="shared" si="1"/>
        <v>115</v>
      </c>
    </row>
    <row r="24" spans="1:9" x14ac:dyDescent="0.25">
      <c r="A24" s="44">
        <v>46123</v>
      </c>
      <c r="B24" s="45" t="s">
        <v>431</v>
      </c>
      <c r="C24" s="45" t="s">
        <v>71</v>
      </c>
      <c r="D24" s="45" t="s">
        <v>223</v>
      </c>
      <c r="F24" s="45">
        <v>100</v>
      </c>
      <c r="G24" s="45">
        <v>1</v>
      </c>
      <c r="H24" s="23">
        <f t="shared" si="0"/>
        <v>1800</v>
      </c>
      <c r="I24" s="23">
        <f t="shared" si="1"/>
        <v>100</v>
      </c>
    </row>
    <row r="25" spans="1:9" x14ac:dyDescent="0.25">
      <c r="A25" s="44">
        <v>46125</v>
      </c>
      <c r="B25" s="45" t="s">
        <v>431</v>
      </c>
      <c r="C25" s="45" t="s">
        <v>71</v>
      </c>
      <c r="D25" s="45" t="s">
        <v>223</v>
      </c>
      <c r="F25" s="45">
        <v>103</v>
      </c>
      <c r="G25" s="45">
        <v>1</v>
      </c>
      <c r="H25" s="23">
        <f t="shared" si="0"/>
        <v>1854</v>
      </c>
      <c r="I25" s="23">
        <f t="shared" si="1"/>
        <v>103</v>
      </c>
    </row>
    <row r="26" spans="1:9" x14ac:dyDescent="0.25">
      <c r="A26" s="44">
        <v>46125</v>
      </c>
      <c r="B26" s="45" t="s">
        <v>22</v>
      </c>
      <c r="C26" s="45" t="s">
        <v>72</v>
      </c>
      <c r="D26" s="45" t="s">
        <v>342</v>
      </c>
      <c r="F26" s="45">
        <v>5</v>
      </c>
      <c r="G26" s="45">
        <v>1</v>
      </c>
      <c r="H26" s="23">
        <f t="shared" si="0"/>
        <v>90</v>
      </c>
      <c r="I26" s="23">
        <f t="shared" si="1"/>
        <v>5</v>
      </c>
    </row>
    <row r="27" spans="1:9" x14ac:dyDescent="0.25">
      <c r="A27" s="44">
        <v>46125</v>
      </c>
      <c r="B27" s="45" t="s">
        <v>185</v>
      </c>
      <c r="C27" s="45" t="s">
        <v>48</v>
      </c>
      <c r="D27" s="45" t="s">
        <v>169</v>
      </c>
      <c r="F27" s="45">
        <v>5</v>
      </c>
      <c r="G27" s="45">
        <v>1</v>
      </c>
      <c r="H27" s="23">
        <f t="shared" si="0"/>
        <v>90</v>
      </c>
      <c r="I27" s="23">
        <f t="shared" si="1"/>
        <v>5</v>
      </c>
    </row>
    <row r="28" spans="1:9" x14ac:dyDescent="0.25">
      <c r="A28" s="44">
        <v>46126</v>
      </c>
      <c r="B28" s="45" t="s">
        <v>185</v>
      </c>
      <c r="C28" s="45" t="s">
        <v>48</v>
      </c>
      <c r="D28" s="45" t="s">
        <v>169</v>
      </c>
      <c r="F28" s="45">
        <v>5</v>
      </c>
      <c r="G28" s="45">
        <v>1</v>
      </c>
      <c r="H28" s="23">
        <f t="shared" si="0"/>
        <v>90</v>
      </c>
      <c r="I28" s="23">
        <f t="shared" si="1"/>
        <v>5</v>
      </c>
    </row>
    <row r="29" spans="1:9" x14ac:dyDescent="0.25">
      <c r="A29" s="44">
        <v>46126</v>
      </c>
      <c r="B29" s="45" t="s">
        <v>20</v>
      </c>
      <c r="C29" s="45" t="s">
        <v>68</v>
      </c>
      <c r="D29" s="45" t="s">
        <v>433</v>
      </c>
      <c r="F29" s="45">
        <v>7</v>
      </c>
      <c r="G29" s="45">
        <v>1</v>
      </c>
      <c r="H29" s="23">
        <f t="shared" si="0"/>
        <v>126</v>
      </c>
      <c r="I29" s="23">
        <f t="shared" si="1"/>
        <v>7</v>
      </c>
    </row>
    <row r="30" spans="1:9" x14ac:dyDescent="0.25">
      <c r="A30" s="44">
        <v>46126</v>
      </c>
      <c r="B30" s="45" t="s">
        <v>22</v>
      </c>
      <c r="C30" s="45" t="s">
        <v>72</v>
      </c>
      <c r="D30" s="45" t="s">
        <v>342</v>
      </c>
      <c r="F30" s="45">
        <v>23</v>
      </c>
      <c r="G30" s="45">
        <v>1</v>
      </c>
      <c r="H30" s="23">
        <f t="shared" si="0"/>
        <v>414</v>
      </c>
      <c r="I30" s="23">
        <f t="shared" si="1"/>
        <v>23</v>
      </c>
    </row>
    <row r="31" spans="1:9" x14ac:dyDescent="0.25">
      <c r="A31" s="44">
        <v>46126</v>
      </c>
      <c r="B31" s="45" t="s">
        <v>67</v>
      </c>
      <c r="C31" s="45" t="s">
        <v>73</v>
      </c>
      <c r="D31" s="45" t="s">
        <v>89</v>
      </c>
      <c r="F31" s="45">
        <v>37</v>
      </c>
      <c r="G31" s="45">
        <v>1</v>
      </c>
      <c r="H31" s="23">
        <f t="shared" si="0"/>
        <v>666</v>
      </c>
      <c r="I31" s="23">
        <f t="shared" si="1"/>
        <v>37</v>
      </c>
    </row>
    <row r="32" spans="1:9" x14ac:dyDescent="0.25">
      <c r="A32" s="44">
        <v>46126</v>
      </c>
      <c r="B32" s="45" t="s">
        <v>431</v>
      </c>
      <c r="C32" s="45" t="s">
        <v>71</v>
      </c>
      <c r="D32" s="45" t="s">
        <v>223</v>
      </c>
      <c r="F32" s="45">
        <v>34</v>
      </c>
      <c r="G32" s="45">
        <v>1</v>
      </c>
      <c r="H32" s="23">
        <f t="shared" si="0"/>
        <v>612</v>
      </c>
      <c r="I32" s="23">
        <f t="shared" si="1"/>
        <v>34</v>
      </c>
    </row>
    <row r="33" spans="1:9" x14ac:dyDescent="0.25">
      <c r="A33" s="44">
        <v>46127</v>
      </c>
      <c r="B33" s="45" t="s">
        <v>20</v>
      </c>
      <c r="C33" s="45" t="s">
        <v>68</v>
      </c>
      <c r="D33" s="45" t="s">
        <v>299</v>
      </c>
      <c r="F33" s="45">
        <v>55</v>
      </c>
      <c r="G33" s="45">
        <v>1</v>
      </c>
      <c r="H33" s="23">
        <f t="shared" si="0"/>
        <v>990</v>
      </c>
      <c r="I33" s="23">
        <f t="shared" si="1"/>
        <v>55</v>
      </c>
    </row>
    <row r="34" spans="1:9" x14ac:dyDescent="0.25">
      <c r="A34" s="44">
        <v>46128</v>
      </c>
      <c r="B34" s="45" t="s">
        <v>20</v>
      </c>
      <c r="D34" s="45" t="s">
        <v>643</v>
      </c>
      <c r="F34" s="45">
        <v>21</v>
      </c>
      <c r="G34" s="45">
        <v>1</v>
      </c>
      <c r="H34" s="23">
        <f t="shared" si="0"/>
        <v>378</v>
      </c>
      <c r="I34" s="23">
        <f t="shared" si="1"/>
        <v>21</v>
      </c>
    </row>
    <row r="35" spans="1:9" x14ac:dyDescent="0.25">
      <c r="A35" s="44">
        <v>46128</v>
      </c>
      <c r="B35" s="45" t="s">
        <v>186</v>
      </c>
      <c r="C35" s="45" t="s">
        <v>73</v>
      </c>
      <c r="D35" s="45" t="s">
        <v>89</v>
      </c>
      <c r="F35" s="45">
        <v>5</v>
      </c>
      <c r="G35" s="45">
        <v>1</v>
      </c>
      <c r="H35" s="23">
        <f t="shared" si="0"/>
        <v>90</v>
      </c>
      <c r="I35" s="23">
        <f t="shared" si="1"/>
        <v>5</v>
      </c>
    </row>
    <row r="36" spans="1:9" x14ac:dyDescent="0.25">
      <c r="A36" s="44">
        <v>46129</v>
      </c>
      <c r="B36" s="45" t="s">
        <v>22</v>
      </c>
      <c r="C36" s="45" t="s">
        <v>72</v>
      </c>
      <c r="D36" s="45" t="s">
        <v>651</v>
      </c>
      <c r="F36" s="45">
        <v>69</v>
      </c>
      <c r="G36" s="45">
        <v>1</v>
      </c>
      <c r="H36" s="23">
        <f t="shared" si="0"/>
        <v>1242</v>
      </c>
      <c r="I36" s="23">
        <f t="shared" si="1"/>
        <v>69</v>
      </c>
    </row>
    <row r="37" spans="1:9" x14ac:dyDescent="0.25">
      <c r="A37" s="44">
        <v>46129</v>
      </c>
      <c r="B37" s="45" t="s">
        <v>20</v>
      </c>
      <c r="C37" s="45" t="s">
        <v>68</v>
      </c>
      <c r="D37" s="45" t="s">
        <v>299</v>
      </c>
      <c r="F37" s="45">
        <v>83</v>
      </c>
      <c r="G37" s="45">
        <v>1</v>
      </c>
      <c r="H37" s="23">
        <f t="shared" si="0"/>
        <v>1494</v>
      </c>
      <c r="I37" s="23">
        <f t="shared" si="1"/>
        <v>83</v>
      </c>
    </row>
    <row r="38" spans="1:9" x14ac:dyDescent="0.25">
      <c r="A38" s="44">
        <v>46129</v>
      </c>
      <c r="B38" s="45" t="s">
        <v>185</v>
      </c>
      <c r="C38" s="45" t="s">
        <v>48</v>
      </c>
      <c r="D38" s="45" t="s">
        <v>645</v>
      </c>
      <c r="F38" s="45">
        <v>18</v>
      </c>
      <c r="G38" s="45">
        <v>1</v>
      </c>
      <c r="H38" s="23">
        <f t="shared" si="0"/>
        <v>324</v>
      </c>
      <c r="I38" s="23">
        <f t="shared" si="1"/>
        <v>18</v>
      </c>
    </row>
    <row r="39" spans="1:9" x14ac:dyDescent="0.25">
      <c r="A39" s="44">
        <v>46130</v>
      </c>
      <c r="B39" s="45" t="s">
        <v>20</v>
      </c>
      <c r="C39" s="45" t="s">
        <v>68</v>
      </c>
      <c r="D39" s="45" t="s">
        <v>299</v>
      </c>
      <c r="F39" s="45">
        <v>115</v>
      </c>
      <c r="G39" s="45">
        <v>1</v>
      </c>
      <c r="H39" s="23">
        <f t="shared" si="0"/>
        <v>2070</v>
      </c>
      <c r="I39" s="23">
        <f t="shared" si="1"/>
        <v>115</v>
      </c>
    </row>
    <row r="40" spans="1:9" x14ac:dyDescent="0.25">
      <c r="A40" s="44">
        <v>46130</v>
      </c>
      <c r="B40" s="45" t="s">
        <v>22</v>
      </c>
      <c r="C40" s="45" t="s">
        <v>72</v>
      </c>
      <c r="D40" s="45" t="s">
        <v>342</v>
      </c>
      <c r="E40" s="45">
        <v>64</v>
      </c>
      <c r="F40" s="45">
        <v>93</v>
      </c>
      <c r="G40" s="45">
        <v>1</v>
      </c>
      <c r="H40" s="23">
        <f t="shared" si="0"/>
        <v>2634</v>
      </c>
      <c r="I40" s="23">
        <f t="shared" si="1"/>
        <v>157</v>
      </c>
    </row>
    <row r="41" spans="1:9" x14ac:dyDescent="0.25">
      <c r="A41" s="44">
        <v>46132</v>
      </c>
      <c r="B41" s="45" t="s">
        <v>186</v>
      </c>
      <c r="C41" s="45" t="s">
        <v>73</v>
      </c>
      <c r="D41" s="45" t="s">
        <v>89</v>
      </c>
      <c r="F41" s="45">
        <v>60</v>
      </c>
      <c r="G41" s="45">
        <v>1</v>
      </c>
      <c r="H41" s="23">
        <f t="shared" si="0"/>
        <v>1080</v>
      </c>
      <c r="I41" s="23">
        <f t="shared" si="1"/>
        <v>60</v>
      </c>
    </row>
    <row r="42" spans="1:9" x14ac:dyDescent="0.25">
      <c r="A42" s="44">
        <v>46132</v>
      </c>
      <c r="B42" s="45" t="s">
        <v>22</v>
      </c>
      <c r="C42" s="45" t="s">
        <v>72</v>
      </c>
      <c r="D42" s="45" t="s">
        <v>342</v>
      </c>
      <c r="E42" s="45">
        <v>72</v>
      </c>
      <c r="G42" s="45">
        <v>1</v>
      </c>
      <c r="H42" s="23">
        <f t="shared" si="0"/>
        <v>1080</v>
      </c>
      <c r="I42" s="23">
        <f t="shared" si="1"/>
        <v>72</v>
      </c>
    </row>
    <row r="43" spans="1:9" x14ac:dyDescent="0.25">
      <c r="A43" s="44">
        <v>46132</v>
      </c>
      <c r="B43" s="45" t="s">
        <v>20</v>
      </c>
      <c r="D43" s="45" t="s">
        <v>643</v>
      </c>
      <c r="F43" s="45">
        <v>27</v>
      </c>
      <c r="G43" s="45">
        <v>1</v>
      </c>
      <c r="H43" s="23">
        <f t="shared" si="0"/>
        <v>486</v>
      </c>
      <c r="I43" s="23">
        <f t="shared" si="1"/>
        <v>27</v>
      </c>
    </row>
    <row r="44" spans="1:9" x14ac:dyDescent="0.25">
      <c r="A44" s="44">
        <v>46133</v>
      </c>
      <c r="B44" s="45" t="s">
        <v>186</v>
      </c>
      <c r="C44" s="45" t="s">
        <v>73</v>
      </c>
      <c r="D44" s="45" t="s">
        <v>89</v>
      </c>
      <c r="E44" s="45">
        <v>59</v>
      </c>
      <c r="F44" s="45">
        <v>101</v>
      </c>
      <c r="G44" s="45">
        <v>1</v>
      </c>
      <c r="H44" s="23">
        <f t="shared" si="0"/>
        <v>2703</v>
      </c>
      <c r="I44" s="23">
        <f t="shared" si="1"/>
        <v>160</v>
      </c>
    </row>
    <row r="45" spans="1:9" x14ac:dyDescent="0.25">
      <c r="A45" s="44">
        <v>46134</v>
      </c>
      <c r="B45" s="45" t="s">
        <v>186</v>
      </c>
      <c r="C45" s="45" t="s">
        <v>73</v>
      </c>
      <c r="D45" s="45" t="s">
        <v>89</v>
      </c>
      <c r="E45" s="45">
        <v>97</v>
      </c>
      <c r="F45" s="45">
        <v>42</v>
      </c>
      <c r="G45" s="45">
        <v>1</v>
      </c>
      <c r="H45" s="23">
        <f t="shared" si="0"/>
        <v>2211</v>
      </c>
      <c r="I45" s="23">
        <f t="shared" si="1"/>
        <v>139</v>
      </c>
    </row>
    <row r="46" spans="1:9" x14ac:dyDescent="0.25">
      <c r="A46" s="44">
        <v>46135</v>
      </c>
      <c r="B46" s="45" t="s">
        <v>20</v>
      </c>
      <c r="C46" s="45" t="s">
        <v>68</v>
      </c>
      <c r="D46" s="45" t="s">
        <v>299</v>
      </c>
      <c r="F46" s="45">
        <v>59</v>
      </c>
      <c r="G46" s="45">
        <v>1</v>
      </c>
      <c r="H46" s="23">
        <f t="shared" si="0"/>
        <v>1062</v>
      </c>
      <c r="I46" s="23">
        <f t="shared" si="1"/>
        <v>59</v>
      </c>
    </row>
    <row r="47" spans="1:9" x14ac:dyDescent="0.25">
      <c r="A47" s="44">
        <v>46136</v>
      </c>
      <c r="B47" s="45" t="s">
        <v>20</v>
      </c>
      <c r="C47" s="45" t="s">
        <v>68</v>
      </c>
      <c r="D47" s="45" t="s">
        <v>299</v>
      </c>
      <c r="F47" s="45">
        <v>4</v>
      </c>
      <c r="G47" s="45">
        <v>1</v>
      </c>
      <c r="H47" s="23">
        <f t="shared" si="0"/>
        <v>72</v>
      </c>
      <c r="I47" s="23">
        <f t="shared" si="1"/>
        <v>4</v>
      </c>
    </row>
    <row r="48" spans="1:9" x14ac:dyDescent="0.25">
      <c r="A48" s="44">
        <v>46136</v>
      </c>
      <c r="B48" s="45" t="s">
        <v>185</v>
      </c>
      <c r="C48" s="45" t="s">
        <v>48</v>
      </c>
      <c r="D48" s="45" t="s">
        <v>649</v>
      </c>
      <c r="E48" s="45">
        <v>58</v>
      </c>
      <c r="F48" s="45">
        <v>46</v>
      </c>
      <c r="G48" s="45">
        <v>1</v>
      </c>
      <c r="H48" s="23">
        <f t="shared" si="0"/>
        <v>1698</v>
      </c>
      <c r="I48" s="23">
        <f t="shared" si="1"/>
        <v>104</v>
      </c>
    </row>
    <row r="49" spans="1:9" x14ac:dyDescent="0.25">
      <c r="A49" s="44">
        <v>46136</v>
      </c>
      <c r="B49" s="45" t="s">
        <v>186</v>
      </c>
      <c r="C49" s="45" t="s">
        <v>73</v>
      </c>
      <c r="D49" s="45" t="s">
        <v>89</v>
      </c>
      <c r="F49" s="45">
        <v>48</v>
      </c>
      <c r="G49" s="45">
        <v>1</v>
      </c>
      <c r="H49" s="23">
        <f t="shared" si="0"/>
        <v>864</v>
      </c>
      <c r="I49" s="23">
        <f t="shared" si="1"/>
        <v>48</v>
      </c>
    </row>
    <row r="50" spans="1:9" x14ac:dyDescent="0.25">
      <c r="A50" s="44">
        <v>46136</v>
      </c>
      <c r="B50" s="45" t="s">
        <v>20</v>
      </c>
      <c r="D50" s="45" t="s">
        <v>643</v>
      </c>
      <c r="F50" s="45">
        <v>11</v>
      </c>
      <c r="G50" s="45">
        <v>1</v>
      </c>
      <c r="H50" s="23">
        <f t="shared" si="0"/>
        <v>198</v>
      </c>
      <c r="I50" s="23">
        <f t="shared" si="1"/>
        <v>11</v>
      </c>
    </row>
    <row r="51" spans="1:9" x14ac:dyDescent="0.25">
      <c r="A51" s="44">
        <v>46136</v>
      </c>
      <c r="B51" s="45" t="s">
        <v>22</v>
      </c>
      <c r="C51" s="45" t="s">
        <v>72</v>
      </c>
      <c r="D51" s="45" t="s">
        <v>792</v>
      </c>
      <c r="F51" s="45">
        <v>17</v>
      </c>
      <c r="G51" s="45">
        <v>1</v>
      </c>
      <c r="H51" s="23">
        <f t="shared" si="0"/>
        <v>306</v>
      </c>
      <c r="I51" s="23">
        <f t="shared" si="1"/>
        <v>17</v>
      </c>
    </row>
    <row r="52" spans="1:9" x14ac:dyDescent="0.25">
      <c r="A52" s="44">
        <v>46137</v>
      </c>
      <c r="B52" s="45" t="s">
        <v>186</v>
      </c>
      <c r="C52" s="45" t="s">
        <v>73</v>
      </c>
      <c r="D52" s="45" t="s">
        <v>89</v>
      </c>
      <c r="F52" s="45">
        <v>63</v>
      </c>
      <c r="G52" s="45">
        <v>2</v>
      </c>
      <c r="H52" s="23">
        <f t="shared" si="0"/>
        <v>1134</v>
      </c>
      <c r="I52" s="23">
        <f t="shared" si="1"/>
        <v>63</v>
      </c>
    </row>
    <row r="53" spans="1:9" x14ac:dyDescent="0.25">
      <c r="A53" s="44">
        <v>46137</v>
      </c>
      <c r="B53" s="45" t="s">
        <v>22</v>
      </c>
      <c r="C53" s="45" t="s">
        <v>72</v>
      </c>
      <c r="D53" s="45" t="s">
        <v>792</v>
      </c>
      <c r="F53" s="45">
        <v>203</v>
      </c>
      <c r="G53" s="45">
        <v>2</v>
      </c>
      <c r="H53" s="23">
        <f t="shared" si="0"/>
        <v>3654</v>
      </c>
      <c r="I53" s="23">
        <f t="shared" si="1"/>
        <v>203</v>
      </c>
    </row>
    <row r="54" spans="1:9" x14ac:dyDescent="0.25">
      <c r="A54" s="44">
        <v>46139</v>
      </c>
      <c r="B54" s="45" t="s">
        <v>186</v>
      </c>
      <c r="C54" s="45" t="s">
        <v>73</v>
      </c>
      <c r="D54" s="45" t="s">
        <v>89</v>
      </c>
      <c r="F54" s="45">
        <v>76</v>
      </c>
      <c r="G54" s="45">
        <v>1</v>
      </c>
      <c r="H54" s="23">
        <f t="shared" si="0"/>
        <v>1368</v>
      </c>
      <c r="I54" s="23">
        <f t="shared" si="1"/>
        <v>76</v>
      </c>
    </row>
    <row r="55" spans="1:9" x14ac:dyDescent="0.25">
      <c r="A55" s="44">
        <v>46140</v>
      </c>
      <c r="B55" s="45" t="s">
        <v>186</v>
      </c>
      <c r="C55" s="45" t="s">
        <v>73</v>
      </c>
      <c r="D55" s="45" t="s">
        <v>89</v>
      </c>
      <c r="F55" s="45">
        <v>84</v>
      </c>
      <c r="G55" s="45">
        <v>1</v>
      </c>
      <c r="H55" s="23">
        <f t="shared" si="0"/>
        <v>1512</v>
      </c>
      <c r="I55" s="23">
        <f t="shared" si="1"/>
        <v>84</v>
      </c>
    </row>
    <row r="56" spans="1:9" x14ac:dyDescent="0.25">
      <c r="A56" s="44">
        <v>46140</v>
      </c>
      <c r="B56" s="45" t="s">
        <v>186</v>
      </c>
      <c r="D56" s="45" t="s">
        <v>865</v>
      </c>
      <c r="F56" s="45">
        <v>10</v>
      </c>
      <c r="G56" s="45">
        <v>1</v>
      </c>
      <c r="H56" s="23">
        <f t="shared" si="0"/>
        <v>180</v>
      </c>
      <c r="I56" s="23">
        <f t="shared" si="1"/>
        <v>10</v>
      </c>
    </row>
    <row r="57" spans="1:9" x14ac:dyDescent="0.25">
      <c r="A57" s="44">
        <v>46141</v>
      </c>
      <c r="B57" s="45" t="s">
        <v>20</v>
      </c>
      <c r="C57" s="45" t="s">
        <v>68</v>
      </c>
      <c r="D57" s="45" t="s">
        <v>367</v>
      </c>
      <c r="E57" s="45">
        <v>19</v>
      </c>
      <c r="F57" s="45">
        <v>131</v>
      </c>
      <c r="G57" s="45">
        <v>1</v>
      </c>
      <c r="H57" s="23">
        <f t="shared" si="0"/>
        <v>2643</v>
      </c>
      <c r="I57" s="23">
        <f t="shared" si="1"/>
        <v>150</v>
      </c>
    </row>
    <row r="58" spans="1:9" x14ac:dyDescent="0.25">
      <c r="A58" s="44">
        <v>46141</v>
      </c>
      <c r="B58" s="45" t="s">
        <v>186</v>
      </c>
      <c r="C58" s="45" t="s">
        <v>73</v>
      </c>
      <c r="D58" s="45" t="s">
        <v>837</v>
      </c>
      <c r="F58" s="45">
        <v>61</v>
      </c>
      <c r="G58" s="45">
        <v>1</v>
      </c>
      <c r="H58" s="23">
        <f t="shared" si="0"/>
        <v>1098</v>
      </c>
      <c r="I58" s="23">
        <f t="shared" si="1"/>
        <v>61</v>
      </c>
    </row>
    <row r="59" spans="1:9" x14ac:dyDescent="0.25">
      <c r="A59" s="44">
        <v>46142</v>
      </c>
      <c r="B59" s="45" t="s">
        <v>20</v>
      </c>
      <c r="C59" s="45" t="s">
        <v>68</v>
      </c>
      <c r="D59" s="45" t="s">
        <v>367</v>
      </c>
      <c r="F59" s="45">
        <v>58</v>
      </c>
      <c r="G59" s="45">
        <v>1</v>
      </c>
      <c r="H59" s="23">
        <f t="shared" si="0"/>
        <v>1044</v>
      </c>
      <c r="I59" s="23">
        <f t="shared" si="1"/>
        <v>58</v>
      </c>
    </row>
    <row r="60" spans="1:9" x14ac:dyDescent="0.25">
      <c r="A60" s="44">
        <v>46142</v>
      </c>
      <c r="B60" s="45" t="s">
        <v>186</v>
      </c>
      <c r="C60" s="45" t="s">
        <v>73</v>
      </c>
      <c r="D60" s="45" t="s">
        <v>837</v>
      </c>
      <c r="E60" s="45">
        <v>133</v>
      </c>
      <c r="F60" s="45">
        <v>46</v>
      </c>
      <c r="G60" s="45">
        <v>1</v>
      </c>
      <c r="H60" s="23">
        <f t="shared" si="0"/>
        <v>2823</v>
      </c>
      <c r="I60" s="23">
        <f t="shared" si="1"/>
        <v>179</v>
      </c>
    </row>
    <row r="61" spans="1:9" x14ac:dyDescent="0.25">
      <c r="A61" s="44">
        <v>46145</v>
      </c>
      <c r="B61" s="45" t="s">
        <v>186</v>
      </c>
      <c r="C61" s="45" t="s">
        <v>73</v>
      </c>
      <c r="D61" s="45" t="s">
        <v>837</v>
      </c>
      <c r="E61" s="45">
        <v>11</v>
      </c>
      <c r="F61" s="45">
        <v>36</v>
      </c>
      <c r="G61" s="45">
        <v>1</v>
      </c>
      <c r="H61" s="23">
        <f t="shared" si="0"/>
        <v>813</v>
      </c>
      <c r="I61" s="23">
        <f t="shared" si="1"/>
        <v>47</v>
      </c>
    </row>
    <row r="62" spans="1:9" x14ac:dyDescent="0.25">
      <c r="A62" s="44">
        <v>46145</v>
      </c>
      <c r="B62" s="45" t="s">
        <v>20</v>
      </c>
      <c r="C62" s="45" t="s">
        <v>68</v>
      </c>
      <c r="D62" s="45" t="s">
        <v>367</v>
      </c>
      <c r="F62" s="45">
        <v>84</v>
      </c>
      <c r="G62" s="45">
        <v>1</v>
      </c>
      <c r="H62" s="23">
        <f t="shared" si="0"/>
        <v>1512</v>
      </c>
      <c r="I62" s="23">
        <f t="shared" si="1"/>
        <v>84</v>
      </c>
    </row>
    <row r="63" spans="1:9" x14ac:dyDescent="0.25">
      <c r="A63" s="44">
        <v>46146</v>
      </c>
      <c r="B63" s="45" t="s">
        <v>20</v>
      </c>
      <c r="C63" s="45" t="s">
        <v>68</v>
      </c>
      <c r="D63" s="45" t="s">
        <v>438</v>
      </c>
      <c r="F63" s="45">
        <v>178</v>
      </c>
      <c r="G63" s="45">
        <v>2</v>
      </c>
      <c r="H63" s="23">
        <f t="shared" si="0"/>
        <v>3204</v>
      </c>
      <c r="I63" s="23">
        <f t="shared" si="1"/>
        <v>178</v>
      </c>
    </row>
    <row r="64" spans="1:9" x14ac:dyDescent="0.25">
      <c r="A64" s="44">
        <v>46146</v>
      </c>
      <c r="B64" s="45" t="s">
        <v>186</v>
      </c>
      <c r="C64" s="45" t="s">
        <v>73</v>
      </c>
      <c r="D64" s="45" t="s">
        <v>837</v>
      </c>
      <c r="E64" s="45">
        <v>69</v>
      </c>
      <c r="F64" s="45">
        <v>46</v>
      </c>
      <c r="G64" s="45">
        <v>2</v>
      </c>
      <c r="H64" s="23">
        <f t="shared" si="0"/>
        <v>1863</v>
      </c>
      <c r="I64" s="23">
        <f t="shared" si="1"/>
        <v>115</v>
      </c>
    </row>
    <row r="65" spans="1:9" x14ac:dyDescent="0.25">
      <c r="A65" s="44">
        <v>46146</v>
      </c>
      <c r="B65" s="45" t="s">
        <v>22</v>
      </c>
      <c r="C65" s="45" t="s">
        <v>72</v>
      </c>
      <c r="D65" s="45" t="s">
        <v>889</v>
      </c>
      <c r="F65" s="45">
        <v>72</v>
      </c>
      <c r="G65" s="45">
        <v>2</v>
      </c>
      <c r="H65" s="23">
        <f t="shared" si="0"/>
        <v>1296</v>
      </c>
      <c r="I65" s="23">
        <f t="shared" si="1"/>
        <v>72</v>
      </c>
    </row>
    <row r="66" spans="1:9" x14ac:dyDescent="0.25">
      <c r="A66" s="44">
        <v>46147</v>
      </c>
      <c r="B66" s="45" t="s">
        <v>21</v>
      </c>
      <c r="C66" s="45" t="s">
        <v>70</v>
      </c>
      <c r="D66" s="45" t="s">
        <v>936</v>
      </c>
      <c r="F66" s="45">
        <v>114</v>
      </c>
      <c r="G66" s="45">
        <v>2</v>
      </c>
      <c r="H66" s="23">
        <f t="shared" si="0"/>
        <v>2052</v>
      </c>
      <c r="I66" s="23">
        <f t="shared" si="1"/>
        <v>114</v>
      </c>
    </row>
    <row r="67" spans="1:9" x14ac:dyDescent="0.25">
      <c r="A67" s="44">
        <v>46147</v>
      </c>
      <c r="B67" s="45" t="s">
        <v>186</v>
      </c>
      <c r="C67" s="45" t="s">
        <v>73</v>
      </c>
      <c r="D67" s="45" t="s">
        <v>837</v>
      </c>
      <c r="E67" s="45">
        <v>46</v>
      </c>
      <c r="F67" s="45">
        <v>37</v>
      </c>
      <c r="G67" s="45">
        <v>2</v>
      </c>
      <c r="H67" s="23">
        <f t="shared" ref="H67:H130" si="2">+E67*15+F67*18</f>
        <v>1356</v>
      </c>
      <c r="I67" s="23">
        <f t="shared" ref="I67:I130" si="3">+F67+E67</f>
        <v>83</v>
      </c>
    </row>
    <row r="68" spans="1:9" x14ac:dyDescent="0.25">
      <c r="A68" s="44">
        <v>46148</v>
      </c>
      <c r="B68" s="45" t="s">
        <v>186</v>
      </c>
      <c r="C68" s="45" t="s">
        <v>73</v>
      </c>
      <c r="D68" s="45" t="s">
        <v>837</v>
      </c>
      <c r="E68" s="45">
        <v>19</v>
      </c>
      <c r="F68" s="45">
        <v>22</v>
      </c>
      <c r="G68" s="45">
        <v>2</v>
      </c>
      <c r="H68" s="23">
        <f t="shared" si="2"/>
        <v>681</v>
      </c>
      <c r="I68" s="23">
        <f t="shared" si="3"/>
        <v>41</v>
      </c>
    </row>
    <row r="69" spans="1:9" x14ac:dyDescent="0.25">
      <c r="A69" s="44">
        <v>46149</v>
      </c>
      <c r="B69" s="45" t="s">
        <v>185</v>
      </c>
      <c r="C69" s="45" t="s">
        <v>48</v>
      </c>
      <c r="D69" s="45" t="s">
        <v>1189</v>
      </c>
      <c r="E69" s="45">
        <v>97</v>
      </c>
      <c r="F69" s="45">
        <v>156</v>
      </c>
      <c r="G69" s="45">
        <v>2</v>
      </c>
      <c r="H69" s="23">
        <f t="shared" si="2"/>
        <v>4263</v>
      </c>
      <c r="I69" s="23">
        <f t="shared" si="3"/>
        <v>253</v>
      </c>
    </row>
    <row r="70" spans="1:9" x14ac:dyDescent="0.25">
      <c r="A70" s="44">
        <v>46149</v>
      </c>
      <c r="B70" s="45" t="s">
        <v>22</v>
      </c>
      <c r="C70" s="45" t="s">
        <v>72</v>
      </c>
      <c r="D70" s="45" t="s">
        <v>889</v>
      </c>
      <c r="E70" s="45">
        <v>19</v>
      </c>
      <c r="F70" s="45">
        <v>57</v>
      </c>
      <c r="G70" s="45">
        <v>2</v>
      </c>
      <c r="H70" s="23">
        <f t="shared" si="2"/>
        <v>1311</v>
      </c>
      <c r="I70" s="23">
        <f t="shared" si="3"/>
        <v>76</v>
      </c>
    </row>
    <row r="71" spans="1:9" x14ac:dyDescent="0.25">
      <c r="A71" s="44">
        <v>46150</v>
      </c>
      <c r="B71" s="45" t="s">
        <v>185</v>
      </c>
      <c r="C71" s="45" t="s">
        <v>48</v>
      </c>
      <c r="D71" s="45" t="s">
        <v>1195</v>
      </c>
      <c r="F71" s="45">
        <v>28</v>
      </c>
      <c r="G71" s="45">
        <v>1</v>
      </c>
      <c r="H71" s="23">
        <f t="shared" si="2"/>
        <v>504</v>
      </c>
      <c r="I71" s="23">
        <f t="shared" si="3"/>
        <v>28</v>
      </c>
    </row>
    <row r="72" spans="1:9" x14ac:dyDescent="0.25">
      <c r="A72" s="44">
        <v>46150</v>
      </c>
      <c r="B72" s="45" t="s">
        <v>185</v>
      </c>
      <c r="C72" s="45" t="s">
        <v>48</v>
      </c>
      <c r="D72" s="45" t="s">
        <v>1265</v>
      </c>
      <c r="E72" s="45">
        <v>68</v>
      </c>
      <c r="F72" s="45">
        <v>169</v>
      </c>
      <c r="G72" s="45">
        <v>2</v>
      </c>
      <c r="H72" s="23">
        <f t="shared" si="2"/>
        <v>4062</v>
      </c>
      <c r="I72" s="23">
        <f t="shared" si="3"/>
        <v>237</v>
      </c>
    </row>
    <row r="73" spans="1:9" x14ac:dyDescent="0.25">
      <c r="A73" s="44">
        <v>46150</v>
      </c>
      <c r="B73" s="45" t="s">
        <v>186</v>
      </c>
      <c r="C73" s="45" t="s">
        <v>73</v>
      </c>
      <c r="D73" s="45" t="s">
        <v>837</v>
      </c>
      <c r="E73" s="45">
        <v>6</v>
      </c>
      <c r="F73" s="45">
        <v>9</v>
      </c>
      <c r="G73" s="45">
        <v>2</v>
      </c>
      <c r="H73" s="23">
        <f t="shared" si="2"/>
        <v>252</v>
      </c>
      <c r="I73" s="23">
        <f t="shared" si="3"/>
        <v>15</v>
      </c>
    </row>
    <row r="74" spans="1:9" x14ac:dyDescent="0.25">
      <c r="A74" s="44">
        <v>46150</v>
      </c>
      <c r="B74" s="45" t="s">
        <v>22</v>
      </c>
      <c r="C74" s="45" t="s">
        <v>72</v>
      </c>
      <c r="D74" s="45" t="s">
        <v>889</v>
      </c>
      <c r="F74" s="45">
        <v>23</v>
      </c>
      <c r="G74" s="45">
        <v>2</v>
      </c>
      <c r="H74" s="23">
        <f t="shared" si="2"/>
        <v>414</v>
      </c>
      <c r="I74" s="23">
        <f t="shared" si="3"/>
        <v>23</v>
      </c>
    </row>
    <row r="75" spans="1:9" x14ac:dyDescent="0.25">
      <c r="A75" s="44">
        <v>46151</v>
      </c>
      <c r="B75" s="45" t="s">
        <v>20</v>
      </c>
      <c r="C75" s="45" t="s">
        <v>68</v>
      </c>
      <c r="D75" s="45" t="s">
        <v>438</v>
      </c>
      <c r="F75" s="45">
        <v>9</v>
      </c>
      <c r="G75" s="45">
        <v>1</v>
      </c>
      <c r="H75" s="23">
        <f t="shared" si="2"/>
        <v>162</v>
      </c>
      <c r="I75" s="23">
        <f t="shared" si="3"/>
        <v>9</v>
      </c>
    </row>
    <row r="76" spans="1:9" x14ac:dyDescent="0.25">
      <c r="A76" s="44">
        <v>46151</v>
      </c>
      <c r="B76" s="45" t="s">
        <v>185</v>
      </c>
      <c r="C76" s="45" t="s">
        <v>48</v>
      </c>
      <c r="D76" s="45" t="s">
        <v>1180</v>
      </c>
      <c r="E76" s="45">
        <v>39</v>
      </c>
      <c r="G76" s="45">
        <v>2</v>
      </c>
      <c r="H76" s="23">
        <f t="shared" si="2"/>
        <v>585</v>
      </c>
      <c r="I76" s="23">
        <f t="shared" si="3"/>
        <v>39</v>
      </c>
    </row>
    <row r="77" spans="1:9" x14ac:dyDescent="0.25">
      <c r="A77" s="44">
        <v>46151</v>
      </c>
      <c r="B77" s="45" t="s">
        <v>21</v>
      </c>
      <c r="C77" s="45" t="s">
        <v>70</v>
      </c>
      <c r="D77" s="45" t="s">
        <v>960</v>
      </c>
      <c r="F77" s="45">
        <v>20</v>
      </c>
      <c r="G77" s="45">
        <v>2</v>
      </c>
      <c r="H77" s="23">
        <f t="shared" si="2"/>
        <v>360</v>
      </c>
      <c r="I77" s="23">
        <f t="shared" si="3"/>
        <v>20</v>
      </c>
    </row>
    <row r="78" spans="1:9" x14ac:dyDescent="0.25">
      <c r="H78" s="23">
        <f t="shared" si="2"/>
        <v>0</v>
      </c>
      <c r="I78" s="23">
        <f t="shared" si="3"/>
        <v>0</v>
      </c>
    </row>
    <row r="79" spans="1:9" x14ac:dyDescent="0.25">
      <c r="H79" s="23">
        <f t="shared" si="2"/>
        <v>0</v>
      </c>
      <c r="I79" s="23">
        <f t="shared" si="3"/>
        <v>0</v>
      </c>
    </row>
    <row r="80" spans="1:9" x14ac:dyDescent="0.25">
      <c r="H80" s="23">
        <f t="shared" si="2"/>
        <v>0</v>
      </c>
      <c r="I80" s="23">
        <f t="shared" si="3"/>
        <v>0</v>
      </c>
    </row>
    <row r="81" spans="8:9" x14ac:dyDescent="0.25">
      <c r="H81" s="23">
        <f t="shared" si="2"/>
        <v>0</v>
      </c>
      <c r="I81" s="23">
        <f t="shared" si="3"/>
        <v>0</v>
      </c>
    </row>
    <row r="82" spans="8:9" x14ac:dyDescent="0.25">
      <c r="H82" s="23">
        <f t="shared" si="2"/>
        <v>0</v>
      </c>
      <c r="I82" s="23">
        <f t="shared" si="3"/>
        <v>0</v>
      </c>
    </row>
    <row r="83" spans="8:9" x14ac:dyDescent="0.25">
      <c r="H83" s="23">
        <f t="shared" si="2"/>
        <v>0</v>
      </c>
      <c r="I83" s="23">
        <f t="shared" si="3"/>
        <v>0</v>
      </c>
    </row>
    <row r="84" spans="8:9" x14ac:dyDescent="0.25">
      <c r="H84" s="23">
        <f t="shared" si="2"/>
        <v>0</v>
      </c>
      <c r="I84" s="23">
        <f t="shared" si="3"/>
        <v>0</v>
      </c>
    </row>
    <row r="85" spans="8:9" x14ac:dyDescent="0.25">
      <c r="H85" s="23">
        <f t="shared" si="2"/>
        <v>0</v>
      </c>
      <c r="I85" s="23">
        <f t="shared" si="3"/>
        <v>0</v>
      </c>
    </row>
    <row r="86" spans="8:9" x14ac:dyDescent="0.25">
      <c r="H86" s="23">
        <f t="shared" si="2"/>
        <v>0</v>
      </c>
      <c r="I86" s="23">
        <f t="shared" si="3"/>
        <v>0</v>
      </c>
    </row>
    <row r="87" spans="8:9" x14ac:dyDescent="0.25">
      <c r="H87" s="23">
        <f t="shared" si="2"/>
        <v>0</v>
      </c>
      <c r="I87" s="23">
        <f t="shared" si="3"/>
        <v>0</v>
      </c>
    </row>
    <row r="88" spans="8:9" x14ac:dyDescent="0.25">
      <c r="H88" s="23">
        <f t="shared" si="2"/>
        <v>0</v>
      </c>
      <c r="I88" s="23">
        <f t="shared" si="3"/>
        <v>0</v>
      </c>
    </row>
    <row r="89" spans="8:9" x14ac:dyDescent="0.25">
      <c r="H89" s="23">
        <f t="shared" si="2"/>
        <v>0</v>
      </c>
      <c r="I89" s="23">
        <f t="shared" si="3"/>
        <v>0</v>
      </c>
    </row>
    <row r="90" spans="8:9" x14ac:dyDescent="0.25">
      <c r="H90" s="23">
        <f t="shared" si="2"/>
        <v>0</v>
      </c>
      <c r="I90" s="23">
        <f t="shared" si="3"/>
        <v>0</v>
      </c>
    </row>
    <row r="91" spans="8:9" x14ac:dyDescent="0.25">
      <c r="H91" s="23">
        <f t="shared" si="2"/>
        <v>0</v>
      </c>
      <c r="I91" s="23">
        <f t="shared" si="3"/>
        <v>0</v>
      </c>
    </row>
    <row r="92" spans="8:9" x14ac:dyDescent="0.25">
      <c r="H92" s="23">
        <f t="shared" si="2"/>
        <v>0</v>
      </c>
      <c r="I92" s="23">
        <f t="shared" si="3"/>
        <v>0</v>
      </c>
    </row>
    <row r="93" spans="8:9" x14ac:dyDescent="0.25">
      <c r="H93" s="23">
        <f t="shared" si="2"/>
        <v>0</v>
      </c>
      <c r="I93" s="23">
        <f t="shared" si="3"/>
        <v>0</v>
      </c>
    </row>
    <row r="94" spans="8:9" x14ac:dyDescent="0.25">
      <c r="H94" s="23">
        <f t="shared" si="2"/>
        <v>0</v>
      </c>
      <c r="I94" s="23">
        <f t="shared" si="3"/>
        <v>0</v>
      </c>
    </row>
    <row r="95" spans="8:9" x14ac:dyDescent="0.25">
      <c r="H95" s="23">
        <f t="shared" si="2"/>
        <v>0</v>
      </c>
      <c r="I95" s="23">
        <f t="shared" si="3"/>
        <v>0</v>
      </c>
    </row>
    <row r="96" spans="8:9" x14ac:dyDescent="0.25">
      <c r="H96" s="23">
        <f t="shared" si="2"/>
        <v>0</v>
      </c>
      <c r="I96" s="23">
        <f t="shared" si="3"/>
        <v>0</v>
      </c>
    </row>
    <row r="97" spans="8:9" x14ac:dyDescent="0.25">
      <c r="H97" s="23">
        <f t="shared" si="2"/>
        <v>0</v>
      </c>
      <c r="I97" s="23">
        <f t="shared" si="3"/>
        <v>0</v>
      </c>
    </row>
    <row r="98" spans="8:9" x14ac:dyDescent="0.25">
      <c r="H98" s="23">
        <f t="shared" si="2"/>
        <v>0</v>
      </c>
      <c r="I98" s="23">
        <f t="shared" si="3"/>
        <v>0</v>
      </c>
    </row>
    <row r="99" spans="8:9" x14ac:dyDescent="0.25">
      <c r="H99" s="23">
        <f t="shared" si="2"/>
        <v>0</v>
      </c>
      <c r="I99" s="23">
        <f t="shared" si="3"/>
        <v>0</v>
      </c>
    </row>
    <row r="100" spans="8:9" x14ac:dyDescent="0.25">
      <c r="H100" s="23">
        <f t="shared" si="2"/>
        <v>0</v>
      </c>
      <c r="I100" s="23">
        <f t="shared" si="3"/>
        <v>0</v>
      </c>
    </row>
    <row r="101" spans="8:9" x14ac:dyDescent="0.25">
      <c r="H101" s="23">
        <f t="shared" si="2"/>
        <v>0</v>
      </c>
      <c r="I101" s="23">
        <f t="shared" si="3"/>
        <v>0</v>
      </c>
    </row>
    <row r="102" spans="8:9" x14ac:dyDescent="0.25">
      <c r="H102" s="23">
        <f t="shared" si="2"/>
        <v>0</v>
      </c>
      <c r="I102" s="23">
        <f t="shared" si="3"/>
        <v>0</v>
      </c>
    </row>
    <row r="103" spans="8:9" x14ac:dyDescent="0.25">
      <c r="H103" s="23">
        <f t="shared" si="2"/>
        <v>0</v>
      </c>
      <c r="I103" s="23">
        <f t="shared" si="3"/>
        <v>0</v>
      </c>
    </row>
    <row r="104" spans="8:9" x14ac:dyDescent="0.25">
      <c r="H104" s="23">
        <f t="shared" si="2"/>
        <v>0</v>
      </c>
      <c r="I104" s="23">
        <f t="shared" si="3"/>
        <v>0</v>
      </c>
    </row>
    <row r="105" spans="8:9" x14ac:dyDescent="0.25">
      <c r="H105" s="23">
        <f t="shared" si="2"/>
        <v>0</v>
      </c>
      <c r="I105" s="23">
        <f t="shared" si="3"/>
        <v>0</v>
      </c>
    </row>
    <row r="106" spans="8:9" x14ac:dyDescent="0.25">
      <c r="H106" s="23">
        <f t="shared" si="2"/>
        <v>0</v>
      </c>
      <c r="I106" s="23">
        <f t="shared" si="3"/>
        <v>0</v>
      </c>
    </row>
    <row r="107" spans="8:9" x14ac:dyDescent="0.25">
      <c r="H107" s="23">
        <f t="shared" si="2"/>
        <v>0</v>
      </c>
      <c r="I107" s="23">
        <f t="shared" si="3"/>
        <v>0</v>
      </c>
    </row>
    <row r="108" spans="8:9" x14ac:dyDescent="0.25">
      <c r="H108" s="23">
        <f t="shared" si="2"/>
        <v>0</v>
      </c>
      <c r="I108" s="23">
        <f t="shared" si="3"/>
        <v>0</v>
      </c>
    </row>
    <row r="109" spans="8:9" x14ac:dyDescent="0.25">
      <c r="H109" s="23">
        <f t="shared" si="2"/>
        <v>0</v>
      </c>
      <c r="I109" s="23">
        <f t="shared" si="3"/>
        <v>0</v>
      </c>
    </row>
    <row r="110" spans="8:9" x14ac:dyDescent="0.25">
      <c r="H110" s="23">
        <f t="shared" si="2"/>
        <v>0</v>
      </c>
      <c r="I110" s="23">
        <f t="shared" si="3"/>
        <v>0</v>
      </c>
    </row>
    <row r="111" spans="8:9" x14ac:dyDescent="0.25">
      <c r="H111" s="23">
        <f t="shared" si="2"/>
        <v>0</v>
      </c>
      <c r="I111" s="23">
        <f t="shared" si="3"/>
        <v>0</v>
      </c>
    </row>
    <row r="112" spans="8:9" x14ac:dyDescent="0.25">
      <c r="H112" s="23">
        <f t="shared" si="2"/>
        <v>0</v>
      </c>
      <c r="I112" s="23">
        <f t="shared" si="3"/>
        <v>0</v>
      </c>
    </row>
    <row r="113" spans="8:9" x14ac:dyDescent="0.25">
      <c r="H113" s="23">
        <f t="shared" si="2"/>
        <v>0</v>
      </c>
      <c r="I113" s="23">
        <f t="shared" si="3"/>
        <v>0</v>
      </c>
    </row>
    <row r="114" spans="8:9" x14ac:dyDescent="0.25">
      <c r="H114" s="23">
        <f t="shared" si="2"/>
        <v>0</v>
      </c>
      <c r="I114" s="23">
        <f t="shared" si="3"/>
        <v>0</v>
      </c>
    </row>
    <row r="115" spans="8:9" x14ac:dyDescent="0.25">
      <c r="H115" s="23">
        <f t="shared" si="2"/>
        <v>0</v>
      </c>
      <c r="I115" s="23">
        <f t="shared" si="3"/>
        <v>0</v>
      </c>
    </row>
    <row r="116" spans="8:9" x14ac:dyDescent="0.25">
      <c r="H116" s="23">
        <f t="shared" si="2"/>
        <v>0</v>
      </c>
      <c r="I116" s="23">
        <f t="shared" si="3"/>
        <v>0</v>
      </c>
    </row>
    <row r="117" spans="8:9" x14ac:dyDescent="0.25">
      <c r="H117" s="23">
        <f t="shared" si="2"/>
        <v>0</v>
      </c>
      <c r="I117" s="23">
        <f t="shared" si="3"/>
        <v>0</v>
      </c>
    </row>
    <row r="118" spans="8:9" x14ac:dyDescent="0.25">
      <c r="H118" s="23">
        <f t="shared" si="2"/>
        <v>0</v>
      </c>
      <c r="I118" s="23">
        <f t="shared" si="3"/>
        <v>0</v>
      </c>
    </row>
    <row r="119" spans="8:9" x14ac:dyDescent="0.25">
      <c r="H119" s="23">
        <f t="shared" si="2"/>
        <v>0</v>
      </c>
      <c r="I119" s="23">
        <f t="shared" si="3"/>
        <v>0</v>
      </c>
    </row>
    <row r="120" spans="8:9" x14ac:dyDescent="0.25">
      <c r="H120" s="23">
        <f t="shared" si="2"/>
        <v>0</v>
      </c>
      <c r="I120" s="23">
        <f t="shared" si="3"/>
        <v>0</v>
      </c>
    </row>
    <row r="121" spans="8:9" x14ac:dyDescent="0.25">
      <c r="H121" s="23">
        <f t="shared" si="2"/>
        <v>0</v>
      </c>
      <c r="I121" s="23">
        <f t="shared" si="3"/>
        <v>0</v>
      </c>
    </row>
    <row r="122" spans="8:9" x14ac:dyDescent="0.25">
      <c r="H122" s="23">
        <f t="shared" si="2"/>
        <v>0</v>
      </c>
      <c r="I122" s="23">
        <f t="shared" si="3"/>
        <v>0</v>
      </c>
    </row>
    <row r="123" spans="8:9" x14ac:dyDescent="0.25">
      <c r="H123" s="23">
        <f t="shared" si="2"/>
        <v>0</v>
      </c>
      <c r="I123" s="23">
        <f t="shared" si="3"/>
        <v>0</v>
      </c>
    </row>
    <row r="124" spans="8:9" x14ac:dyDescent="0.25">
      <c r="H124" s="23">
        <f t="shared" si="2"/>
        <v>0</v>
      </c>
      <c r="I124" s="23">
        <f t="shared" si="3"/>
        <v>0</v>
      </c>
    </row>
    <row r="125" spans="8:9" x14ac:dyDescent="0.25">
      <c r="H125" s="23">
        <f t="shared" si="2"/>
        <v>0</v>
      </c>
      <c r="I125" s="23">
        <f t="shared" si="3"/>
        <v>0</v>
      </c>
    </row>
    <row r="126" spans="8:9" x14ac:dyDescent="0.25">
      <c r="H126" s="23">
        <f t="shared" si="2"/>
        <v>0</v>
      </c>
      <c r="I126" s="23">
        <f t="shared" si="3"/>
        <v>0</v>
      </c>
    </row>
    <row r="127" spans="8:9" x14ac:dyDescent="0.25">
      <c r="H127" s="23">
        <f t="shared" si="2"/>
        <v>0</v>
      </c>
      <c r="I127" s="23">
        <f t="shared" si="3"/>
        <v>0</v>
      </c>
    </row>
    <row r="128" spans="8:9" x14ac:dyDescent="0.25">
      <c r="H128" s="23">
        <f t="shared" si="2"/>
        <v>0</v>
      </c>
      <c r="I128" s="23">
        <f t="shared" si="3"/>
        <v>0</v>
      </c>
    </row>
    <row r="129" spans="8:9" x14ac:dyDescent="0.25">
      <c r="H129" s="23">
        <f t="shared" si="2"/>
        <v>0</v>
      </c>
      <c r="I129" s="23">
        <f t="shared" si="3"/>
        <v>0</v>
      </c>
    </row>
    <row r="130" spans="8:9" x14ac:dyDescent="0.25">
      <c r="H130" s="23">
        <f t="shared" si="2"/>
        <v>0</v>
      </c>
      <c r="I130" s="23">
        <f t="shared" si="3"/>
        <v>0</v>
      </c>
    </row>
    <row r="131" spans="8:9" x14ac:dyDescent="0.25">
      <c r="H131" s="23">
        <f t="shared" ref="H131:H194" si="4">+E131*15+F131*18</f>
        <v>0</v>
      </c>
      <c r="I131" s="23">
        <f t="shared" ref="I131:I194" si="5">+F131+E131</f>
        <v>0</v>
      </c>
    </row>
    <row r="132" spans="8:9" x14ac:dyDescent="0.25">
      <c r="H132" s="23">
        <f t="shared" si="4"/>
        <v>0</v>
      </c>
      <c r="I132" s="23">
        <f t="shared" si="5"/>
        <v>0</v>
      </c>
    </row>
    <row r="133" spans="8:9" x14ac:dyDescent="0.25">
      <c r="H133" s="23">
        <f t="shared" si="4"/>
        <v>0</v>
      </c>
      <c r="I133" s="23">
        <f t="shared" si="5"/>
        <v>0</v>
      </c>
    </row>
    <row r="134" spans="8:9" x14ac:dyDescent="0.25">
      <c r="H134" s="23">
        <f t="shared" si="4"/>
        <v>0</v>
      </c>
      <c r="I134" s="23">
        <f t="shared" si="5"/>
        <v>0</v>
      </c>
    </row>
    <row r="135" spans="8:9" x14ac:dyDescent="0.25">
      <c r="H135" s="23">
        <f t="shared" si="4"/>
        <v>0</v>
      </c>
      <c r="I135" s="23">
        <f t="shared" si="5"/>
        <v>0</v>
      </c>
    </row>
    <row r="136" spans="8:9" x14ac:dyDescent="0.25">
      <c r="H136" s="23">
        <f t="shared" si="4"/>
        <v>0</v>
      </c>
      <c r="I136" s="23">
        <f t="shared" si="5"/>
        <v>0</v>
      </c>
    </row>
    <row r="137" spans="8:9" x14ac:dyDescent="0.25">
      <c r="H137" s="23">
        <f t="shared" si="4"/>
        <v>0</v>
      </c>
      <c r="I137" s="23">
        <f t="shared" si="5"/>
        <v>0</v>
      </c>
    </row>
    <row r="138" spans="8:9" x14ac:dyDescent="0.25">
      <c r="H138" s="23">
        <f t="shared" si="4"/>
        <v>0</v>
      </c>
      <c r="I138" s="23">
        <f t="shared" si="5"/>
        <v>0</v>
      </c>
    </row>
    <row r="139" spans="8:9" x14ac:dyDescent="0.25">
      <c r="H139" s="23">
        <f t="shared" si="4"/>
        <v>0</v>
      </c>
      <c r="I139" s="23">
        <f t="shared" si="5"/>
        <v>0</v>
      </c>
    </row>
    <row r="140" spans="8:9" x14ac:dyDescent="0.25">
      <c r="H140" s="23">
        <f t="shared" si="4"/>
        <v>0</v>
      </c>
      <c r="I140" s="23">
        <f t="shared" si="5"/>
        <v>0</v>
      </c>
    </row>
    <row r="141" spans="8:9" x14ac:dyDescent="0.25">
      <c r="H141" s="23">
        <f t="shared" si="4"/>
        <v>0</v>
      </c>
      <c r="I141" s="23">
        <f t="shared" si="5"/>
        <v>0</v>
      </c>
    </row>
    <row r="142" spans="8:9" x14ac:dyDescent="0.25">
      <c r="H142" s="23">
        <f t="shared" si="4"/>
        <v>0</v>
      </c>
      <c r="I142" s="23">
        <f t="shared" si="5"/>
        <v>0</v>
      </c>
    </row>
    <row r="143" spans="8:9" x14ac:dyDescent="0.25">
      <c r="H143" s="23">
        <f t="shared" si="4"/>
        <v>0</v>
      </c>
      <c r="I143" s="23">
        <f t="shared" si="5"/>
        <v>0</v>
      </c>
    </row>
    <row r="144" spans="8:9" x14ac:dyDescent="0.25">
      <c r="H144" s="23">
        <f t="shared" si="4"/>
        <v>0</v>
      </c>
      <c r="I144" s="23">
        <f t="shared" si="5"/>
        <v>0</v>
      </c>
    </row>
    <row r="145" spans="8:9" x14ac:dyDescent="0.25">
      <c r="H145" s="23">
        <f t="shared" si="4"/>
        <v>0</v>
      </c>
      <c r="I145" s="23">
        <f t="shared" si="5"/>
        <v>0</v>
      </c>
    </row>
    <row r="146" spans="8:9" x14ac:dyDescent="0.25">
      <c r="H146" s="23">
        <f t="shared" si="4"/>
        <v>0</v>
      </c>
      <c r="I146" s="23">
        <f t="shared" si="5"/>
        <v>0</v>
      </c>
    </row>
    <row r="147" spans="8:9" x14ac:dyDescent="0.25">
      <c r="H147" s="23">
        <f t="shared" si="4"/>
        <v>0</v>
      </c>
      <c r="I147" s="23">
        <f t="shared" si="5"/>
        <v>0</v>
      </c>
    </row>
    <row r="148" spans="8:9" x14ac:dyDescent="0.25">
      <c r="H148" s="23">
        <f t="shared" si="4"/>
        <v>0</v>
      </c>
      <c r="I148" s="23">
        <f t="shared" si="5"/>
        <v>0</v>
      </c>
    </row>
    <row r="149" spans="8:9" x14ac:dyDescent="0.25">
      <c r="H149" s="23">
        <f t="shared" si="4"/>
        <v>0</v>
      </c>
      <c r="I149" s="23">
        <f t="shared" si="5"/>
        <v>0</v>
      </c>
    </row>
    <row r="150" spans="8:9" x14ac:dyDescent="0.25">
      <c r="H150" s="23">
        <f t="shared" si="4"/>
        <v>0</v>
      </c>
      <c r="I150" s="23">
        <f t="shared" si="5"/>
        <v>0</v>
      </c>
    </row>
    <row r="151" spans="8:9" x14ac:dyDescent="0.25">
      <c r="H151" s="23">
        <f t="shared" si="4"/>
        <v>0</v>
      </c>
      <c r="I151" s="23">
        <f t="shared" si="5"/>
        <v>0</v>
      </c>
    </row>
    <row r="152" spans="8:9" x14ac:dyDescent="0.25">
      <c r="H152" s="23">
        <f t="shared" si="4"/>
        <v>0</v>
      </c>
      <c r="I152" s="23">
        <f t="shared" si="5"/>
        <v>0</v>
      </c>
    </row>
    <row r="153" spans="8:9" x14ac:dyDescent="0.25">
      <c r="H153" s="23">
        <f t="shared" si="4"/>
        <v>0</v>
      </c>
      <c r="I153" s="23">
        <f t="shared" si="5"/>
        <v>0</v>
      </c>
    </row>
    <row r="154" spans="8:9" x14ac:dyDescent="0.25">
      <c r="H154" s="23">
        <f t="shared" si="4"/>
        <v>0</v>
      </c>
      <c r="I154" s="23">
        <f t="shared" si="5"/>
        <v>0</v>
      </c>
    </row>
    <row r="155" spans="8:9" x14ac:dyDescent="0.25">
      <c r="H155" s="23">
        <f t="shared" si="4"/>
        <v>0</v>
      </c>
      <c r="I155" s="23">
        <f t="shared" si="5"/>
        <v>0</v>
      </c>
    </row>
    <row r="156" spans="8:9" x14ac:dyDescent="0.25">
      <c r="H156" s="23">
        <f t="shared" si="4"/>
        <v>0</v>
      </c>
      <c r="I156" s="23">
        <f t="shared" si="5"/>
        <v>0</v>
      </c>
    </row>
    <row r="157" spans="8:9" x14ac:dyDescent="0.25">
      <c r="H157" s="23">
        <f t="shared" si="4"/>
        <v>0</v>
      </c>
      <c r="I157" s="23">
        <f t="shared" si="5"/>
        <v>0</v>
      </c>
    </row>
    <row r="158" spans="8:9" x14ac:dyDescent="0.25">
      <c r="H158" s="23">
        <f t="shared" si="4"/>
        <v>0</v>
      </c>
      <c r="I158" s="23">
        <f t="shared" si="5"/>
        <v>0</v>
      </c>
    </row>
    <row r="159" spans="8:9" x14ac:dyDescent="0.25">
      <c r="H159" s="23">
        <f t="shared" si="4"/>
        <v>0</v>
      </c>
      <c r="I159" s="23">
        <f t="shared" si="5"/>
        <v>0</v>
      </c>
    </row>
    <row r="160" spans="8:9" x14ac:dyDescent="0.25">
      <c r="H160" s="23">
        <f t="shared" si="4"/>
        <v>0</v>
      </c>
      <c r="I160" s="23">
        <f t="shared" si="5"/>
        <v>0</v>
      </c>
    </row>
    <row r="161" spans="8:9" x14ac:dyDescent="0.25">
      <c r="H161" s="23">
        <f t="shared" si="4"/>
        <v>0</v>
      </c>
      <c r="I161" s="23">
        <f t="shared" si="5"/>
        <v>0</v>
      </c>
    </row>
    <row r="162" spans="8:9" x14ac:dyDescent="0.25">
      <c r="H162" s="23">
        <f t="shared" si="4"/>
        <v>0</v>
      </c>
      <c r="I162" s="23">
        <f t="shared" si="5"/>
        <v>0</v>
      </c>
    </row>
    <row r="163" spans="8:9" x14ac:dyDescent="0.25">
      <c r="H163" s="23">
        <f t="shared" si="4"/>
        <v>0</v>
      </c>
      <c r="I163" s="23">
        <f t="shared" si="5"/>
        <v>0</v>
      </c>
    </row>
    <row r="164" spans="8:9" x14ac:dyDescent="0.25">
      <c r="H164" s="23">
        <f t="shared" si="4"/>
        <v>0</v>
      </c>
      <c r="I164" s="23">
        <f t="shared" si="5"/>
        <v>0</v>
      </c>
    </row>
    <row r="165" spans="8:9" x14ac:dyDescent="0.25">
      <c r="H165" s="23">
        <f t="shared" si="4"/>
        <v>0</v>
      </c>
      <c r="I165" s="23">
        <f t="shared" si="5"/>
        <v>0</v>
      </c>
    </row>
    <row r="166" spans="8:9" x14ac:dyDescent="0.25">
      <c r="H166" s="23">
        <f t="shared" si="4"/>
        <v>0</v>
      </c>
      <c r="I166" s="23">
        <f t="shared" si="5"/>
        <v>0</v>
      </c>
    </row>
    <row r="167" spans="8:9" x14ac:dyDescent="0.25">
      <c r="H167" s="23">
        <f t="shared" si="4"/>
        <v>0</v>
      </c>
      <c r="I167" s="23">
        <f t="shared" si="5"/>
        <v>0</v>
      </c>
    </row>
    <row r="168" spans="8:9" x14ac:dyDescent="0.25">
      <c r="H168" s="23">
        <f t="shared" si="4"/>
        <v>0</v>
      </c>
      <c r="I168" s="23">
        <f t="shared" si="5"/>
        <v>0</v>
      </c>
    </row>
    <row r="169" spans="8:9" x14ac:dyDescent="0.25">
      <c r="H169" s="23">
        <f t="shared" si="4"/>
        <v>0</v>
      </c>
      <c r="I169" s="23">
        <f t="shared" si="5"/>
        <v>0</v>
      </c>
    </row>
    <row r="170" spans="8:9" x14ac:dyDescent="0.25">
      <c r="H170" s="23">
        <f t="shared" si="4"/>
        <v>0</v>
      </c>
      <c r="I170" s="23">
        <f t="shared" si="5"/>
        <v>0</v>
      </c>
    </row>
    <row r="171" spans="8:9" x14ac:dyDescent="0.25">
      <c r="H171" s="23">
        <f t="shared" si="4"/>
        <v>0</v>
      </c>
      <c r="I171" s="23">
        <f t="shared" si="5"/>
        <v>0</v>
      </c>
    </row>
    <row r="172" spans="8:9" x14ac:dyDescent="0.25">
      <c r="H172" s="23">
        <f t="shared" si="4"/>
        <v>0</v>
      </c>
      <c r="I172" s="23">
        <f t="shared" si="5"/>
        <v>0</v>
      </c>
    </row>
    <row r="173" spans="8:9" x14ac:dyDescent="0.25">
      <c r="H173" s="23">
        <f t="shared" si="4"/>
        <v>0</v>
      </c>
      <c r="I173" s="23">
        <f t="shared" si="5"/>
        <v>0</v>
      </c>
    </row>
    <row r="174" spans="8:9" x14ac:dyDescent="0.25">
      <c r="H174" s="23">
        <f t="shared" si="4"/>
        <v>0</v>
      </c>
      <c r="I174" s="23">
        <f t="shared" si="5"/>
        <v>0</v>
      </c>
    </row>
    <row r="175" spans="8:9" x14ac:dyDescent="0.25">
      <c r="H175" s="23">
        <f t="shared" si="4"/>
        <v>0</v>
      </c>
      <c r="I175" s="23">
        <f t="shared" si="5"/>
        <v>0</v>
      </c>
    </row>
    <row r="176" spans="8:9" x14ac:dyDescent="0.25">
      <c r="H176" s="23">
        <f t="shared" si="4"/>
        <v>0</v>
      </c>
      <c r="I176" s="23">
        <f t="shared" si="5"/>
        <v>0</v>
      </c>
    </row>
    <row r="177" spans="8:9" x14ac:dyDescent="0.25">
      <c r="H177" s="23">
        <f t="shared" si="4"/>
        <v>0</v>
      </c>
      <c r="I177" s="23">
        <f t="shared" si="5"/>
        <v>0</v>
      </c>
    </row>
    <row r="178" spans="8:9" x14ac:dyDescent="0.25">
      <c r="H178" s="23">
        <f t="shared" si="4"/>
        <v>0</v>
      </c>
      <c r="I178" s="23">
        <f t="shared" si="5"/>
        <v>0</v>
      </c>
    </row>
    <row r="179" spans="8:9" x14ac:dyDescent="0.25">
      <c r="H179" s="23">
        <f t="shared" si="4"/>
        <v>0</v>
      </c>
      <c r="I179" s="23">
        <f t="shared" si="5"/>
        <v>0</v>
      </c>
    </row>
    <row r="180" spans="8:9" x14ac:dyDescent="0.25">
      <c r="H180" s="23">
        <f t="shared" si="4"/>
        <v>0</v>
      </c>
      <c r="I180" s="23">
        <f t="shared" si="5"/>
        <v>0</v>
      </c>
    </row>
    <row r="181" spans="8:9" x14ac:dyDescent="0.25">
      <c r="H181" s="23">
        <f t="shared" si="4"/>
        <v>0</v>
      </c>
      <c r="I181" s="23">
        <f t="shared" si="5"/>
        <v>0</v>
      </c>
    </row>
    <row r="182" spans="8:9" x14ac:dyDescent="0.25">
      <c r="H182" s="23">
        <f t="shared" si="4"/>
        <v>0</v>
      </c>
      <c r="I182" s="23">
        <f t="shared" si="5"/>
        <v>0</v>
      </c>
    </row>
    <row r="183" spans="8:9" x14ac:dyDescent="0.25">
      <c r="H183" s="23">
        <f t="shared" si="4"/>
        <v>0</v>
      </c>
      <c r="I183" s="23">
        <f t="shared" si="5"/>
        <v>0</v>
      </c>
    </row>
    <row r="184" spans="8:9" x14ac:dyDescent="0.25">
      <c r="H184" s="23">
        <f t="shared" si="4"/>
        <v>0</v>
      </c>
      <c r="I184" s="23">
        <f t="shared" si="5"/>
        <v>0</v>
      </c>
    </row>
    <row r="185" spans="8:9" x14ac:dyDescent="0.25">
      <c r="H185" s="23">
        <f t="shared" si="4"/>
        <v>0</v>
      </c>
      <c r="I185" s="23">
        <f t="shared" si="5"/>
        <v>0</v>
      </c>
    </row>
    <row r="186" spans="8:9" x14ac:dyDescent="0.25">
      <c r="H186" s="23">
        <f t="shared" si="4"/>
        <v>0</v>
      </c>
      <c r="I186" s="23">
        <f t="shared" si="5"/>
        <v>0</v>
      </c>
    </row>
    <row r="187" spans="8:9" x14ac:dyDescent="0.25">
      <c r="H187" s="23">
        <f t="shared" si="4"/>
        <v>0</v>
      </c>
      <c r="I187" s="23">
        <f t="shared" si="5"/>
        <v>0</v>
      </c>
    </row>
    <row r="188" spans="8:9" x14ac:dyDescent="0.25">
      <c r="H188" s="23">
        <f t="shared" si="4"/>
        <v>0</v>
      </c>
      <c r="I188" s="23">
        <f t="shared" si="5"/>
        <v>0</v>
      </c>
    </row>
    <row r="189" spans="8:9" x14ac:dyDescent="0.25">
      <c r="H189" s="23">
        <f t="shared" si="4"/>
        <v>0</v>
      </c>
      <c r="I189" s="23">
        <f t="shared" si="5"/>
        <v>0</v>
      </c>
    </row>
    <row r="190" spans="8:9" x14ac:dyDescent="0.25">
      <c r="H190" s="23">
        <f t="shared" si="4"/>
        <v>0</v>
      </c>
      <c r="I190" s="23">
        <f t="shared" si="5"/>
        <v>0</v>
      </c>
    </row>
    <row r="191" spans="8:9" x14ac:dyDescent="0.25">
      <c r="H191" s="23">
        <f t="shared" si="4"/>
        <v>0</v>
      </c>
      <c r="I191" s="23">
        <f t="shared" si="5"/>
        <v>0</v>
      </c>
    </row>
    <row r="192" spans="8:9" x14ac:dyDescent="0.25">
      <c r="H192" s="23">
        <f t="shared" si="4"/>
        <v>0</v>
      </c>
      <c r="I192" s="23">
        <f t="shared" si="5"/>
        <v>0</v>
      </c>
    </row>
    <row r="193" spans="8:9" x14ac:dyDescent="0.25">
      <c r="H193" s="23">
        <f t="shared" si="4"/>
        <v>0</v>
      </c>
      <c r="I193" s="23">
        <f t="shared" si="5"/>
        <v>0</v>
      </c>
    </row>
    <row r="194" spans="8:9" x14ac:dyDescent="0.25">
      <c r="H194" s="23">
        <f t="shared" si="4"/>
        <v>0</v>
      </c>
      <c r="I194" s="23">
        <f t="shared" si="5"/>
        <v>0</v>
      </c>
    </row>
    <row r="195" spans="8:9" x14ac:dyDescent="0.25">
      <c r="H195" s="23">
        <f t="shared" ref="H195:H258" si="6">+E195*15+F195*18</f>
        <v>0</v>
      </c>
      <c r="I195" s="23">
        <f t="shared" ref="I195:I258" si="7">+F195+E195</f>
        <v>0</v>
      </c>
    </row>
    <row r="196" spans="8:9" x14ac:dyDescent="0.25">
      <c r="H196" s="23">
        <f t="shared" si="6"/>
        <v>0</v>
      </c>
      <c r="I196" s="23">
        <f t="shared" si="7"/>
        <v>0</v>
      </c>
    </row>
    <row r="197" spans="8:9" x14ac:dyDescent="0.25">
      <c r="H197" s="23">
        <f t="shared" si="6"/>
        <v>0</v>
      </c>
      <c r="I197" s="23">
        <f t="shared" si="7"/>
        <v>0</v>
      </c>
    </row>
    <row r="198" spans="8:9" x14ac:dyDescent="0.25">
      <c r="H198" s="23">
        <f t="shared" si="6"/>
        <v>0</v>
      </c>
      <c r="I198" s="23">
        <f t="shared" si="7"/>
        <v>0</v>
      </c>
    </row>
    <row r="199" spans="8:9" x14ac:dyDescent="0.25">
      <c r="H199" s="23">
        <f t="shared" si="6"/>
        <v>0</v>
      </c>
      <c r="I199" s="23">
        <f t="shared" si="7"/>
        <v>0</v>
      </c>
    </row>
    <row r="200" spans="8:9" x14ac:dyDescent="0.25">
      <c r="H200" s="23">
        <f t="shared" si="6"/>
        <v>0</v>
      </c>
      <c r="I200" s="23">
        <f t="shared" si="7"/>
        <v>0</v>
      </c>
    </row>
    <row r="201" spans="8:9" x14ac:dyDescent="0.25">
      <c r="H201" s="23">
        <f t="shared" si="6"/>
        <v>0</v>
      </c>
      <c r="I201" s="23">
        <f t="shared" si="7"/>
        <v>0</v>
      </c>
    </row>
    <row r="202" spans="8:9" x14ac:dyDescent="0.25">
      <c r="H202" s="23">
        <f t="shared" si="6"/>
        <v>0</v>
      </c>
      <c r="I202" s="23">
        <f t="shared" si="7"/>
        <v>0</v>
      </c>
    </row>
    <row r="203" spans="8:9" x14ac:dyDescent="0.25">
      <c r="H203" s="23">
        <f t="shared" si="6"/>
        <v>0</v>
      </c>
      <c r="I203" s="23">
        <f t="shared" si="7"/>
        <v>0</v>
      </c>
    </row>
    <row r="204" spans="8:9" x14ac:dyDescent="0.25">
      <c r="H204" s="23">
        <f t="shared" si="6"/>
        <v>0</v>
      </c>
      <c r="I204" s="23">
        <f t="shared" si="7"/>
        <v>0</v>
      </c>
    </row>
    <row r="205" spans="8:9" x14ac:dyDescent="0.25">
      <c r="H205" s="23">
        <f t="shared" si="6"/>
        <v>0</v>
      </c>
      <c r="I205" s="23">
        <f t="shared" si="7"/>
        <v>0</v>
      </c>
    </row>
    <row r="206" spans="8:9" x14ac:dyDescent="0.25">
      <c r="H206" s="23">
        <f t="shared" si="6"/>
        <v>0</v>
      </c>
      <c r="I206" s="23">
        <f t="shared" si="7"/>
        <v>0</v>
      </c>
    </row>
    <row r="207" spans="8:9" x14ac:dyDescent="0.25">
      <c r="H207" s="23">
        <f t="shared" si="6"/>
        <v>0</v>
      </c>
      <c r="I207" s="23">
        <f t="shared" si="7"/>
        <v>0</v>
      </c>
    </row>
    <row r="208" spans="8:9" x14ac:dyDescent="0.25">
      <c r="H208" s="23">
        <f t="shared" si="6"/>
        <v>0</v>
      </c>
      <c r="I208" s="23">
        <f t="shared" si="7"/>
        <v>0</v>
      </c>
    </row>
    <row r="209" spans="8:9" x14ac:dyDescent="0.25">
      <c r="H209" s="23">
        <f t="shared" si="6"/>
        <v>0</v>
      </c>
      <c r="I209" s="23">
        <f t="shared" si="7"/>
        <v>0</v>
      </c>
    </row>
    <row r="210" spans="8:9" x14ac:dyDescent="0.25">
      <c r="H210" s="23">
        <f t="shared" si="6"/>
        <v>0</v>
      </c>
      <c r="I210" s="23">
        <f t="shared" si="7"/>
        <v>0</v>
      </c>
    </row>
    <row r="211" spans="8:9" x14ac:dyDescent="0.25">
      <c r="H211" s="23">
        <f t="shared" si="6"/>
        <v>0</v>
      </c>
      <c r="I211" s="23">
        <f t="shared" si="7"/>
        <v>0</v>
      </c>
    </row>
    <row r="212" spans="8:9" x14ac:dyDescent="0.25">
      <c r="H212" s="23">
        <f t="shared" si="6"/>
        <v>0</v>
      </c>
      <c r="I212" s="23">
        <f t="shared" si="7"/>
        <v>0</v>
      </c>
    </row>
    <row r="213" spans="8:9" x14ac:dyDescent="0.25">
      <c r="H213" s="23">
        <f t="shared" si="6"/>
        <v>0</v>
      </c>
      <c r="I213" s="23">
        <f t="shared" si="7"/>
        <v>0</v>
      </c>
    </row>
    <row r="214" spans="8:9" x14ac:dyDescent="0.25">
      <c r="H214" s="23">
        <f t="shared" si="6"/>
        <v>0</v>
      </c>
      <c r="I214" s="23">
        <f t="shared" si="7"/>
        <v>0</v>
      </c>
    </row>
    <row r="215" spans="8:9" x14ac:dyDescent="0.25">
      <c r="H215" s="23">
        <f t="shared" si="6"/>
        <v>0</v>
      </c>
      <c r="I215" s="23">
        <f t="shared" si="7"/>
        <v>0</v>
      </c>
    </row>
    <row r="216" spans="8:9" x14ac:dyDescent="0.25">
      <c r="H216" s="23">
        <f t="shared" si="6"/>
        <v>0</v>
      </c>
      <c r="I216" s="23">
        <f t="shared" si="7"/>
        <v>0</v>
      </c>
    </row>
    <row r="217" spans="8:9" x14ac:dyDescent="0.25">
      <c r="H217" s="23">
        <f t="shared" si="6"/>
        <v>0</v>
      </c>
      <c r="I217" s="23">
        <f t="shared" si="7"/>
        <v>0</v>
      </c>
    </row>
    <row r="218" spans="8:9" x14ac:dyDescent="0.25">
      <c r="H218" s="23">
        <f t="shared" si="6"/>
        <v>0</v>
      </c>
      <c r="I218" s="23">
        <f t="shared" si="7"/>
        <v>0</v>
      </c>
    </row>
    <row r="219" spans="8:9" x14ac:dyDescent="0.25">
      <c r="H219" s="23">
        <f t="shared" si="6"/>
        <v>0</v>
      </c>
      <c r="I219" s="23">
        <f t="shared" si="7"/>
        <v>0</v>
      </c>
    </row>
    <row r="220" spans="8:9" x14ac:dyDescent="0.25">
      <c r="H220" s="23">
        <f t="shared" si="6"/>
        <v>0</v>
      </c>
      <c r="I220" s="23">
        <f t="shared" si="7"/>
        <v>0</v>
      </c>
    </row>
    <row r="221" spans="8:9" x14ac:dyDescent="0.25">
      <c r="H221" s="23">
        <f t="shared" si="6"/>
        <v>0</v>
      </c>
      <c r="I221" s="23">
        <f t="shared" si="7"/>
        <v>0</v>
      </c>
    </row>
    <row r="222" spans="8:9" x14ac:dyDescent="0.25">
      <c r="H222" s="23">
        <f t="shared" si="6"/>
        <v>0</v>
      </c>
      <c r="I222" s="23">
        <f t="shared" si="7"/>
        <v>0</v>
      </c>
    </row>
    <row r="223" spans="8:9" x14ac:dyDescent="0.25">
      <c r="H223" s="23">
        <f t="shared" si="6"/>
        <v>0</v>
      </c>
      <c r="I223" s="23">
        <f t="shared" si="7"/>
        <v>0</v>
      </c>
    </row>
    <row r="224" spans="8:9" x14ac:dyDescent="0.25">
      <c r="H224" s="23">
        <f t="shared" si="6"/>
        <v>0</v>
      </c>
      <c r="I224" s="23">
        <f t="shared" si="7"/>
        <v>0</v>
      </c>
    </row>
    <row r="225" spans="8:9" x14ac:dyDescent="0.25">
      <c r="H225" s="23">
        <f t="shared" si="6"/>
        <v>0</v>
      </c>
      <c r="I225" s="23">
        <f t="shared" si="7"/>
        <v>0</v>
      </c>
    </row>
    <row r="226" spans="8:9" x14ac:dyDescent="0.25">
      <c r="H226" s="23">
        <f t="shared" si="6"/>
        <v>0</v>
      </c>
      <c r="I226" s="23">
        <f t="shared" si="7"/>
        <v>0</v>
      </c>
    </row>
    <row r="227" spans="8:9" x14ac:dyDescent="0.25">
      <c r="H227" s="23">
        <f t="shared" si="6"/>
        <v>0</v>
      </c>
      <c r="I227" s="23">
        <f t="shared" si="7"/>
        <v>0</v>
      </c>
    </row>
    <row r="228" spans="8:9" x14ac:dyDescent="0.25">
      <c r="H228" s="23">
        <f t="shared" si="6"/>
        <v>0</v>
      </c>
      <c r="I228" s="23">
        <f t="shared" si="7"/>
        <v>0</v>
      </c>
    </row>
    <row r="229" spans="8:9" x14ac:dyDescent="0.25">
      <c r="H229" s="23">
        <f t="shared" si="6"/>
        <v>0</v>
      </c>
      <c r="I229" s="23">
        <f t="shared" si="7"/>
        <v>0</v>
      </c>
    </row>
    <row r="230" spans="8:9" x14ac:dyDescent="0.25">
      <c r="H230" s="23">
        <f t="shared" si="6"/>
        <v>0</v>
      </c>
      <c r="I230" s="23">
        <f t="shared" si="7"/>
        <v>0</v>
      </c>
    </row>
    <row r="231" spans="8:9" x14ac:dyDescent="0.25">
      <c r="H231" s="23">
        <f t="shared" si="6"/>
        <v>0</v>
      </c>
      <c r="I231" s="23">
        <f t="shared" si="7"/>
        <v>0</v>
      </c>
    </row>
    <row r="232" spans="8:9" x14ac:dyDescent="0.25">
      <c r="H232" s="23">
        <f t="shared" si="6"/>
        <v>0</v>
      </c>
      <c r="I232" s="23">
        <f t="shared" si="7"/>
        <v>0</v>
      </c>
    </row>
    <row r="233" spans="8:9" x14ac:dyDescent="0.25">
      <c r="H233" s="23">
        <f t="shared" si="6"/>
        <v>0</v>
      </c>
      <c r="I233" s="23">
        <f t="shared" si="7"/>
        <v>0</v>
      </c>
    </row>
    <row r="234" spans="8:9" x14ac:dyDescent="0.25">
      <c r="H234" s="23">
        <f t="shared" si="6"/>
        <v>0</v>
      </c>
      <c r="I234" s="23">
        <f t="shared" si="7"/>
        <v>0</v>
      </c>
    </row>
    <row r="235" spans="8:9" x14ac:dyDescent="0.25">
      <c r="H235" s="23">
        <f t="shared" si="6"/>
        <v>0</v>
      </c>
      <c r="I235" s="23">
        <f t="shared" si="7"/>
        <v>0</v>
      </c>
    </row>
    <row r="236" spans="8:9" x14ac:dyDescent="0.25">
      <c r="H236" s="23">
        <f t="shared" si="6"/>
        <v>0</v>
      </c>
      <c r="I236" s="23">
        <f t="shared" si="7"/>
        <v>0</v>
      </c>
    </row>
    <row r="237" spans="8:9" x14ac:dyDescent="0.25">
      <c r="H237" s="23">
        <f t="shared" si="6"/>
        <v>0</v>
      </c>
      <c r="I237" s="23">
        <f t="shared" si="7"/>
        <v>0</v>
      </c>
    </row>
    <row r="238" spans="8:9" x14ac:dyDescent="0.25">
      <c r="H238" s="23">
        <f t="shared" si="6"/>
        <v>0</v>
      </c>
      <c r="I238" s="23">
        <f t="shared" si="7"/>
        <v>0</v>
      </c>
    </row>
    <row r="239" spans="8:9" x14ac:dyDescent="0.25">
      <c r="H239" s="23">
        <f t="shared" si="6"/>
        <v>0</v>
      </c>
      <c r="I239" s="23">
        <f t="shared" si="7"/>
        <v>0</v>
      </c>
    </row>
    <row r="240" spans="8:9" x14ac:dyDescent="0.25">
      <c r="H240" s="23">
        <f t="shared" si="6"/>
        <v>0</v>
      </c>
      <c r="I240" s="23">
        <f t="shared" si="7"/>
        <v>0</v>
      </c>
    </row>
    <row r="241" spans="8:9" x14ac:dyDescent="0.25">
      <c r="H241" s="23">
        <f t="shared" si="6"/>
        <v>0</v>
      </c>
      <c r="I241" s="23">
        <f t="shared" si="7"/>
        <v>0</v>
      </c>
    </row>
    <row r="242" spans="8:9" x14ac:dyDescent="0.25">
      <c r="H242" s="23">
        <f t="shared" si="6"/>
        <v>0</v>
      </c>
      <c r="I242" s="23">
        <f t="shared" si="7"/>
        <v>0</v>
      </c>
    </row>
    <row r="243" spans="8:9" x14ac:dyDescent="0.25">
      <c r="H243" s="23">
        <f t="shared" si="6"/>
        <v>0</v>
      </c>
      <c r="I243" s="23">
        <f t="shared" si="7"/>
        <v>0</v>
      </c>
    </row>
    <row r="244" spans="8:9" x14ac:dyDescent="0.25">
      <c r="H244" s="23">
        <f t="shared" si="6"/>
        <v>0</v>
      </c>
      <c r="I244" s="23">
        <f t="shared" si="7"/>
        <v>0</v>
      </c>
    </row>
    <row r="245" spans="8:9" x14ac:dyDescent="0.25">
      <c r="H245" s="23">
        <f t="shared" si="6"/>
        <v>0</v>
      </c>
      <c r="I245" s="23">
        <f t="shared" si="7"/>
        <v>0</v>
      </c>
    </row>
    <row r="246" spans="8:9" x14ac:dyDescent="0.25">
      <c r="H246" s="23">
        <f t="shared" si="6"/>
        <v>0</v>
      </c>
      <c r="I246" s="23">
        <f t="shared" si="7"/>
        <v>0</v>
      </c>
    </row>
    <row r="247" spans="8:9" x14ac:dyDescent="0.25">
      <c r="H247" s="23">
        <f t="shared" si="6"/>
        <v>0</v>
      </c>
      <c r="I247" s="23">
        <f t="shared" si="7"/>
        <v>0</v>
      </c>
    </row>
    <row r="248" spans="8:9" x14ac:dyDescent="0.25">
      <c r="H248" s="23">
        <f t="shared" si="6"/>
        <v>0</v>
      </c>
      <c r="I248" s="23">
        <f t="shared" si="7"/>
        <v>0</v>
      </c>
    </row>
    <row r="249" spans="8:9" x14ac:dyDescent="0.25">
      <c r="H249" s="23">
        <f t="shared" si="6"/>
        <v>0</v>
      </c>
      <c r="I249" s="23">
        <f t="shared" si="7"/>
        <v>0</v>
      </c>
    </row>
    <row r="250" spans="8:9" x14ac:dyDescent="0.25">
      <c r="H250" s="23">
        <f t="shared" si="6"/>
        <v>0</v>
      </c>
      <c r="I250" s="23">
        <f t="shared" si="7"/>
        <v>0</v>
      </c>
    </row>
    <row r="251" spans="8:9" x14ac:dyDescent="0.25">
      <c r="H251" s="23">
        <f t="shared" si="6"/>
        <v>0</v>
      </c>
      <c r="I251" s="23">
        <f t="shared" si="7"/>
        <v>0</v>
      </c>
    </row>
    <row r="252" spans="8:9" x14ac:dyDescent="0.25">
      <c r="H252" s="23">
        <f t="shared" si="6"/>
        <v>0</v>
      </c>
      <c r="I252" s="23">
        <f t="shared" si="7"/>
        <v>0</v>
      </c>
    </row>
    <row r="253" spans="8:9" x14ac:dyDescent="0.25">
      <c r="H253" s="23">
        <f t="shared" si="6"/>
        <v>0</v>
      </c>
      <c r="I253" s="23">
        <f t="shared" si="7"/>
        <v>0</v>
      </c>
    </row>
    <row r="254" spans="8:9" x14ac:dyDescent="0.25">
      <c r="H254" s="23">
        <f t="shared" si="6"/>
        <v>0</v>
      </c>
      <c r="I254" s="23">
        <f t="shared" si="7"/>
        <v>0</v>
      </c>
    </row>
    <row r="255" spans="8:9" x14ac:dyDescent="0.25">
      <c r="H255" s="23">
        <f t="shared" si="6"/>
        <v>0</v>
      </c>
      <c r="I255" s="23">
        <f t="shared" si="7"/>
        <v>0</v>
      </c>
    </row>
    <row r="256" spans="8:9" x14ac:dyDescent="0.25">
      <c r="H256" s="23">
        <f t="shared" si="6"/>
        <v>0</v>
      </c>
      <c r="I256" s="23">
        <f t="shared" si="7"/>
        <v>0</v>
      </c>
    </row>
    <row r="257" spans="8:9" x14ac:dyDescent="0.25">
      <c r="H257" s="23">
        <f t="shared" si="6"/>
        <v>0</v>
      </c>
      <c r="I257" s="23">
        <f t="shared" si="7"/>
        <v>0</v>
      </c>
    </row>
    <row r="258" spans="8:9" x14ac:dyDescent="0.25">
      <c r="H258" s="23">
        <f t="shared" si="6"/>
        <v>0</v>
      </c>
      <c r="I258" s="23">
        <f t="shared" si="7"/>
        <v>0</v>
      </c>
    </row>
    <row r="259" spans="8:9" x14ac:dyDescent="0.25">
      <c r="H259" s="23">
        <f t="shared" ref="H259:H322" si="8">+E259*15+F259*18</f>
        <v>0</v>
      </c>
      <c r="I259" s="23">
        <f t="shared" ref="I259:I322" si="9">+F259+E259</f>
        <v>0</v>
      </c>
    </row>
    <row r="260" spans="8:9" x14ac:dyDescent="0.25">
      <c r="H260" s="23">
        <f t="shared" si="8"/>
        <v>0</v>
      </c>
      <c r="I260" s="23">
        <f t="shared" si="9"/>
        <v>0</v>
      </c>
    </row>
    <row r="261" spans="8:9" x14ac:dyDescent="0.25">
      <c r="H261" s="23">
        <f t="shared" si="8"/>
        <v>0</v>
      </c>
      <c r="I261" s="23">
        <f t="shared" si="9"/>
        <v>0</v>
      </c>
    </row>
    <row r="262" spans="8:9" x14ac:dyDescent="0.25">
      <c r="H262" s="23">
        <f t="shared" si="8"/>
        <v>0</v>
      </c>
      <c r="I262" s="23">
        <f t="shared" si="9"/>
        <v>0</v>
      </c>
    </row>
    <row r="263" spans="8:9" x14ac:dyDescent="0.25">
      <c r="H263" s="23">
        <f t="shared" si="8"/>
        <v>0</v>
      </c>
      <c r="I263" s="23">
        <f t="shared" si="9"/>
        <v>0</v>
      </c>
    </row>
    <row r="264" spans="8:9" x14ac:dyDescent="0.25">
      <c r="H264" s="23">
        <f t="shared" si="8"/>
        <v>0</v>
      </c>
      <c r="I264" s="23">
        <f t="shared" si="9"/>
        <v>0</v>
      </c>
    </row>
    <row r="265" spans="8:9" x14ac:dyDescent="0.25">
      <c r="H265" s="23">
        <f t="shared" si="8"/>
        <v>0</v>
      </c>
      <c r="I265" s="23">
        <f t="shared" si="9"/>
        <v>0</v>
      </c>
    </row>
    <row r="266" spans="8:9" x14ac:dyDescent="0.25">
      <c r="H266" s="23">
        <f t="shared" si="8"/>
        <v>0</v>
      </c>
      <c r="I266" s="23">
        <f t="shared" si="9"/>
        <v>0</v>
      </c>
    </row>
    <row r="267" spans="8:9" x14ac:dyDescent="0.25">
      <c r="H267" s="23">
        <f t="shared" si="8"/>
        <v>0</v>
      </c>
      <c r="I267" s="23">
        <f t="shared" si="9"/>
        <v>0</v>
      </c>
    </row>
    <row r="268" spans="8:9" x14ac:dyDescent="0.25">
      <c r="H268" s="23">
        <f t="shared" si="8"/>
        <v>0</v>
      </c>
      <c r="I268" s="23">
        <f t="shared" si="9"/>
        <v>0</v>
      </c>
    </row>
    <row r="269" spans="8:9" x14ac:dyDescent="0.25">
      <c r="H269" s="23">
        <f t="shared" si="8"/>
        <v>0</v>
      </c>
      <c r="I269" s="23">
        <f t="shared" si="9"/>
        <v>0</v>
      </c>
    </row>
    <row r="270" spans="8:9" x14ac:dyDescent="0.25">
      <c r="H270" s="23">
        <f t="shared" si="8"/>
        <v>0</v>
      </c>
      <c r="I270" s="23">
        <f t="shared" si="9"/>
        <v>0</v>
      </c>
    </row>
    <row r="271" spans="8:9" x14ac:dyDescent="0.25">
      <c r="H271" s="23">
        <f t="shared" si="8"/>
        <v>0</v>
      </c>
      <c r="I271" s="23">
        <f t="shared" si="9"/>
        <v>0</v>
      </c>
    </row>
    <row r="272" spans="8:9" x14ac:dyDescent="0.25">
      <c r="H272" s="23">
        <f t="shared" si="8"/>
        <v>0</v>
      </c>
      <c r="I272" s="23">
        <f t="shared" si="9"/>
        <v>0</v>
      </c>
    </row>
    <row r="273" spans="8:9" x14ac:dyDescent="0.25">
      <c r="H273" s="23">
        <f t="shared" si="8"/>
        <v>0</v>
      </c>
      <c r="I273" s="23">
        <f t="shared" si="9"/>
        <v>0</v>
      </c>
    </row>
    <row r="274" spans="8:9" x14ac:dyDescent="0.25">
      <c r="H274" s="23">
        <f t="shared" si="8"/>
        <v>0</v>
      </c>
      <c r="I274" s="23">
        <f t="shared" si="9"/>
        <v>0</v>
      </c>
    </row>
    <row r="275" spans="8:9" x14ac:dyDescent="0.25">
      <c r="H275" s="23">
        <f t="shared" si="8"/>
        <v>0</v>
      </c>
      <c r="I275" s="23">
        <f t="shared" si="9"/>
        <v>0</v>
      </c>
    </row>
    <row r="276" spans="8:9" x14ac:dyDescent="0.25">
      <c r="H276" s="23">
        <f t="shared" si="8"/>
        <v>0</v>
      </c>
      <c r="I276" s="23">
        <f t="shared" si="9"/>
        <v>0</v>
      </c>
    </row>
    <row r="277" spans="8:9" x14ac:dyDescent="0.25">
      <c r="H277" s="23">
        <f t="shared" si="8"/>
        <v>0</v>
      </c>
      <c r="I277" s="23">
        <f t="shared" si="9"/>
        <v>0</v>
      </c>
    </row>
    <row r="278" spans="8:9" x14ac:dyDescent="0.25">
      <c r="H278" s="23">
        <f t="shared" si="8"/>
        <v>0</v>
      </c>
      <c r="I278" s="23">
        <f t="shared" si="9"/>
        <v>0</v>
      </c>
    </row>
    <row r="279" spans="8:9" x14ac:dyDescent="0.25">
      <c r="H279" s="23">
        <f t="shared" si="8"/>
        <v>0</v>
      </c>
      <c r="I279" s="23">
        <f t="shared" si="9"/>
        <v>0</v>
      </c>
    </row>
    <row r="280" spans="8:9" x14ac:dyDescent="0.25">
      <c r="H280" s="23">
        <f t="shared" si="8"/>
        <v>0</v>
      </c>
      <c r="I280" s="23">
        <f t="shared" si="9"/>
        <v>0</v>
      </c>
    </row>
    <row r="281" spans="8:9" x14ac:dyDescent="0.25">
      <c r="H281" s="23">
        <f t="shared" si="8"/>
        <v>0</v>
      </c>
      <c r="I281" s="23">
        <f t="shared" si="9"/>
        <v>0</v>
      </c>
    </row>
    <row r="282" spans="8:9" x14ac:dyDescent="0.25">
      <c r="H282" s="23">
        <f t="shared" si="8"/>
        <v>0</v>
      </c>
      <c r="I282" s="23">
        <f t="shared" si="9"/>
        <v>0</v>
      </c>
    </row>
    <row r="283" spans="8:9" x14ac:dyDescent="0.25">
      <c r="H283" s="23">
        <f t="shared" si="8"/>
        <v>0</v>
      </c>
      <c r="I283" s="23">
        <f t="shared" si="9"/>
        <v>0</v>
      </c>
    </row>
    <row r="284" spans="8:9" x14ac:dyDescent="0.25">
      <c r="H284" s="23">
        <f t="shared" si="8"/>
        <v>0</v>
      </c>
      <c r="I284" s="23">
        <f t="shared" si="9"/>
        <v>0</v>
      </c>
    </row>
    <row r="285" spans="8:9" x14ac:dyDescent="0.25">
      <c r="H285" s="23">
        <f t="shared" si="8"/>
        <v>0</v>
      </c>
      <c r="I285" s="23">
        <f t="shared" si="9"/>
        <v>0</v>
      </c>
    </row>
    <row r="286" spans="8:9" x14ac:dyDescent="0.25">
      <c r="H286" s="23">
        <f t="shared" si="8"/>
        <v>0</v>
      </c>
      <c r="I286" s="23">
        <f t="shared" si="9"/>
        <v>0</v>
      </c>
    </row>
    <row r="287" spans="8:9" x14ac:dyDescent="0.25">
      <c r="H287" s="23">
        <f t="shared" si="8"/>
        <v>0</v>
      </c>
      <c r="I287" s="23">
        <f t="shared" si="9"/>
        <v>0</v>
      </c>
    </row>
    <row r="288" spans="8:9" x14ac:dyDescent="0.25">
      <c r="H288" s="23">
        <f t="shared" si="8"/>
        <v>0</v>
      </c>
      <c r="I288" s="23">
        <f t="shared" si="9"/>
        <v>0</v>
      </c>
    </row>
    <row r="289" spans="8:9" x14ac:dyDescent="0.25">
      <c r="H289" s="23">
        <f t="shared" si="8"/>
        <v>0</v>
      </c>
      <c r="I289" s="23">
        <f t="shared" si="9"/>
        <v>0</v>
      </c>
    </row>
    <row r="290" spans="8:9" x14ac:dyDescent="0.25">
      <c r="H290" s="23">
        <f t="shared" si="8"/>
        <v>0</v>
      </c>
      <c r="I290" s="23">
        <f t="shared" si="9"/>
        <v>0</v>
      </c>
    </row>
    <row r="291" spans="8:9" x14ac:dyDescent="0.25">
      <c r="H291" s="23">
        <f t="shared" si="8"/>
        <v>0</v>
      </c>
      <c r="I291" s="23">
        <f t="shared" si="9"/>
        <v>0</v>
      </c>
    </row>
    <row r="292" spans="8:9" x14ac:dyDescent="0.25">
      <c r="H292" s="23">
        <f t="shared" si="8"/>
        <v>0</v>
      </c>
      <c r="I292" s="23">
        <f t="shared" si="9"/>
        <v>0</v>
      </c>
    </row>
    <row r="293" spans="8:9" x14ac:dyDescent="0.25">
      <c r="H293" s="23">
        <f t="shared" si="8"/>
        <v>0</v>
      </c>
      <c r="I293" s="23">
        <f t="shared" si="9"/>
        <v>0</v>
      </c>
    </row>
    <row r="294" spans="8:9" x14ac:dyDescent="0.25">
      <c r="H294" s="23">
        <f t="shared" si="8"/>
        <v>0</v>
      </c>
      <c r="I294" s="23">
        <f t="shared" si="9"/>
        <v>0</v>
      </c>
    </row>
    <row r="295" spans="8:9" x14ac:dyDescent="0.25">
      <c r="H295" s="23">
        <f t="shared" si="8"/>
        <v>0</v>
      </c>
      <c r="I295" s="23">
        <f t="shared" si="9"/>
        <v>0</v>
      </c>
    </row>
    <row r="296" spans="8:9" x14ac:dyDescent="0.25">
      <c r="H296" s="23">
        <f t="shared" si="8"/>
        <v>0</v>
      </c>
      <c r="I296" s="23">
        <f t="shared" si="9"/>
        <v>0</v>
      </c>
    </row>
    <row r="297" spans="8:9" x14ac:dyDescent="0.25">
      <c r="H297" s="23">
        <f t="shared" si="8"/>
        <v>0</v>
      </c>
      <c r="I297" s="23">
        <f t="shared" si="9"/>
        <v>0</v>
      </c>
    </row>
    <row r="298" spans="8:9" x14ac:dyDescent="0.25">
      <c r="H298" s="23">
        <f t="shared" si="8"/>
        <v>0</v>
      </c>
      <c r="I298" s="23">
        <f t="shared" si="9"/>
        <v>0</v>
      </c>
    </row>
    <row r="299" spans="8:9" x14ac:dyDescent="0.25">
      <c r="H299" s="23">
        <f t="shared" si="8"/>
        <v>0</v>
      </c>
      <c r="I299" s="23">
        <f t="shared" si="9"/>
        <v>0</v>
      </c>
    </row>
    <row r="300" spans="8:9" x14ac:dyDescent="0.25">
      <c r="H300" s="23">
        <f t="shared" si="8"/>
        <v>0</v>
      </c>
      <c r="I300" s="23">
        <f t="shared" si="9"/>
        <v>0</v>
      </c>
    </row>
    <row r="301" spans="8:9" x14ac:dyDescent="0.25">
      <c r="H301" s="23">
        <f t="shared" si="8"/>
        <v>0</v>
      </c>
      <c r="I301" s="23">
        <f t="shared" si="9"/>
        <v>0</v>
      </c>
    </row>
    <row r="302" spans="8:9" x14ac:dyDescent="0.25">
      <c r="H302" s="23">
        <f t="shared" si="8"/>
        <v>0</v>
      </c>
      <c r="I302" s="23">
        <f t="shared" si="9"/>
        <v>0</v>
      </c>
    </row>
    <row r="303" spans="8:9" x14ac:dyDescent="0.25">
      <c r="H303" s="23">
        <f t="shared" si="8"/>
        <v>0</v>
      </c>
      <c r="I303" s="23">
        <f t="shared" si="9"/>
        <v>0</v>
      </c>
    </row>
    <row r="304" spans="8:9" x14ac:dyDescent="0.25">
      <c r="H304" s="23">
        <f t="shared" si="8"/>
        <v>0</v>
      </c>
      <c r="I304" s="23">
        <f t="shared" si="9"/>
        <v>0</v>
      </c>
    </row>
    <row r="305" spans="8:9" x14ac:dyDescent="0.25">
      <c r="H305" s="23">
        <f t="shared" si="8"/>
        <v>0</v>
      </c>
      <c r="I305" s="23">
        <f t="shared" si="9"/>
        <v>0</v>
      </c>
    </row>
    <row r="306" spans="8:9" x14ac:dyDescent="0.25">
      <c r="H306" s="23">
        <f t="shared" si="8"/>
        <v>0</v>
      </c>
      <c r="I306" s="23">
        <f t="shared" si="9"/>
        <v>0</v>
      </c>
    </row>
    <row r="307" spans="8:9" x14ac:dyDescent="0.25">
      <c r="H307" s="23">
        <f t="shared" si="8"/>
        <v>0</v>
      </c>
      <c r="I307" s="23">
        <f t="shared" si="9"/>
        <v>0</v>
      </c>
    </row>
    <row r="308" spans="8:9" x14ac:dyDescent="0.25">
      <c r="H308" s="23">
        <f t="shared" si="8"/>
        <v>0</v>
      </c>
      <c r="I308" s="23">
        <f t="shared" si="9"/>
        <v>0</v>
      </c>
    </row>
    <row r="309" spans="8:9" x14ac:dyDescent="0.25">
      <c r="H309" s="23">
        <f t="shared" si="8"/>
        <v>0</v>
      </c>
      <c r="I309" s="23">
        <f t="shared" si="9"/>
        <v>0</v>
      </c>
    </row>
    <row r="310" spans="8:9" x14ac:dyDescent="0.25">
      <c r="H310" s="23">
        <f t="shared" si="8"/>
        <v>0</v>
      </c>
      <c r="I310" s="23">
        <f t="shared" si="9"/>
        <v>0</v>
      </c>
    </row>
    <row r="311" spans="8:9" x14ac:dyDescent="0.25">
      <c r="H311" s="23">
        <f t="shared" si="8"/>
        <v>0</v>
      </c>
      <c r="I311" s="23">
        <f t="shared" si="9"/>
        <v>0</v>
      </c>
    </row>
    <row r="312" spans="8:9" x14ac:dyDescent="0.25">
      <c r="H312" s="23">
        <f t="shared" si="8"/>
        <v>0</v>
      </c>
      <c r="I312" s="23">
        <f t="shared" si="9"/>
        <v>0</v>
      </c>
    </row>
    <row r="313" spans="8:9" x14ac:dyDescent="0.25">
      <c r="H313" s="23">
        <f t="shared" si="8"/>
        <v>0</v>
      </c>
      <c r="I313" s="23">
        <f t="shared" si="9"/>
        <v>0</v>
      </c>
    </row>
    <row r="314" spans="8:9" x14ac:dyDescent="0.25">
      <c r="H314" s="23">
        <f t="shared" si="8"/>
        <v>0</v>
      </c>
      <c r="I314" s="23">
        <f t="shared" si="9"/>
        <v>0</v>
      </c>
    </row>
    <row r="315" spans="8:9" x14ac:dyDescent="0.25">
      <c r="H315" s="23">
        <f t="shared" si="8"/>
        <v>0</v>
      </c>
      <c r="I315" s="23">
        <f t="shared" si="9"/>
        <v>0</v>
      </c>
    </row>
    <row r="316" spans="8:9" x14ac:dyDescent="0.25">
      <c r="H316" s="23">
        <f t="shared" si="8"/>
        <v>0</v>
      </c>
      <c r="I316" s="23">
        <f t="shared" si="9"/>
        <v>0</v>
      </c>
    </row>
    <row r="317" spans="8:9" x14ac:dyDescent="0.25">
      <c r="H317" s="23">
        <f t="shared" si="8"/>
        <v>0</v>
      </c>
      <c r="I317" s="23">
        <f t="shared" si="9"/>
        <v>0</v>
      </c>
    </row>
    <row r="318" spans="8:9" x14ac:dyDescent="0.25">
      <c r="H318" s="23">
        <f t="shared" si="8"/>
        <v>0</v>
      </c>
      <c r="I318" s="23">
        <f t="shared" si="9"/>
        <v>0</v>
      </c>
    </row>
    <row r="319" spans="8:9" x14ac:dyDescent="0.25">
      <c r="H319" s="23">
        <f t="shared" si="8"/>
        <v>0</v>
      </c>
      <c r="I319" s="23">
        <f t="shared" si="9"/>
        <v>0</v>
      </c>
    </row>
    <row r="320" spans="8:9" x14ac:dyDescent="0.25">
      <c r="H320" s="23">
        <f t="shared" si="8"/>
        <v>0</v>
      </c>
      <c r="I320" s="23">
        <f t="shared" si="9"/>
        <v>0</v>
      </c>
    </row>
    <row r="321" spans="8:9" x14ac:dyDescent="0.25">
      <c r="H321" s="23">
        <f t="shared" si="8"/>
        <v>0</v>
      </c>
      <c r="I321" s="23">
        <f t="shared" si="9"/>
        <v>0</v>
      </c>
    </row>
    <row r="322" spans="8:9" x14ac:dyDescent="0.25">
      <c r="H322" s="23">
        <f t="shared" si="8"/>
        <v>0</v>
      </c>
      <c r="I322" s="23">
        <f t="shared" si="9"/>
        <v>0</v>
      </c>
    </row>
    <row r="323" spans="8:9" x14ac:dyDescent="0.25">
      <c r="H323" s="23">
        <f t="shared" ref="H323:H386" si="10">+E323*15+F323*18</f>
        <v>0</v>
      </c>
      <c r="I323" s="23">
        <f t="shared" ref="I323:I386" si="11">+F323+E323</f>
        <v>0</v>
      </c>
    </row>
    <row r="324" spans="8:9" x14ac:dyDescent="0.25">
      <c r="H324" s="23">
        <f t="shared" si="10"/>
        <v>0</v>
      </c>
      <c r="I324" s="23">
        <f t="shared" si="11"/>
        <v>0</v>
      </c>
    </row>
    <row r="325" spans="8:9" x14ac:dyDescent="0.25">
      <c r="H325" s="23">
        <f t="shared" si="10"/>
        <v>0</v>
      </c>
      <c r="I325" s="23">
        <f t="shared" si="11"/>
        <v>0</v>
      </c>
    </row>
    <row r="326" spans="8:9" x14ac:dyDescent="0.25">
      <c r="H326" s="23">
        <f t="shared" si="10"/>
        <v>0</v>
      </c>
      <c r="I326" s="23">
        <f t="shared" si="11"/>
        <v>0</v>
      </c>
    </row>
    <row r="327" spans="8:9" x14ac:dyDescent="0.25">
      <c r="H327" s="23">
        <f t="shared" si="10"/>
        <v>0</v>
      </c>
      <c r="I327" s="23">
        <f t="shared" si="11"/>
        <v>0</v>
      </c>
    </row>
    <row r="328" spans="8:9" x14ac:dyDescent="0.25">
      <c r="H328" s="23">
        <f t="shared" si="10"/>
        <v>0</v>
      </c>
      <c r="I328" s="23">
        <f t="shared" si="11"/>
        <v>0</v>
      </c>
    </row>
    <row r="329" spans="8:9" x14ac:dyDescent="0.25">
      <c r="H329" s="23">
        <f t="shared" si="10"/>
        <v>0</v>
      </c>
      <c r="I329" s="23">
        <f t="shared" si="11"/>
        <v>0</v>
      </c>
    </row>
    <row r="330" spans="8:9" x14ac:dyDescent="0.25">
      <c r="H330" s="23">
        <f t="shared" si="10"/>
        <v>0</v>
      </c>
      <c r="I330" s="23">
        <f t="shared" si="11"/>
        <v>0</v>
      </c>
    </row>
    <row r="331" spans="8:9" x14ac:dyDescent="0.25">
      <c r="H331" s="23">
        <f t="shared" si="10"/>
        <v>0</v>
      </c>
      <c r="I331" s="23">
        <f t="shared" si="11"/>
        <v>0</v>
      </c>
    </row>
    <row r="332" spans="8:9" x14ac:dyDescent="0.25">
      <c r="H332" s="23">
        <f t="shared" si="10"/>
        <v>0</v>
      </c>
      <c r="I332" s="23">
        <f t="shared" si="11"/>
        <v>0</v>
      </c>
    </row>
    <row r="333" spans="8:9" x14ac:dyDescent="0.25">
      <c r="H333" s="23">
        <f t="shared" si="10"/>
        <v>0</v>
      </c>
      <c r="I333" s="23">
        <f t="shared" si="11"/>
        <v>0</v>
      </c>
    </row>
    <row r="334" spans="8:9" x14ac:dyDescent="0.25">
      <c r="H334" s="23">
        <f t="shared" si="10"/>
        <v>0</v>
      </c>
      <c r="I334" s="23">
        <f t="shared" si="11"/>
        <v>0</v>
      </c>
    </row>
    <row r="335" spans="8:9" x14ac:dyDescent="0.25">
      <c r="H335" s="23">
        <f t="shared" si="10"/>
        <v>0</v>
      </c>
      <c r="I335" s="23">
        <f t="shared" si="11"/>
        <v>0</v>
      </c>
    </row>
    <row r="336" spans="8:9" x14ac:dyDescent="0.25">
      <c r="H336" s="23">
        <f t="shared" si="10"/>
        <v>0</v>
      </c>
      <c r="I336" s="23">
        <f t="shared" si="11"/>
        <v>0</v>
      </c>
    </row>
    <row r="337" spans="8:9" x14ac:dyDescent="0.25">
      <c r="H337" s="23">
        <f t="shared" si="10"/>
        <v>0</v>
      </c>
      <c r="I337" s="23">
        <f t="shared" si="11"/>
        <v>0</v>
      </c>
    </row>
    <row r="338" spans="8:9" x14ac:dyDescent="0.25">
      <c r="H338" s="23">
        <f t="shared" si="10"/>
        <v>0</v>
      </c>
      <c r="I338" s="23">
        <f t="shared" si="11"/>
        <v>0</v>
      </c>
    </row>
    <row r="339" spans="8:9" x14ac:dyDescent="0.25">
      <c r="H339" s="23">
        <f t="shared" si="10"/>
        <v>0</v>
      </c>
      <c r="I339" s="23">
        <f t="shared" si="11"/>
        <v>0</v>
      </c>
    </row>
    <row r="340" spans="8:9" x14ac:dyDescent="0.25">
      <c r="H340" s="23">
        <f t="shared" si="10"/>
        <v>0</v>
      </c>
      <c r="I340" s="23">
        <f t="shared" si="11"/>
        <v>0</v>
      </c>
    </row>
    <row r="341" spans="8:9" x14ac:dyDescent="0.25">
      <c r="H341" s="23">
        <f t="shared" si="10"/>
        <v>0</v>
      </c>
      <c r="I341" s="23">
        <f t="shared" si="11"/>
        <v>0</v>
      </c>
    </row>
    <row r="342" spans="8:9" x14ac:dyDescent="0.25">
      <c r="H342" s="23">
        <f t="shared" si="10"/>
        <v>0</v>
      </c>
      <c r="I342" s="23">
        <f t="shared" si="11"/>
        <v>0</v>
      </c>
    </row>
    <row r="343" spans="8:9" x14ac:dyDescent="0.25">
      <c r="H343" s="23">
        <f t="shared" si="10"/>
        <v>0</v>
      </c>
      <c r="I343" s="23">
        <f t="shared" si="11"/>
        <v>0</v>
      </c>
    </row>
    <row r="344" spans="8:9" x14ac:dyDescent="0.25">
      <c r="H344" s="23">
        <f t="shared" si="10"/>
        <v>0</v>
      </c>
      <c r="I344" s="23">
        <f t="shared" si="11"/>
        <v>0</v>
      </c>
    </row>
    <row r="345" spans="8:9" x14ac:dyDescent="0.25">
      <c r="H345" s="23">
        <f t="shared" si="10"/>
        <v>0</v>
      </c>
      <c r="I345" s="23">
        <f t="shared" si="11"/>
        <v>0</v>
      </c>
    </row>
    <row r="346" spans="8:9" x14ac:dyDescent="0.25">
      <c r="H346" s="23">
        <f t="shared" si="10"/>
        <v>0</v>
      </c>
      <c r="I346" s="23">
        <f t="shared" si="11"/>
        <v>0</v>
      </c>
    </row>
    <row r="347" spans="8:9" x14ac:dyDescent="0.25">
      <c r="H347" s="23">
        <f t="shared" si="10"/>
        <v>0</v>
      </c>
      <c r="I347" s="23">
        <f t="shared" si="11"/>
        <v>0</v>
      </c>
    </row>
    <row r="348" spans="8:9" x14ac:dyDescent="0.25">
      <c r="H348" s="23">
        <f t="shared" si="10"/>
        <v>0</v>
      </c>
      <c r="I348" s="23">
        <f t="shared" si="11"/>
        <v>0</v>
      </c>
    </row>
    <row r="349" spans="8:9" x14ac:dyDescent="0.25">
      <c r="H349" s="23">
        <f t="shared" si="10"/>
        <v>0</v>
      </c>
      <c r="I349" s="23">
        <f t="shared" si="11"/>
        <v>0</v>
      </c>
    </row>
    <row r="350" spans="8:9" x14ac:dyDescent="0.25">
      <c r="H350" s="23">
        <f t="shared" si="10"/>
        <v>0</v>
      </c>
      <c r="I350" s="23">
        <f t="shared" si="11"/>
        <v>0</v>
      </c>
    </row>
    <row r="351" spans="8:9" x14ac:dyDescent="0.25">
      <c r="H351" s="23">
        <f t="shared" si="10"/>
        <v>0</v>
      </c>
      <c r="I351" s="23">
        <f t="shared" si="11"/>
        <v>0</v>
      </c>
    </row>
    <row r="352" spans="8:9" x14ac:dyDescent="0.25">
      <c r="H352" s="23">
        <f t="shared" si="10"/>
        <v>0</v>
      </c>
      <c r="I352" s="23">
        <f t="shared" si="11"/>
        <v>0</v>
      </c>
    </row>
    <row r="353" spans="8:9" x14ac:dyDescent="0.25">
      <c r="H353" s="23">
        <f t="shared" si="10"/>
        <v>0</v>
      </c>
      <c r="I353" s="23">
        <f t="shared" si="11"/>
        <v>0</v>
      </c>
    </row>
    <row r="354" spans="8:9" x14ac:dyDescent="0.25">
      <c r="H354" s="23">
        <f t="shared" si="10"/>
        <v>0</v>
      </c>
      <c r="I354" s="23">
        <f t="shared" si="11"/>
        <v>0</v>
      </c>
    </row>
    <row r="355" spans="8:9" x14ac:dyDescent="0.25">
      <c r="H355" s="23">
        <f t="shared" si="10"/>
        <v>0</v>
      </c>
      <c r="I355" s="23">
        <f t="shared" si="11"/>
        <v>0</v>
      </c>
    </row>
    <row r="356" spans="8:9" x14ac:dyDescent="0.25">
      <c r="H356" s="23">
        <f t="shared" si="10"/>
        <v>0</v>
      </c>
      <c r="I356" s="23">
        <f t="shared" si="11"/>
        <v>0</v>
      </c>
    </row>
    <row r="357" spans="8:9" x14ac:dyDescent="0.25">
      <c r="H357" s="23">
        <f t="shared" si="10"/>
        <v>0</v>
      </c>
      <c r="I357" s="23">
        <f t="shared" si="11"/>
        <v>0</v>
      </c>
    </row>
    <row r="358" spans="8:9" x14ac:dyDescent="0.25">
      <c r="H358" s="23">
        <f t="shared" si="10"/>
        <v>0</v>
      </c>
      <c r="I358" s="23">
        <f t="shared" si="11"/>
        <v>0</v>
      </c>
    </row>
    <row r="359" spans="8:9" x14ac:dyDescent="0.25">
      <c r="H359" s="23">
        <f t="shared" si="10"/>
        <v>0</v>
      </c>
      <c r="I359" s="23">
        <f t="shared" si="11"/>
        <v>0</v>
      </c>
    </row>
    <row r="360" spans="8:9" x14ac:dyDescent="0.25">
      <c r="H360" s="23">
        <f t="shared" si="10"/>
        <v>0</v>
      </c>
      <c r="I360" s="23">
        <f t="shared" si="11"/>
        <v>0</v>
      </c>
    </row>
    <row r="361" spans="8:9" x14ac:dyDescent="0.25">
      <c r="H361" s="23">
        <f t="shared" si="10"/>
        <v>0</v>
      </c>
      <c r="I361" s="23">
        <f t="shared" si="11"/>
        <v>0</v>
      </c>
    </row>
    <row r="362" spans="8:9" x14ac:dyDescent="0.25">
      <c r="H362" s="23">
        <f t="shared" si="10"/>
        <v>0</v>
      </c>
      <c r="I362" s="23">
        <f t="shared" si="11"/>
        <v>0</v>
      </c>
    </row>
    <row r="363" spans="8:9" x14ac:dyDescent="0.25">
      <c r="H363" s="23">
        <f t="shared" si="10"/>
        <v>0</v>
      </c>
      <c r="I363" s="23">
        <f t="shared" si="11"/>
        <v>0</v>
      </c>
    </row>
    <row r="364" spans="8:9" x14ac:dyDescent="0.25">
      <c r="H364" s="23">
        <f t="shared" si="10"/>
        <v>0</v>
      </c>
      <c r="I364" s="23">
        <f t="shared" si="11"/>
        <v>0</v>
      </c>
    </row>
    <row r="365" spans="8:9" x14ac:dyDescent="0.25">
      <c r="H365" s="23">
        <f t="shared" si="10"/>
        <v>0</v>
      </c>
      <c r="I365" s="23">
        <f t="shared" si="11"/>
        <v>0</v>
      </c>
    </row>
    <row r="366" spans="8:9" x14ac:dyDescent="0.25">
      <c r="H366" s="23">
        <f t="shared" si="10"/>
        <v>0</v>
      </c>
      <c r="I366" s="23">
        <f t="shared" si="11"/>
        <v>0</v>
      </c>
    </row>
    <row r="367" spans="8:9" x14ac:dyDescent="0.25">
      <c r="H367" s="23">
        <f t="shared" si="10"/>
        <v>0</v>
      </c>
      <c r="I367" s="23">
        <f t="shared" si="11"/>
        <v>0</v>
      </c>
    </row>
    <row r="368" spans="8:9" x14ac:dyDescent="0.25">
      <c r="H368" s="23">
        <f t="shared" si="10"/>
        <v>0</v>
      </c>
      <c r="I368" s="23">
        <f t="shared" si="11"/>
        <v>0</v>
      </c>
    </row>
    <row r="369" spans="8:9" x14ac:dyDescent="0.25">
      <c r="H369" s="23">
        <f t="shared" si="10"/>
        <v>0</v>
      </c>
      <c r="I369" s="23">
        <f t="shared" si="11"/>
        <v>0</v>
      </c>
    </row>
    <row r="370" spans="8:9" x14ac:dyDescent="0.25">
      <c r="H370" s="23">
        <f t="shared" si="10"/>
        <v>0</v>
      </c>
      <c r="I370" s="23">
        <f t="shared" si="11"/>
        <v>0</v>
      </c>
    </row>
    <row r="371" spans="8:9" x14ac:dyDescent="0.25">
      <c r="H371" s="23">
        <f t="shared" si="10"/>
        <v>0</v>
      </c>
      <c r="I371" s="23">
        <f t="shared" si="11"/>
        <v>0</v>
      </c>
    </row>
    <row r="372" spans="8:9" x14ac:dyDescent="0.25">
      <c r="H372" s="23">
        <f t="shared" si="10"/>
        <v>0</v>
      </c>
      <c r="I372" s="23">
        <f t="shared" si="11"/>
        <v>0</v>
      </c>
    </row>
    <row r="373" spans="8:9" x14ac:dyDescent="0.25">
      <c r="H373" s="23">
        <f t="shared" si="10"/>
        <v>0</v>
      </c>
      <c r="I373" s="23">
        <f t="shared" si="11"/>
        <v>0</v>
      </c>
    </row>
    <row r="374" spans="8:9" x14ac:dyDescent="0.25">
      <c r="H374" s="23">
        <f t="shared" si="10"/>
        <v>0</v>
      </c>
      <c r="I374" s="23">
        <f t="shared" si="11"/>
        <v>0</v>
      </c>
    </row>
    <row r="375" spans="8:9" x14ac:dyDescent="0.25">
      <c r="H375" s="23">
        <f t="shared" si="10"/>
        <v>0</v>
      </c>
      <c r="I375" s="23">
        <f t="shared" si="11"/>
        <v>0</v>
      </c>
    </row>
    <row r="376" spans="8:9" x14ac:dyDescent="0.25">
      <c r="H376" s="23">
        <f t="shared" si="10"/>
        <v>0</v>
      </c>
      <c r="I376" s="23">
        <f t="shared" si="11"/>
        <v>0</v>
      </c>
    </row>
    <row r="377" spans="8:9" x14ac:dyDescent="0.25">
      <c r="H377" s="23">
        <f t="shared" si="10"/>
        <v>0</v>
      </c>
      <c r="I377" s="23">
        <f t="shared" si="11"/>
        <v>0</v>
      </c>
    </row>
    <row r="378" spans="8:9" x14ac:dyDescent="0.25">
      <c r="H378" s="23">
        <f t="shared" si="10"/>
        <v>0</v>
      </c>
      <c r="I378" s="23">
        <f t="shared" si="11"/>
        <v>0</v>
      </c>
    </row>
    <row r="379" spans="8:9" x14ac:dyDescent="0.25">
      <c r="H379" s="23">
        <f t="shared" si="10"/>
        <v>0</v>
      </c>
      <c r="I379" s="23">
        <f t="shared" si="11"/>
        <v>0</v>
      </c>
    </row>
    <row r="380" spans="8:9" x14ac:dyDescent="0.25">
      <c r="H380" s="23">
        <f t="shared" si="10"/>
        <v>0</v>
      </c>
      <c r="I380" s="23">
        <f t="shared" si="11"/>
        <v>0</v>
      </c>
    </row>
    <row r="381" spans="8:9" x14ac:dyDescent="0.25">
      <c r="H381" s="23">
        <f t="shared" si="10"/>
        <v>0</v>
      </c>
      <c r="I381" s="23">
        <f t="shared" si="11"/>
        <v>0</v>
      </c>
    </row>
    <row r="382" spans="8:9" x14ac:dyDescent="0.25">
      <c r="H382" s="23">
        <f t="shared" si="10"/>
        <v>0</v>
      </c>
      <c r="I382" s="23">
        <f t="shared" si="11"/>
        <v>0</v>
      </c>
    </row>
    <row r="383" spans="8:9" x14ac:dyDescent="0.25">
      <c r="H383" s="23">
        <f t="shared" si="10"/>
        <v>0</v>
      </c>
      <c r="I383" s="23">
        <f t="shared" si="11"/>
        <v>0</v>
      </c>
    </row>
    <row r="384" spans="8:9" x14ac:dyDescent="0.25">
      <c r="H384" s="23">
        <f t="shared" si="10"/>
        <v>0</v>
      </c>
      <c r="I384" s="23">
        <f t="shared" si="11"/>
        <v>0</v>
      </c>
    </row>
    <row r="385" spans="8:9" x14ac:dyDescent="0.25">
      <c r="H385" s="23">
        <f t="shared" si="10"/>
        <v>0</v>
      </c>
      <c r="I385" s="23">
        <f t="shared" si="11"/>
        <v>0</v>
      </c>
    </row>
    <row r="386" spans="8:9" x14ac:dyDescent="0.25">
      <c r="H386" s="23">
        <f t="shared" si="10"/>
        <v>0</v>
      </c>
      <c r="I386" s="23">
        <f t="shared" si="11"/>
        <v>0</v>
      </c>
    </row>
    <row r="387" spans="8:9" x14ac:dyDescent="0.25">
      <c r="H387" s="23">
        <f t="shared" ref="H387:H450" si="12">+E387*15+F387*18</f>
        <v>0</v>
      </c>
      <c r="I387" s="23">
        <f t="shared" ref="I387:I450" si="13">+F387+E387</f>
        <v>0</v>
      </c>
    </row>
    <row r="388" spans="8:9" x14ac:dyDescent="0.25">
      <c r="H388" s="23">
        <f t="shared" si="12"/>
        <v>0</v>
      </c>
      <c r="I388" s="23">
        <f t="shared" si="13"/>
        <v>0</v>
      </c>
    </row>
    <row r="389" spans="8:9" x14ac:dyDescent="0.25">
      <c r="H389" s="23">
        <f t="shared" si="12"/>
        <v>0</v>
      </c>
      <c r="I389" s="23">
        <f t="shared" si="13"/>
        <v>0</v>
      </c>
    </row>
    <row r="390" spans="8:9" x14ac:dyDescent="0.25">
      <c r="H390" s="23">
        <f t="shared" si="12"/>
        <v>0</v>
      </c>
      <c r="I390" s="23">
        <f t="shared" si="13"/>
        <v>0</v>
      </c>
    </row>
    <row r="391" spans="8:9" x14ac:dyDescent="0.25">
      <c r="H391" s="23">
        <f t="shared" si="12"/>
        <v>0</v>
      </c>
      <c r="I391" s="23">
        <f t="shared" si="13"/>
        <v>0</v>
      </c>
    </row>
    <row r="392" spans="8:9" x14ac:dyDescent="0.25">
      <c r="H392" s="23">
        <f t="shared" si="12"/>
        <v>0</v>
      </c>
      <c r="I392" s="23">
        <f t="shared" si="13"/>
        <v>0</v>
      </c>
    </row>
    <row r="393" spans="8:9" x14ac:dyDescent="0.25">
      <c r="H393" s="23">
        <f t="shared" si="12"/>
        <v>0</v>
      </c>
      <c r="I393" s="23">
        <f t="shared" si="13"/>
        <v>0</v>
      </c>
    </row>
    <row r="394" spans="8:9" x14ac:dyDescent="0.25">
      <c r="H394" s="23">
        <f t="shared" si="12"/>
        <v>0</v>
      </c>
      <c r="I394" s="23">
        <f t="shared" si="13"/>
        <v>0</v>
      </c>
    </row>
    <row r="395" spans="8:9" x14ac:dyDescent="0.25">
      <c r="H395" s="23">
        <f t="shared" si="12"/>
        <v>0</v>
      </c>
      <c r="I395" s="23">
        <f t="shared" si="13"/>
        <v>0</v>
      </c>
    </row>
    <row r="396" spans="8:9" x14ac:dyDescent="0.25">
      <c r="H396" s="23">
        <f t="shared" si="12"/>
        <v>0</v>
      </c>
      <c r="I396" s="23">
        <f t="shared" si="13"/>
        <v>0</v>
      </c>
    </row>
    <row r="397" spans="8:9" x14ac:dyDescent="0.25">
      <c r="H397" s="23">
        <f t="shared" si="12"/>
        <v>0</v>
      </c>
      <c r="I397" s="23">
        <f t="shared" si="13"/>
        <v>0</v>
      </c>
    </row>
    <row r="398" spans="8:9" x14ac:dyDescent="0.25">
      <c r="H398" s="23">
        <f t="shared" si="12"/>
        <v>0</v>
      </c>
      <c r="I398" s="23">
        <f t="shared" si="13"/>
        <v>0</v>
      </c>
    </row>
    <row r="399" spans="8:9" x14ac:dyDescent="0.25">
      <c r="H399" s="23">
        <f t="shared" si="12"/>
        <v>0</v>
      </c>
      <c r="I399" s="23">
        <f t="shared" si="13"/>
        <v>0</v>
      </c>
    </row>
    <row r="400" spans="8:9" x14ac:dyDescent="0.25">
      <c r="H400" s="23">
        <f t="shared" si="12"/>
        <v>0</v>
      </c>
      <c r="I400" s="23">
        <f t="shared" si="13"/>
        <v>0</v>
      </c>
    </row>
    <row r="401" spans="8:9" x14ac:dyDescent="0.25">
      <c r="H401" s="23">
        <f t="shared" si="12"/>
        <v>0</v>
      </c>
      <c r="I401" s="23">
        <f t="shared" si="13"/>
        <v>0</v>
      </c>
    </row>
    <row r="402" spans="8:9" x14ac:dyDescent="0.25">
      <c r="H402" s="23">
        <f t="shared" si="12"/>
        <v>0</v>
      </c>
      <c r="I402" s="23">
        <f t="shared" si="13"/>
        <v>0</v>
      </c>
    </row>
    <row r="403" spans="8:9" x14ac:dyDescent="0.25">
      <c r="H403" s="23">
        <f t="shared" si="12"/>
        <v>0</v>
      </c>
      <c r="I403" s="23">
        <f t="shared" si="13"/>
        <v>0</v>
      </c>
    </row>
    <row r="404" spans="8:9" x14ac:dyDescent="0.25">
      <c r="H404" s="23">
        <f t="shared" si="12"/>
        <v>0</v>
      </c>
      <c r="I404" s="23">
        <f t="shared" si="13"/>
        <v>0</v>
      </c>
    </row>
    <row r="405" spans="8:9" x14ac:dyDescent="0.25">
      <c r="H405" s="23">
        <f t="shared" si="12"/>
        <v>0</v>
      </c>
      <c r="I405" s="23">
        <f t="shared" si="13"/>
        <v>0</v>
      </c>
    </row>
    <row r="406" spans="8:9" x14ac:dyDescent="0.25">
      <c r="H406" s="23">
        <f t="shared" si="12"/>
        <v>0</v>
      </c>
      <c r="I406" s="23">
        <f t="shared" si="13"/>
        <v>0</v>
      </c>
    </row>
    <row r="407" spans="8:9" x14ac:dyDescent="0.25">
      <c r="H407" s="23">
        <f t="shared" si="12"/>
        <v>0</v>
      </c>
      <c r="I407" s="23">
        <f t="shared" si="13"/>
        <v>0</v>
      </c>
    </row>
    <row r="408" spans="8:9" x14ac:dyDescent="0.25">
      <c r="H408" s="23">
        <f t="shared" si="12"/>
        <v>0</v>
      </c>
      <c r="I408" s="23">
        <f t="shared" si="13"/>
        <v>0</v>
      </c>
    </row>
    <row r="409" spans="8:9" x14ac:dyDescent="0.25">
      <c r="H409" s="23">
        <f t="shared" si="12"/>
        <v>0</v>
      </c>
      <c r="I409" s="23">
        <f t="shared" si="13"/>
        <v>0</v>
      </c>
    </row>
    <row r="410" spans="8:9" x14ac:dyDescent="0.25">
      <c r="H410" s="23">
        <f t="shared" si="12"/>
        <v>0</v>
      </c>
      <c r="I410" s="23">
        <f t="shared" si="13"/>
        <v>0</v>
      </c>
    </row>
    <row r="411" spans="8:9" x14ac:dyDescent="0.25">
      <c r="H411" s="23">
        <f t="shared" si="12"/>
        <v>0</v>
      </c>
      <c r="I411" s="23">
        <f t="shared" si="13"/>
        <v>0</v>
      </c>
    </row>
    <row r="412" spans="8:9" x14ac:dyDescent="0.25">
      <c r="H412" s="23">
        <f t="shared" si="12"/>
        <v>0</v>
      </c>
      <c r="I412" s="23">
        <f t="shared" si="13"/>
        <v>0</v>
      </c>
    </row>
    <row r="413" spans="8:9" x14ac:dyDescent="0.25">
      <c r="H413" s="23">
        <f t="shared" si="12"/>
        <v>0</v>
      </c>
      <c r="I413" s="23">
        <f t="shared" si="13"/>
        <v>0</v>
      </c>
    </row>
    <row r="414" spans="8:9" x14ac:dyDescent="0.25">
      <c r="H414" s="23">
        <f t="shared" si="12"/>
        <v>0</v>
      </c>
      <c r="I414" s="23">
        <f t="shared" si="13"/>
        <v>0</v>
      </c>
    </row>
    <row r="415" spans="8:9" x14ac:dyDescent="0.25">
      <c r="H415" s="23">
        <f t="shared" si="12"/>
        <v>0</v>
      </c>
      <c r="I415" s="23">
        <f t="shared" si="13"/>
        <v>0</v>
      </c>
    </row>
    <row r="416" spans="8:9" x14ac:dyDescent="0.25">
      <c r="H416" s="23">
        <f t="shared" si="12"/>
        <v>0</v>
      </c>
      <c r="I416" s="23">
        <f t="shared" si="13"/>
        <v>0</v>
      </c>
    </row>
    <row r="417" spans="8:9" x14ac:dyDescent="0.25">
      <c r="H417" s="23">
        <f t="shared" si="12"/>
        <v>0</v>
      </c>
      <c r="I417" s="23">
        <f t="shared" si="13"/>
        <v>0</v>
      </c>
    </row>
    <row r="418" spans="8:9" x14ac:dyDescent="0.25">
      <c r="H418" s="23">
        <f t="shared" si="12"/>
        <v>0</v>
      </c>
      <c r="I418" s="23">
        <f t="shared" si="13"/>
        <v>0</v>
      </c>
    </row>
    <row r="419" spans="8:9" x14ac:dyDescent="0.25">
      <c r="H419" s="23">
        <f t="shared" si="12"/>
        <v>0</v>
      </c>
      <c r="I419" s="23">
        <f t="shared" si="13"/>
        <v>0</v>
      </c>
    </row>
    <row r="420" spans="8:9" x14ac:dyDescent="0.25">
      <c r="H420" s="23">
        <f t="shared" si="12"/>
        <v>0</v>
      </c>
      <c r="I420" s="23">
        <f t="shared" si="13"/>
        <v>0</v>
      </c>
    </row>
    <row r="421" spans="8:9" x14ac:dyDescent="0.25">
      <c r="H421" s="23">
        <f t="shared" si="12"/>
        <v>0</v>
      </c>
      <c r="I421" s="23">
        <f t="shared" si="13"/>
        <v>0</v>
      </c>
    </row>
    <row r="422" spans="8:9" x14ac:dyDescent="0.25">
      <c r="H422" s="23">
        <f t="shared" si="12"/>
        <v>0</v>
      </c>
      <c r="I422" s="23">
        <f t="shared" si="13"/>
        <v>0</v>
      </c>
    </row>
    <row r="423" spans="8:9" x14ac:dyDescent="0.25">
      <c r="H423" s="23">
        <f t="shared" si="12"/>
        <v>0</v>
      </c>
      <c r="I423" s="23">
        <f t="shared" si="13"/>
        <v>0</v>
      </c>
    </row>
    <row r="424" spans="8:9" x14ac:dyDescent="0.25">
      <c r="H424" s="23">
        <f t="shared" si="12"/>
        <v>0</v>
      </c>
      <c r="I424" s="23">
        <f t="shared" si="13"/>
        <v>0</v>
      </c>
    </row>
    <row r="425" spans="8:9" x14ac:dyDescent="0.25">
      <c r="H425" s="23">
        <f t="shared" si="12"/>
        <v>0</v>
      </c>
      <c r="I425" s="23">
        <f t="shared" si="13"/>
        <v>0</v>
      </c>
    </row>
    <row r="426" spans="8:9" x14ac:dyDescent="0.25">
      <c r="H426" s="23">
        <f t="shared" si="12"/>
        <v>0</v>
      </c>
      <c r="I426" s="23">
        <f t="shared" si="13"/>
        <v>0</v>
      </c>
    </row>
    <row r="427" spans="8:9" x14ac:dyDescent="0.25">
      <c r="H427" s="23">
        <f t="shared" si="12"/>
        <v>0</v>
      </c>
      <c r="I427" s="23">
        <f t="shared" si="13"/>
        <v>0</v>
      </c>
    </row>
    <row r="428" spans="8:9" x14ac:dyDescent="0.25">
      <c r="H428" s="23">
        <f t="shared" si="12"/>
        <v>0</v>
      </c>
      <c r="I428" s="23">
        <f t="shared" si="13"/>
        <v>0</v>
      </c>
    </row>
    <row r="429" spans="8:9" x14ac:dyDescent="0.25">
      <c r="H429" s="23">
        <f t="shared" si="12"/>
        <v>0</v>
      </c>
      <c r="I429" s="23">
        <f t="shared" si="13"/>
        <v>0</v>
      </c>
    </row>
    <row r="430" spans="8:9" x14ac:dyDescent="0.25">
      <c r="H430" s="23">
        <f t="shared" si="12"/>
        <v>0</v>
      </c>
      <c r="I430" s="23">
        <f t="shared" si="13"/>
        <v>0</v>
      </c>
    </row>
    <row r="431" spans="8:9" x14ac:dyDescent="0.25">
      <c r="H431" s="23">
        <f t="shared" si="12"/>
        <v>0</v>
      </c>
      <c r="I431" s="23">
        <f t="shared" si="13"/>
        <v>0</v>
      </c>
    </row>
    <row r="432" spans="8:9" x14ac:dyDescent="0.25">
      <c r="H432" s="23">
        <f t="shared" si="12"/>
        <v>0</v>
      </c>
      <c r="I432" s="23">
        <f t="shared" si="13"/>
        <v>0</v>
      </c>
    </row>
    <row r="433" spans="8:9" x14ac:dyDescent="0.25">
      <c r="H433" s="23">
        <f t="shared" si="12"/>
        <v>0</v>
      </c>
      <c r="I433" s="23">
        <f t="shared" si="13"/>
        <v>0</v>
      </c>
    </row>
    <row r="434" spans="8:9" x14ac:dyDescent="0.25">
      <c r="H434" s="23">
        <f t="shared" si="12"/>
        <v>0</v>
      </c>
      <c r="I434" s="23">
        <f t="shared" si="13"/>
        <v>0</v>
      </c>
    </row>
    <row r="435" spans="8:9" x14ac:dyDescent="0.25">
      <c r="H435" s="23">
        <f t="shared" si="12"/>
        <v>0</v>
      </c>
      <c r="I435" s="23">
        <f t="shared" si="13"/>
        <v>0</v>
      </c>
    </row>
    <row r="436" spans="8:9" x14ac:dyDescent="0.25">
      <c r="H436" s="23">
        <f t="shared" si="12"/>
        <v>0</v>
      </c>
      <c r="I436" s="23">
        <f t="shared" si="13"/>
        <v>0</v>
      </c>
    </row>
    <row r="437" spans="8:9" x14ac:dyDescent="0.25">
      <c r="H437" s="23">
        <f t="shared" si="12"/>
        <v>0</v>
      </c>
      <c r="I437" s="23">
        <f t="shared" si="13"/>
        <v>0</v>
      </c>
    </row>
    <row r="438" spans="8:9" x14ac:dyDescent="0.25">
      <c r="H438" s="23">
        <f t="shared" si="12"/>
        <v>0</v>
      </c>
      <c r="I438" s="23">
        <f t="shared" si="13"/>
        <v>0</v>
      </c>
    </row>
    <row r="439" spans="8:9" x14ac:dyDescent="0.25">
      <c r="H439" s="23">
        <f t="shared" si="12"/>
        <v>0</v>
      </c>
      <c r="I439" s="23">
        <f t="shared" si="13"/>
        <v>0</v>
      </c>
    </row>
    <row r="440" spans="8:9" x14ac:dyDescent="0.25">
      <c r="H440" s="23">
        <f t="shared" si="12"/>
        <v>0</v>
      </c>
      <c r="I440" s="23">
        <f t="shared" si="13"/>
        <v>0</v>
      </c>
    </row>
    <row r="441" spans="8:9" x14ac:dyDescent="0.25">
      <c r="H441" s="23">
        <f t="shared" si="12"/>
        <v>0</v>
      </c>
      <c r="I441" s="23">
        <f t="shared" si="13"/>
        <v>0</v>
      </c>
    </row>
    <row r="442" spans="8:9" x14ac:dyDescent="0.25">
      <c r="H442" s="23">
        <f t="shared" si="12"/>
        <v>0</v>
      </c>
      <c r="I442" s="23">
        <f t="shared" si="13"/>
        <v>0</v>
      </c>
    </row>
    <row r="443" spans="8:9" x14ac:dyDescent="0.25">
      <c r="H443" s="23">
        <f t="shared" si="12"/>
        <v>0</v>
      </c>
      <c r="I443" s="23">
        <f t="shared" si="13"/>
        <v>0</v>
      </c>
    </row>
    <row r="444" spans="8:9" x14ac:dyDescent="0.25">
      <c r="H444" s="23">
        <f t="shared" si="12"/>
        <v>0</v>
      </c>
      <c r="I444" s="23">
        <f t="shared" si="13"/>
        <v>0</v>
      </c>
    </row>
    <row r="445" spans="8:9" x14ac:dyDescent="0.25">
      <c r="H445" s="23">
        <f t="shared" si="12"/>
        <v>0</v>
      </c>
      <c r="I445" s="23">
        <f t="shared" si="13"/>
        <v>0</v>
      </c>
    </row>
    <row r="446" spans="8:9" x14ac:dyDescent="0.25">
      <c r="H446" s="23">
        <f t="shared" si="12"/>
        <v>0</v>
      </c>
      <c r="I446" s="23">
        <f t="shared" si="13"/>
        <v>0</v>
      </c>
    </row>
    <row r="447" spans="8:9" x14ac:dyDescent="0.25">
      <c r="H447" s="23">
        <f t="shared" si="12"/>
        <v>0</v>
      </c>
      <c r="I447" s="23">
        <f t="shared" si="13"/>
        <v>0</v>
      </c>
    </row>
    <row r="448" spans="8:9" x14ac:dyDescent="0.25">
      <c r="H448" s="23">
        <f t="shared" si="12"/>
        <v>0</v>
      </c>
      <c r="I448" s="23">
        <f t="shared" si="13"/>
        <v>0</v>
      </c>
    </row>
    <row r="449" spans="8:9" x14ac:dyDescent="0.25">
      <c r="H449" s="23">
        <f t="shared" si="12"/>
        <v>0</v>
      </c>
      <c r="I449" s="23">
        <f t="shared" si="13"/>
        <v>0</v>
      </c>
    </row>
    <row r="450" spans="8:9" x14ac:dyDescent="0.25">
      <c r="H450" s="23">
        <f t="shared" si="12"/>
        <v>0</v>
      </c>
      <c r="I450" s="23">
        <f t="shared" si="13"/>
        <v>0</v>
      </c>
    </row>
    <row r="451" spans="8:9" x14ac:dyDescent="0.25">
      <c r="H451" s="23">
        <f t="shared" ref="H451:H514" si="14">+E451*15+F451*18</f>
        <v>0</v>
      </c>
      <c r="I451" s="23">
        <f t="shared" ref="I451:I514" si="15">+F451+E451</f>
        <v>0</v>
      </c>
    </row>
    <row r="452" spans="8:9" x14ac:dyDescent="0.25">
      <c r="H452" s="23">
        <f t="shared" si="14"/>
        <v>0</v>
      </c>
      <c r="I452" s="23">
        <f t="shared" si="15"/>
        <v>0</v>
      </c>
    </row>
    <row r="453" spans="8:9" x14ac:dyDescent="0.25">
      <c r="H453" s="23">
        <f t="shared" si="14"/>
        <v>0</v>
      </c>
      <c r="I453" s="23">
        <f t="shared" si="15"/>
        <v>0</v>
      </c>
    </row>
    <row r="454" spans="8:9" x14ac:dyDescent="0.25">
      <c r="H454" s="23">
        <f t="shared" si="14"/>
        <v>0</v>
      </c>
      <c r="I454" s="23">
        <f t="shared" si="15"/>
        <v>0</v>
      </c>
    </row>
    <row r="455" spans="8:9" x14ac:dyDescent="0.25">
      <c r="H455" s="23">
        <f t="shared" si="14"/>
        <v>0</v>
      </c>
      <c r="I455" s="23">
        <f t="shared" si="15"/>
        <v>0</v>
      </c>
    </row>
    <row r="456" spans="8:9" x14ac:dyDescent="0.25">
      <c r="H456" s="23">
        <f t="shared" si="14"/>
        <v>0</v>
      </c>
      <c r="I456" s="23">
        <f t="shared" si="15"/>
        <v>0</v>
      </c>
    </row>
    <row r="457" spans="8:9" x14ac:dyDescent="0.25">
      <c r="H457" s="23">
        <f t="shared" si="14"/>
        <v>0</v>
      </c>
      <c r="I457" s="23">
        <f t="shared" si="15"/>
        <v>0</v>
      </c>
    </row>
    <row r="458" spans="8:9" x14ac:dyDescent="0.25">
      <c r="H458" s="23">
        <f t="shared" si="14"/>
        <v>0</v>
      </c>
      <c r="I458" s="23">
        <f t="shared" si="15"/>
        <v>0</v>
      </c>
    </row>
    <row r="459" spans="8:9" x14ac:dyDescent="0.25">
      <c r="H459" s="23">
        <f t="shared" si="14"/>
        <v>0</v>
      </c>
      <c r="I459" s="23">
        <f t="shared" si="15"/>
        <v>0</v>
      </c>
    </row>
    <row r="460" spans="8:9" x14ac:dyDescent="0.25">
      <c r="H460" s="23">
        <f t="shared" si="14"/>
        <v>0</v>
      </c>
      <c r="I460" s="23">
        <f t="shared" si="15"/>
        <v>0</v>
      </c>
    </row>
    <row r="461" spans="8:9" x14ac:dyDescent="0.25">
      <c r="H461" s="23">
        <f t="shared" si="14"/>
        <v>0</v>
      </c>
      <c r="I461" s="23">
        <f t="shared" si="15"/>
        <v>0</v>
      </c>
    </row>
    <row r="462" spans="8:9" x14ac:dyDescent="0.25">
      <c r="H462" s="23">
        <f t="shared" si="14"/>
        <v>0</v>
      </c>
      <c r="I462" s="23">
        <f t="shared" si="15"/>
        <v>0</v>
      </c>
    </row>
    <row r="463" spans="8:9" x14ac:dyDescent="0.25">
      <c r="H463" s="23">
        <f t="shared" si="14"/>
        <v>0</v>
      </c>
      <c r="I463" s="23">
        <f t="shared" si="15"/>
        <v>0</v>
      </c>
    </row>
    <row r="464" spans="8:9" x14ac:dyDescent="0.25">
      <c r="H464" s="23">
        <f t="shared" si="14"/>
        <v>0</v>
      </c>
      <c r="I464" s="23">
        <f t="shared" si="15"/>
        <v>0</v>
      </c>
    </row>
    <row r="465" spans="8:9" x14ac:dyDescent="0.25">
      <c r="H465" s="23">
        <f t="shared" si="14"/>
        <v>0</v>
      </c>
      <c r="I465" s="23">
        <f t="shared" si="15"/>
        <v>0</v>
      </c>
    </row>
    <row r="466" spans="8:9" x14ac:dyDescent="0.25">
      <c r="H466" s="23">
        <f t="shared" si="14"/>
        <v>0</v>
      </c>
      <c r="I466" s="23">
        <f t="shared" si="15"/>
        <v>0</v>
      </c>
    </row>
    <row r="467" spans="8:9" x14ac:dyDescent="0.25">
      <c r="H467" s="23">
        <f t="shared" si="14"/>
        <v>0</v>
      </c>
      <c r="I467" s="23">
        <f t="shared" si="15"/>
        <v>0</v>
      </c>
    </row>
    <row r="468" spans="8:9" x14ac:dyDescent="0.25">
      <c r="H468" s="23">
        <f t="shared" si="14"/>
        <v>0</v>
      </c>
      <c r="I468" s="23">
        <f t="shared" si="15"/>
        <v>0</v>
      </c>
    </row>
    <row r="469" spans="8:9" x14ac:dyDescent="0.25">
      <c r="H469" s="23">
        <f t="shared" si="14"/>
        <v>0</v>
      </c>
      <c r="I469" s="23">
        <f t="shared" si="15"/>
        <v>0</v>
      </c>
    </row>
    <row r="470" spans="8:9" x14ac:dyDescent="0.25">
      <c r="H470" s="23">
        <f t="shared" si="14"/>
        <v>0</v>
      </c>
      <c r="I470" s="23">
        <f t="shared" si="15"/>
        <v>0</v>
      </c>
    </row>
    <row r="471" spans="8:9" x14ac:dyDescent="0.25">
      <c r="H471" s="23">
        <f t="shared" si="14"/>
        <v>0</v>
      </c>
      <c r="I471" s="23">
        <f t="shared" si="15"/>
        <v>0</v>
      </c>
    </row>
    <row r="472" spans="8:9" x14ac:dyDescent="0.25">
      <c r="H472" s="23">
        <f t="shared" si="14"/>
        <v>0</v>
      </c>
      <c r="I472" s="23">
        <f t="shared" si="15"/>
        <v>0</v>
      </c>
    </row>
    <row r="473" spans="8:9" x14ac:dyDescent="0.25">
      <c r="H473" s="23">
        <f t="shared" si="14"/>
        <v>0</v>
      </c>
      <c r="I473" s="23">
        <f t="shared" si="15"/>
        <v>0</v>
      </c>
    </row>
    <row r="474" spans="8:9" x14ac:dyDescent="0.25">
      <c r="H474" s="23">
        <f t="shared" si="14"/>
        <v>0</v>
      </c>
      <c r="I474" s="23">
        <f t="shared" si="15"/>
        <v>0</v>
      </c>
    </row>
    <row r="475" spans="8:9" x14ac:dyDescent="0.25">
      <c r="H475" s="23">
        <f t="shared" si="14"/>
        <v>0</v>
      </c>
      <c r="I475" s="23">
        <f t="shared" si="15"/>
        <v>0</v>
      </c>
    </row>
    <row r="476" spans="8:9" x14ac:dyDescent="0.25">
      <c r="H476" s="23">
        <f t="shared" si="14"/>
        <v>0</v>
      </c>
      <c r="I476" s="23">
        <f t="shared" si="15"/>
        <v>0</v>
      </c>
    </row>
    <row r="477" spans="8:9" x14ac:dyDescent="0.25">
      <c r="H477" s="23">
        <f t="shared" si="14"/>
        <v>0</v>
      </c>
      <c r="I477" s="23">
        <f t="shared" si="15"/>
        <v>0</v>
      </c>
    </row>
    <row r="478" spans="8:9" x14ac:dyDescent="0.25">
      <c r="H478" s="23">
        <f t="shared" si="14"/>
        <v>0</v>
      </c>
      <c r="I478" s="23">
        <f t="shared" si="15"/>
        <v>0</v>
      </c>
    </row>
    <row r="479" spans="8:9" x14ac:dyDescent="0.25">
      <c r="H479" s="23">
        <f t="shared" si="14"/>
        <v>0</v>
      </c>
      <c r="I479" s="23">
        <f t="shared" si="15"/>
        <v>0</v>
      </c>
    </row>
    <row r="480" spans="8:9" x14ac:dyDescent="0.25">
      <c r="H480" s="23">
        <f t="shared" si="14"/>
        <v>0</v>
      </c>
      <c r="I480" s="23">
        <f t="shared" si="15"/>
        <v>0</v>
      </c>
    </row>
    <row r="481" spans="8:9" x14ac:dyDescent="0.25">
      <c r="H481" s="23">
        <f t="shared" si="14"/>
        <v>0</v>
      </c>
      <c r="I481" s="23">
        <f t="shared" si="15"/>
        <v>0</v>
      </c>
    </row>
    <row r="482" spans="8:9" x14ac:dyDescent="0.25">
      <c r="H482" s="23">
        <f t="shared" si="14"/>
        <v>0</v>
      </c>
      <c r="I482" s="23">
        <f t="shared" si="15"/>
        <v>0</v>
      </c>
    </row>
    <row r="483" spans="8:9" x14ac:dyDescent="0.25">
      <c r="H483" s="23">
        <f t="shared" si="14"/>
        <v>0</v>
      </c>
      <c r="I483" s="23">
        <f t="shared" si="15"/>
        <v>0</v>
      </c>
    </row>
    <row r="484" spans="8:9" x14ac:dyDescent="0.25">
      <c r="H484" s="23">
        <f t="shared" si="14"/>
        <v>0</v>
      </c>
      <c r="I484" s="23">
        <f t="shared" si="15"/>
        <v>0</v>
      </c>
    </row>
    <row r="485" spans="8:9" x14ac:dyDescent="0.25">
      <c r="H485" s="23">
        <f t="shared" si="14"/>
        <v>0</v>
      </c>
      <c r="I485" s="23">
        <f t="shared" si="15"/>
        <v>0</v>
      </c>
    </row>
    <row r="486" spans="8:9" x14ac:dyDescent="0.25">
      <c r="H486" s="23">
        <f t="shared" si="14"/>
        <v>0</v>
      </c>
      <c r="I486" s="23">
        <f t="shared" si="15"/>
        <v>0</v>
      </c>
    </row>
    <row r="487" spans="8:9" x14ac:dyDescent="0.25">
      <c r="H487" s="23">
        <f t="shared" si="14"/>
        <v>0</v>
      </c>
      <c r="I487" s="23">
        <f t="shared" si="15"/>
        <v>0</v>
      </c>
    </row>
    <row r="488" spans="8:9" x14ac:dyDescent="0.25">
      <c r="H488" s="23">
        <f t="shared" si="14"/>
        <v>0</v>
      </c>
      <c r="I488" s="23">
        <f t="shared" si="15"/>
        <v>0</v>
      </c>
    </row>
    <row r="489" spans="8:9" x14ac:dyDescent="0.25">
      <c r="H489" s="23">
        <f t="shared" si="14"/>
        <v>0</v>
      </c>
      <c r="I489" s="23">
        <f t="shared" si="15"/>
        <v>0</v>
      </c>
    </row>
    <row r="490" spans="8:9" x14ac:dyDescent="0.25">
      <c r="H490" s="23">
        <f t="shared" si="14"/>
        <v>0</v>
      </c>
      <c r="I490" s="23">
        <f t="shared" si="15"/>
        <v>0</v>
      </c>
    </row>
    <row r="491" spans="8:9" x14ac:dyDescent="0.25">
      <c r="H491" s="23">
        <f t="shared" si="14"/>
        <v>0</v>
      </c>
      <c r="I491" s="23">
        <f t="shared" si="15"/>
        <v>0</v>
      </c>
    </row>
    <row r="492" spans="8:9" x14ac:dyDescent="0.25">
      <c r="H492" s="23">
        <f t="shared" si="14"/>
        <v>0</v>
      </c>
      <c r="I492" s="23">
        <f t="shared" si="15"/>
        <v>0</v>
      </c>
    </row>
    <row r="493" spans="8:9" x14ac:dyDescent="0.25">
      <c r="H493" s="23">
        <f t="shared" si="14"/>
        <v>0</v>
      </c>
      <c r="I493" s="23">
        <f t="shared" si="15"/>
        <v>0</v>
      </c>
    </row>
    <row r="494" spans="8:9" x14ac:dyDescent="0.25">
      <c r="H494" s="23">
        <f t="shared" si="14"/>
        <v>0</v>
      </c>
      <c r="I494" s="23">
        <f t="shared" si="15"/>
        <v>0</v>
      </c>
    </row>
    <row r="495" spans="8:9" x14ac:dyDescent="0.25">
      <c r="H495" s="23">
        <f t="shared" si="14"/>
        <v>0</v>
      </c>
      <c r="I495" s="23">
        <f t="shared" si="15"/>
        <v>0</v>
      </c>
    </row>
    <row r="496" spans="8:9" x14ac:dyDescent="0.25">
      <c r="H496" s="23">
        <f t="shared" si="14"/>
        <v>0</v>
      </c>
      <c r="I496" s="23">
        <f t="shared" si="15"/>
        <v>0</v>
      </c>
    </row>
    <row r="497" spans="8:9" x14ac:dyDescent="0.25">
      <c r="H497" s="23">
        <f t="shared" si="14"/>
        <v>0</v>
      </c>
      <c r="I497" s="23">
        <f t="shared" si="15"/>
        <v>0</v>
      </c>
    </row>
    <row r="498" spans="8:9" x14ac:dyDescent="0.25">
      <c r="H498" s="23">
        <f t="shared" si="14"/>
        <v>0</v>
      </c>
      <c r="I498" s="23">
        <f t="shared" si="15"/>
        <v>0</v>
      </c>
    </row>
    <row r="499" spans="8:9" x14ac:dyDescent="0.25">
      <c r="H499" s="23">
        <f t="shared" si="14"/>
        <v>0</v>
      </c>
      <c r="I499" s="23">
        <f t="shared" si="15"/>
        <v>0</v>
      </c>
    </row>
    <row r="500" spans="8:9" x14ac:dyDescent="0.25">
      <c r="H500" s="23">
        <f t="shared" si="14"/>
        <v>0</v>
      </c>
      <c r="I500" s="23">
        <f t="shared" si="15"/>
        <v>0</v>
      </c>
    </row>
    <row r="501" spans="8:9" x14ac:dyDescent="0.25">
      <c r="H501" s="23">
        <f t="shared" si="14"/>
        <v>0</v>
      </c>
      <c r="I501" s="23">
        <f t="shared" si="15"/>
        <v>0</v>
      </c>
    </row>
    <row r="502" spans="8:9" x14ac:dyDescent="0.25">
      <c r="H502" s="23">
        <f t="shared" si="14"/>
        <v>0</v>
      </c>
      <c r="I502" s="23">
        <f t="shared" si="15"/>
        <v>0</v>
      </c>
    </row>
    <row r="503" spans="8:9" x14ac:dyDescent="0.25">
      <c r="H503" s="23">
        <f t="shared" si="14"/>
        <v>0</v>
      </c>
      <c r="I503" s="23">
        <f t="shared" si="15"/>
        <v>0</v>
      </c>
    </row>
    <row r="504" spans="8:9" x14ac:dyDescent="0.25">
      <c r="H504" s="23">
        <f t="shared" si="14"/>
        <v>0</v>
      </c>
      <c r="I504" s="23">
        <f t="shared" si="15"/>
        <v>0</v>
      </c>
    </row>
    <row r="505" spans="8:9" x14ac:dyDescent="0.25">
      <c r="H505" s="23">
        <f t="shared" si="14"/>
        <v>0</v>
      </c>
      <c r="I505" s="23">
        <f t="shared" si="15"/>
        <v>0</v>
      </c>
    </row>
    <row r="506" spans="8:9" x14ac:dyDescent="0.25">
      <c r="H506" s="23">
        <f t="shared" si="14"/>
        <v>0</v>
      </c>
      <c r="I506" s="23">
        <f t="shared" si="15"/>
        <v>0</v>
      </c>
    </row>
    <row r="507" spans="8:9" x14ac:dyDescent="0.25">
      <c r="H507" s="23">
        <f t="shared" si="14"/>
        <v>0</v>
      </c>
      <c r="I507" s="23">
        <f t="shared" si="15"/>
        <v>0</v>
      </c>
    </row>
    <row r="508" spans="8:9" x14ac:dyDescent="0.25">
      <c r="H508" s="23">
        <f t="shared" si="14"/>
        <v>0</v>
      </c>
      <c r="I508" s="23">
        <f t="shared" si="15"/>
        <v>0</v>
      </c>
    </row>
    <row r="509" spans="8:9" x14ac:dyDescent="0.25">
      <c r="H509" s="23">
        <f t="shared" si="14"/>
        <v>0</v>
      </c>
      <c r="I509" s="23">
        <f t="shared" si="15"/>
        <v>0</v>
      </c>
    </row>
    <row r="510" spans="8:9" x14ac:dyDescent="0.25">
      <c r="H510" s="23">
        <f t="shared" si="14"/>
        <v>0</v>
      </c>
      <c r="I510" s="23">
        <f t="shared" si="15"/>
        <v>0</v>
      </c>
    </row>
    <row r="511" spans="8:9" x14ac:dyDescent="0.25">
      <c r="H511" s="23">
        <f t="shared" si="14"/>
        <v>0</v>
      </c>
      <c r="I511" s="23">
        <f t="shared" si="15"/>
        <v>0</v>
      </c>
    </row>
    <row r="512" spans="8:9" x14ac:dyDescent="0.25">
      <c r="H512" s="23">
        <f t="shared" si="14"/>
        <v>0</v>
      </c>
      <c r="I512" s="23">
        <f t="shared" si="15"/>
        <v>0</v>
      </c>
    </row>
    <row r="513" spans="1:9" x14ac:dyDescent="0.25">
      <c r="H513" s="23">
        <f t="shared" si="14"/>
        <v>0</v>
      </c>
      <c r="I513" s="23">
        <f t="shared" si="15"/>
        <v>0</v>
      </c>
    </row>
    <row r="514" spans="1:9" x14ac:dyDescent="0.25">
      <c r="H514" s="23">
        <f t="shared" si="14"/>
        <v>0</v>
      </c>
      <c r="I514" s="23">
        <f t="shared" si="15"/>
        <v>0</v>
      </c>
    </row>
    <row r="515" spans="1:9" x14ac:dyDescent="0.25">
      <c r="H515" s="23">
        <f t="shared" ref="H515:H518" si="16">+E515*15+F515*18</f>
        <v>0</v>
      </c>
      <c r="I515" s="23">
        <f t="shared" ref="I515:I518" si="17">+F515+E515</f>
        <v>0</v>
      </c>
    </row>
    <row r="516" spans="1:9" x14ac:dyDescent="0.25">
      <c r="H516" s="23">
        <f t="shared" si="16"/>
        <v>0</v>
      </c>
      <c r="I516" s="23">
        <f t="shared" si="17"/>
        <v>0</v>
      </c>
    </row>
    <row r="517" spans="1:9" x14ac:dyDescent="0.25">
      <c r="H517" s="23">
        <f t="shared" si="16"/>
        <v>0</v>
      </c>
      <c r="I517" s="23">
        <f t="shared" si="17"/>
        <v>0</v>
      </c>
    </row>
    <row r="518" spans="1:9" x14ac:dyDescent="0.25">
      <c r="H518" s="23">
        <f t="shared" si="16"/>
        <v>0</v>
      </c>
      <c r="I518" s="23">
        <f t="shared" si="17"/>
        <v>0</v>
      </c>
    </row>
    <row r="519" spans="1:9" x14ac:dyDescent="0.25">
      <c r="A519" s="44">
        <v>46118</v>
      </c>
    </row>
  </sheetData>
  <sheetProtection algorithmName="SHA-512" hashValue="m43tc54rPScrz5BV9MBuIxQe0aaOjowNg2y/CUjAivx5qlvC/7/e9iNw2nNpDJJCIVUFN5aSK5Dw7B+pXtuMfQ==" saltValue="rCNNYzZMWjNH8IIB8yoqPg==" spinCount="100000" sheet="1" objects="1" scenarios="1"/>
  <autoFilter ref="A1:M519" xr:uid="{292B227A-C8F8-4308-B1FE-ACF76F08E4B4}"/>
  <phoneticPr fontId="2" type="noConversion"/>
  <dataValidations count="1">
    <dataValidation type="list" allowBlank="1" showInputMessage="1" showErrorMessage="1" sqref="G1:G1048576" xr:uid="{81A77114-1F59-41CD-B364-D9A17E2B3D9F}">
      <formula1>$M$1:$M$2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214317-26D6-45F4-AF3B-996EB63E6284}">
          <x14:formula1>
            <xm:f>'Produccion por productor'!#REF!</xm:f>
          </x14:formula1>
          <xm:sqref>B519:C1048576 B1:C511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106D-2100-41B6-BDE2-E20EBC4FE868}">
  <sheetPr codeName="Hoja9"/>
  <dimension ref="A1:O1308"/>
  <sheetViews>
    <sheetView workbookViewId="0">
      <pane ySplit="1" topLeftCell="A107" activePane="bottomLeft" state="frozen"/>
      <selection pane="bottomLeft" activeCell="L121" sqref="L121"/>
    </sheetView>
  </sheetViews>
  <sheetFormatPr baseColWidth="10" defaultRowHeight="15" x14ac:dyDescent="0.25"/>
  <cols>
    <col min="1" max="2" width="11.42578125" style="1"/>
    <col min="3" max="3" width="14" style="1" bestFit="1" customWidth="1"/>
    <col min="4" max="4" width="12.7109375" style="1" customWidth="1"/>
    <col min="5" max="5" width="16.42578125" style="1" bestFit="1" customWidth="1"/>
    <col min="6" max="6" width="14" style="114" customWidth="1"/>
    <col min="7" max="7" width="14.28515625" style="114" customWidth="1"/>
    <col min="8" max="8" width="13.42578125" style="37" customWidth="1"/>
    <col min="10" max="12" width="11.42578125" style="1"/>
    <col min="13" max="13" width="12.85546875" style="91" customWidth="1"/>
    <col min="14" max="14" width="14.85546875" style="89" customWidth="1"/>
  </cols>
  <sheetData>
    <row r="1" spans="1:15" ht="47.25" customHeight="1" x14ac:dyDescent="0.25">
      <c r="A1" s="38" t="s">
        <v>64</v>
      </c>
      <c r="B1" s="38" t="s">
        <v>46</v>
      </c>
      <c r="C1" s="38" t="s">
        <v>43</v>
      </c>
      <c r="D1" s="38" t="s">
        <v>66</v>
      </c>
      <c r="E1" s="38" t="s">
        <v>69</v>
      </c>
      <c r="F1" s="115" t="s">
        <v>319</v>
      </c>
      <c r="G1" s="122"/>
      <c r="H1" s="51" t="s">
        <v>86</v>
      </c>
      <c r="I1" s="118" t="s">
        <v>202</v>
      </c>
      <c r="J1" s="1" t="s">
        <v>83</v>
      </c>
      <c r="K1" s="1" t="s">
        <v>208</v>
      </c>
      <c r="L1" s="1" t="s">
        <v>209</v>
      </c>
      <c r="M1" s="90" t="s">
        <v>85</v>
      </c>
      <c r="N1" s="87" t="s">
        <v>84</v>
      </c>
    </row>
    <row r="2" spans="1:15" x14ac:dyDescent="0.25">
      <c r="A2" s="39">
        <v>46106</v>
      </c>
      <c r="B2" s="1">
        <v>1</v>
      </c>
      <c r="C2" s="1" t="s">
        <v>67</v>
      </c>
      <c r="D2" s="1" t="s">
        <v>98</v>
      </c>
      <c r="E2" s="1" t="s">
        <v>73</v>
      </c>
      <c r="F2" s="114">
        <v>48975</v>
      </c>
      <c r="G2" s="114">
        <f>+F2+I2</f>
        <v>48975</v>
      </c>
      <c r="H2" s="37">
        <f>+(F2*0.05)+F2</f>
        <v>51423.75</v>
      </c>
      <c r="J2" s="1">
        <v>60310</v>
      </c>
      <c r="M2" s="91">
        <f>+((H2/J2)+I2)*100</f>
        <v>85.265710495771842</v>
      </c>
      <c r="N2" s="88">
        <f t="shared" ref="N2:N64" si="0">+((F2+I2)/J2)*100</f>
        <v>81.205438567401757</v>
      </c>
    </row>
    <row r="3" spans="1:15" x14ac:dyDescent="0.25">
      <c r="A3" s="39">
        <v>46107</v>
      </c>
      <c r="B3" s="1">
        <v>1</v>
      </c>
      <c r="C3" s="1" t="s">
        <v>67</v>
      </c>
      <c r="D3" s="1" t="s">
        <v>98</v>
      </c>
      <c r="E3" s="1" t="s">
        <v>73</v>
      </c>
      <c r="F3" s="114">
        <v>75945</v>
      </c>
      <c r="G3" s="114">
        <f t="shared" ref="G3:G65" si="1">+F3+I3</f>
        <v>75945</v>
      </c>
      <c r="H3" s="37">
        <f t="shared" ref="H3:H65" si="2">+(F3*0.05)+F3</f>
        <v>79742.25</v>
      </c>
      <c r="J3" s="1">
        <v>97680</v>
      </c>
      <c r="M3" s="91">
        <f>+((H3+I3)/J3)*100</f>
        <v>81.636210073710075</v>
      </c>
      <c r="N3" s="88">
        <f t="shared" si="0"/>
        <v>77.74877149877149</v>
      </c>
    </row>
    <row r="4" spans="1:15" x14ac:dyDescent="0.25">
      <c r="A4" s="39">
        <v>46108</v>
      </c>
      <c r="B4" s="1">
        <v>1</v>
      </c>
      <c r="C4" s="1" t="s">
        <v>67</v>
      </c>
      <c r="D4" s="1" t="s">
        <v>98</v>
      </c>
      <c r="E4" s="1" t="s">
        <v>73</v>
      </c>
      <c r="F4" s="114">
        <v>37041</v>
      </c>
      <c r="G4" s="114">
        <f t="shared" si="1"/>
        <v>37041</v>
      </c>
      <c r="H4" s="37">
        <f t="shared" si="2"/>
        <v>38893.050000000003</v>
      </c>
      <c r="J4" s="1">
        <v>56610</v>
      </c>
      <c r="M4" s="91">
        <f t="shared" ref="M4:M66" si="3">+((H4+I4)/J4)*100</f>
        <v>68.703497615262322</v>
      </c>
      <c r="N4" s="88">
        <f t="shared" si="0"/>
        <v>65.431902490726017</v>
      </c>
    </row>
    <row r="5" spans="1:15" x14ac:dyDescent="0.25">
      <c r="A5" s="39">
        <v>46108</v>
      </c>
      <c r="B5" s="1">
        <v>1</v>
      </c>
      <c r="C5" s="1" t="s">
        <v>21</v>
      </c>
      <c r="D5" s="1" t="s">
        <v>213</v>
      </c>
      <c r="E5" s="1" t="s">
        <v>70</v>
      </c>
      <c r="F5" s="114">
        <f>18897+1026</f>
        <v>19923</v>
      </c>
      <c r="G5" s="114">
        <f t="shared" si="1"/>
        <v>20949</v>
      </c>
      <c r="H5" s="37">
        <f t="shared" si="2"/>
        <v>20919.150000000001</v>
      </c>
      <c r="I5">
        <v>1026</v>
      </c>
      <c r="J5" s="1">
        <v>35890</v>
      </c>
      <c r="M5" s="91">
        <f t="shared" si="3"/>
        <v>61.145583728057964</v>
      </c>
      <c r="N5" s="88">
        <f t="shared" si="0"/>
        <v>58.37001950404013</v>
      </c>
    </row>
    <row r="6" spans="1:15" x14ac:dyDescent="0.25">
      <c r="A6" s="39">
        <v>46108</v>
      </c>
      <c r="B6" s="1">
        <v>1</v>
      </c>
      <c r="C6" s="12" t="s">
        <v>185</v>
      </c>
      <c r="D6" s="1" t="s">
        <v>214</v>
      </c>
      <c r="E6" s="1" t="s">
        <v>48</v>
      </c>
      <c r="F6" s="114">
        <v>44226</v>
      </c>
      <c r="G6" s="114">
        <f t="shared" si="1"/>
        <v>44226</v>
      </c>
      <c r="H6" s="37">
        <f t="shared" si="2"/>
        <v>46437.3</v>
      </c>
      <c r="I6">
        <f>+L6-K6</f>
        <v>0</v>
      </c>
      <c r="J6" s="1">
        <v>59200</v>
      </c>
      <c r="M6" s="91">
        <f t="shared" si="3"/>
        <v>78.44138513513515</v>
      </c>
      <c r="N6" s="88">
        <f t="shared" si="0"/>
        <v>74.706081081081081</v>
      </c>
    </row>
    <row r="7" spans="1:15" x14ac:dyDescent="0.25">
      <c r="A7" s="39">
        <v>46109</v>
      </c>
      <c r="B7" s="1">
        <v>1</v>
      </c>
      <c r="C7" s="1" t="s">
        <v>67</v>
      </c>
      <c r="D7" s="1" t="s">
        <v>98</v>
      </c>
      <c r="E7" s="1" t="s">
        <v>73</v>
      </c>
      <c r="F7" s="114">
        <v>50643</v>
      </c>
      <c r="G7" s="114">
        <f t="shared" si="1"/>
        <v>50805</v>
      </c>
      <c r="H7" s="37">
        <f t="shared" si="2"/>
        <v>53175.15</v>
      </c>
      <c r="I7">
        <v>162</v>
      </c>
      <c r="J7" s="1">
        <v>79550</v>
      </c>
      <c r="M7" s="91">
        <f t="shared" si="3"/>
        <v>67.048585795097424</v>
      </c>
      <c r="N7" s="88">
        <f t="shared" si="0"/>
        <v>63.865493400377126</v>
      </c>
    </row>
    <row r="8" spans="1:15" x14ac:dyDescent="0.25">
      <c r="A8" s="39">
        <v>46109</v>
      </c>
      <c r="B8" s="1">
        <v>1</v>
      </c>
      <c r="C8" s="1" t="s">
        <v>185</v>
      </c>
      <c r="D8" s="1" t="s">
        <v>214</v>
      </c>
      <c r="E8" s="1" t="s">
        <v>48</v>
      </c>
      <c r="F8" s="114">
        <v>9645</v>
      </c>
      <c r="G8" s="114">
        <f t="shared" si="1"/>
        <v>10191</v>
      </c>
      <c r="H8" s="37">
        <f t="shared" si="2"/>
        <v>10127.25</v>
      </c>
      <c r="I8">
        <v>546</v>
      </c>
      <c r="J8" s="1">
        <v>14060</v>
      </c>
      <c r="M8" s="91">
        <f t="shared" si="3"/>
        <v>75.912162162162161</v>
      </c>
      <c r="N8" s="88">
        <f t="shared" si="0"/>
        <v>72.482219061166433</v>
      </c>
    </row>
    <row r="9" spans="1:15" x14ac:dyDescent="0.25">
      <c r="A9" s="39">
        <v>46109</v>
      </c>
      <c r="B9" s="1">
        <v>1</v>
      </c>
      <c r="C9" s="1" t="s">
        <v>21</v>
      </c>
      <c r="D9" s="1" t="s">
        <v>213</v>
      </c>
      <c r="E9" s="1" t="s">
        <v>70</v>
      </c>
      <c r="F9" s="114">
        <v>5607</v>
      </c>
      <c r="G9" s="114">
        <f t="shared" si="1"/>
        <v>5607</v>
      </c>
      <c r="H9" s="37">
        <f t="shared" si="2"/>
        <v>5887.35</v>
      </c>
      <c r="J9" s="1">
        <v>6290</v>
      </c>
      <c r="M9" s="91">
        <f t="shared" si="3"/>
        <v>93.598569157392703</v>
      </c>
      <c r="N9" s="88">
        <f t="shared" si="0"/>
        <v>89.141494435612074</v>
      </c>
    </row>
    <row r="10" spans="1:15" x14ac:dyDescent="0.25">
      <c r="A10" s="39">
        <v>46111</v>
      </c>
      <c r="B10" s="1">
        <v>1</v>
      </c>
      <c r="C10" s="1" t="s">
        <v>67</v>
      </c>
      <c r="D10" s="1" t="s">
        <v>98</v>
      </c>
      <c r="E10" s="1" t="s">
        <v>73</v>
      </c>
      <c r="F10" s="114">
        <v>81339</v>
      </c>
      <c r="G10" s="114">
        <f t="shared" si="1"/>
        <v>81663</v>
      </c>
      <c r="H10" s="37">
        <f t="shared" si="2"/>
        <v>85405.95</v>
      </c>
      <c r="I10">
        <v>324</v>
      </c>
      <c r="J10" s="1">
        <v>112210</v>
      </c>
      <c r="M10" s="91">
        <f t="shared" si="3"/>
        <v>76.401345691114869</v>
      </c>
      <c r="N10" s="88">
        <f t="shared" si="0"/>
        <v>72.776936101951691</v>
      </c>
      <c r="O10">
        <v>669</v>
      </c>
    </row>
    <row r="11" spans="1:15" x14ac:dyDescent="0.25">
      <c r="A11" s="39">
        <v>46111</v>
      </c>
      <c r="B11" s="1">
        <v>1</v>
      </c>
      <c r="C11" s="1" t="s">
        <v>21</v>
      </c>
      <c r="D11" s="1" t="s">
        <v>235</v>
      </c>
      <c r="F11" s="114">
        <v>18306</v>
      </c>
      <c r="G11" s="114">
        <f t="shared" si="1"/>
        <v>19098</v>
      </c>
      <c r="H11" s="37">
        <f t="shared" si="2"/>
        <v>19221.3</v>
      </c>
      <c r="I11">
        <v>792</v>
      </c>
      <c r="J11" s="1">
        <v>34410</v>
      </c>
      <c r="M11" s="91">
        <f t="shared" si="3"/>
        <v>58.161290322580641</v>
      </c>
      <c r="N11" s="88">
        <f t="shared" si="0"/>
        <v>55.501307759372274</v>
      </c>
      <c r="O11">
        <v>419</v>
      </c>
    </row>
    <row r="12" spans="1:15" x14ac:dyDescent="0.25">
      <c r="A12" s="39">
        <v>46112</v>
      </c>
      <c r="B12" s="1">
        <v>1</v>
      </c>
      <c r="C12" s="1" t="s">
        <v>67</v>
      </c>
      <c r="D12" s="1" t="s">
        <v>98</v>
      </c>
      <c r="E12" s="1" t="s">
        <v>73</v>
      </c>
      <c r="F12" s="114">
        <v>62136</v>
      </c>
      <c r="G12" s="114">
        <f t="shared" si="1"/>
        <v>62964</v>
      </c>
      <c r="H12" s="37">
        <f t="shared" si="2"/>
        <v>65242.8</v>
      </c>
      <c r="I12">
        <f>+L12-K12</f>
        <v>828</v>
      </c>
      <c r="J12" s="114">
        <v>82510</v>
      </c>
      <c r="K12" s="1">
        <v>324</v>
      </c>
      <c r="L12" s="1">
        <v>1152</v>
      </c>
      <c r="M12" s="91">
        <f t="shared" si="3"/>
        <v>80.076111986425886</v>
      </c>
      <c r="N12" s="88">
        <f t="shared" si="0"/>
        <v>76.310750212095499</v>
      </c>
    </row>
    <row r="13" spans="1:15" x14ac:dyDescent="0.25">
      <c r="A13" s="39">
        <v>46113</v>
      </c>
      <c r="B13" s="1">
        <v>1</v>
      </c>
      <c r="C13" s="1" t="s">
        <v>21</v>
      </c>
      <c r="D13" s="1" t="s">
        <v>235</v>
      </c>
      <c r="F13" s="114">
        <v>5004</v>
      </c>
      <c r="G13" s="114">
        <f t="shared" si="1"/>
        <v>5004</v>
      </c>
      <c r="H13" s="37">
        <f t="shared" si="2"/>
        <v>5254.2</v>
      </c>
      <c r="I13">
        <v>0</v>
      </c>
      <c r="J13" s="114">
        <v>18500</v>
      </c>
      <c r="M13" s="91">
        <f t="shared" si="3"/>
        <v>28.401081081081081</v>
      </c>
      <c r="N13" s="88">
        <f t="shared" si="0"/>
        <v>27.048648648648648</v>
      </c>
    </row>
    <row r="14" spans="1:15" x14ac:dyDescent="0.25">
      <c r="A14" s="39">
        <v>46113</v>
      </c>
      <c r="B14" s="1">
        <v>1</v>
      </c>
      <c r="C14" s="1" t="s">
        <v>185</v>
      </c>
      <c r="F14" s="114">
        <v>2952</v>
      </c>
      <c r="G14" s="114">
        <f t="shared" si="1"/>
        <v>3672</v>
      </c>
      <c r="H14" s="37">
        <f t="shared" si="2"/>
        <v>3099.6</v>
      </c>
      <c r="I14">
        <f>+L14-K14</f>
        <v>720</v>
      </c>
      <c r="J14" s="1">
        <v>10730</v>
      </c>
      <c r="L14" s="1">
        <v>720</v>
      </c>
      <c r="M14" s="91">
        <f t="shared" si="3"/>
        <v>35.597390493942214</v>
      </c>
      <c r="N14" s="88">
        <f t="shared" si="0"/>
        <v>34.221808014911467</v>
      </c>
    </row>
    <row r="15" spans="1:15" x14ac:dyDescent="0.25">
      <c r="A15" s="39">
        <v>46113</v>
      </c>
      <c r="B15" s="1">
        <v>1</v>
      </c>
      <c r="C15" s="1" t="s">
        <v>67</v>
      </c>
      <c r="D15" s="1" t="s">
        <v>98</v>
      </c>
      <c r="E15" s="1" t="s">
        <v>73</v>
      </c>
      <c r="F15" s="114">
        <v>85580</v>
      </c>
      <c r="G15" s="114">
        <f t="shared" si="1"/>
        <v>84428</v>
      </c>
      <c r="H15" s="37">
        <f t="shared" si="2"/>
        <v>89859</v>
      </c>
      <c r="I15">
        <f t="shared" ref="I15:I77" si="4">+L15-K15</f>
        <v>-1152</v>
      </c>
      <c r="J15" s="1">
        <v>102860</v>
      </c>
      <c r="K15" s="1">
        <v>1152</v>
      </c>
      <c r="M15" s="91">
        <f t="shared" si="3"/>
        <v>86.240521096636201</v>
      </c>
      <c r="N15" s="88">
        <f t="shared" si="0"/>
        <v>82.080497763951001</v>
      </c>
    </row>
    <row r="16" spans="1:15" x14ac:dyDescent="0.25">
      <c r="A16" s="39">
        <v>46114</v>
      </c>
      <c r="B16" s="1">
        <v>1</v>
      </c>
      <c r="C16" s="12" t="s">
        <v>185</v>
      </c>
      <c r="D16" s="1" t="s">
        <v>214</v>
      </c>
      <c r="E16" s="1" t="s">
        <v>48</v>
      </c>
      <c r="F16" s="114">
        <v>51156</v>
      </c>
      <c r="G16" s="114">
        <f t="shared" si="1"/>
        <v>52758</v>
      </c>
      <c r="H16" s="37">
        <f t="shared" si="2"/>
        <v>53713.8</v>
      </c>
      <c r="I16">
        <f>+L16-K16</f>
        <v>1602</v>
      </c>
      <c r="J16" s="1">
        <v>72150</v>
      </c>
      <c r="K16" s="1">
        <v>720</v>
      </c>
      <c r="L16" s="1">
        <v>2322</v>
      </c>
      <c r="M16" s="91">
        <f t="shared" si="3"/>
        <v>76.667775467775471</v>
      </c>
      <c r="N16" s="88">
        <f t="shared" si="0"/>
        <v>73.122661122661128</v>
      </c>
    </row>
    <row r="17" spans="1:14" x14ac:dyDescent="0.25">
      <c r="A17" s="39">
        <v>46114</v>
      </c>
      <c r="B17" s="1">
        <v>1</v>
      </c>
      <c r="C17" s="1" t="s">
        <v>21</v>
      </c>
      <c r="D17" s="1" t="s">
        <v>213</v>
      </c>
      <c r="E17" s="1" t="s">
        <v>71</v>
      </c>
      <c r="F17" s="114">
        <v>1206</v>
      </c>
      <c r="G17" s="114">
        <f t="shared" si="1"/>
        <v>1206</v>
      </c>
      <c r="H17" s="37">
        <f t="shared" si="2"/>
        <v>1266.3</v>
      </c>
      <c r="I17">
        <f t="shared" si="4"/>
        <v>0</v>
      </c>
      <c r="J17" s="1">
        <v>2590</v>
      </c>
      <c r="M17" s="91">
        <f t="shared" si="3"/>
        <v>48.891891891891895</v>
      </c>
      <c r="N17" s="88">
        <f t="shared" si="0"/>
        <v>46.56370656370656</v>
      </c>
    </row>
    <row r="18" spans="1:14" x14ac:dyDescent="0.25">
      <c r="A18" s="39">
        <v>46116</v>
      </c>
      <c r="B18" s="1">
        <v>1</v>
      </c>
      <c r="C18" s="1" t="s">
        <v>185</v>
      </c>
      <c r="D18" s="1" t="s">
        <v>214</v>
      </c>
      <c r="E18" s="1" t="s">
        <v>48</v>
      </c>
      <c r="F18" s="114">
        <v>57528</v>
      </c>
      <c r="G18" s="114">
        <f t="shared" si="1"/>
        <v>54864</v>
      </c>
      <c r="H18" s="37">
        <f t="shared" si="2"/>
        <v>60404.4</v>
      </c>
      <c r="I18">
        <f t="shared" si="4"/>
        <v>-2664</v>
      </c>
      <c r="J18" s="1">
        <v>83990</v>
      </c>
      <c r="K18" s="1">
        <v>2664</v>
      </c>
      <c r="M18" s="91">
        <f>+((H18+I18)/J18)*100</f>
        <v>68.74675556613883</v>
      </c>
      <c r="N18" s="88">
        <f t="shared" si="0"/>
        <v>65.322062150255988</v>
      </c>
    </row>
    <row r="19" spans="1:14" x14ac:dyDescent="0.25">
      <c r="A19" s="39">
        <v>46116</v>
      </c>
      <c r="B19" s="1">
        <v>1</v>
      </c>
      <c r="C19" s="1" t="s">
        <v>305</v>
      </c>
      <c r="D19" s="1" t="s">
        <v>306</v>
      </c>
      <c r="E19" s="1" t="s">
        <v>68</v>
      </c>
      <c r="F19" s="114">
        <v>30978</v>
      </c>
      <c r="G19" s="114">
        <f t="shared" si="1"/>
        <v>32508</v>
      </c>
      <c r="H19" s="37">
        <f t="shared" si="2"/>
        <v>32526.9</v>
      </c>
      <c r="I19">
        <f t="shared" si="4"/>
        <v>1530</v>
      </c>
      <c r="J19" s="1">
        <v>42920</v>
      </c>
      <c r="L19" s="1">
        <v>1530</v>
      </c>
      <c r="M19" s="91">
        <f t="shared" si="3"/>
        <v>79.349720410065245</v>
      </c>
      <c r="N19" s="88">
        <f t="shared" si="0"/>
        <v>75.740913327120225</v>
      </c>
    </row>
    <row r="20" spans="1:14" x14ac:dyDescent="0.25">
      <c r="A20" s="39">
        <v>46118</v>
      </c>
      <c r="B20" s="1">
        <v>1</v>
      </c>
      <c r="C20" s="1" t="s">
        <v>20</v>
      </c>
      <c r="D20" s="1" t="s">
        <v>299</v>
      </c>
      <c r="E20" s="1" t="s">
        <v>68</v>
      </c>
      <c r="F20" s="1">
        <v>19350</v>
      </c>
      <c r="G20" s="114">
        <f t="shared" si="1"/>
        <v>17820</v>
      </c>
      <c r="H20" s="37">
        <f t="shared" si="2"/>
        <v>20317.5</v>
      </c>
      <c r="I20">
        <f t="shared" si="4"/>
        <v>-1530</v>
      </c>
      <c r="J20" s="1">
        <v>21830</v>
      </c>
      <c r="K20" s="1">
        <v>1530</v>
      </c>
      <c r="M20" s="91">
        <f t="shared" si="3"/>
        <v>86.062757672927162</v>
      </c>
      <c r="N20" s="88">
        <f t="shared" si="0"/>
        <v>81.630783325698573</v>
      </c>
    </row>
    <row r="21" spans="1:14" x14ac:dyDescent="0.25">
      <c r="A21" s="39">
        <v>46118</v>
      </c>
      <c r="B21" s="1">
        <v>1</v>
      </c>
      <c r="C21" s="1" t="s">
        <v>67</v>
      </c>
      <c r="D21" s="1" t="s">
        <v>89</v>
      </c>
      <c r="E21" s="1" t="s">
        <v>73</v>
      </c>
      <c r="F21" s="1">
        <v>14778</v>
      </c>
      <c r="G21" s="114">
        <f t="shared" si="1"/>
        <v>15930</v>
      </c>
      <c r="H21" s="37">
        <f t="shared" si="2"/>
        <v>15516.9</v>
      </c>
      <c r="I21">
        <f t="shared" si="4"/>
        <v>1152</v>
      </c>
      <c r="J21" s="1">
        <v>25530</v>
      </c>
      <c r="L21" s="1">
        <v>1152</v>
      </c>
      <c r="M21" s="91">
        <f t="shared" si="3"/>
        <v>65.291421856639261</v>
      </c>
      <c r="N21" s="88">
        <f t="shared" si="0"/>
        <v>62.397179788484138</v>
      </c>
    </row>
    <row r="22" spans="1:14" x14ac:dyDescent="0.25">
      <c r="A22" s="39">
        <v>46118</v>
      </c>
      <c r="B22" s="1">
        <v>1</v>
      </c>
      <c r="C22" s="1" t="s">
        <v>185</v>
      </c>
      <c r="D22" s="1" t="s">
        <v>169</v>
      </c>
      <c r="E22" s="1" t="s">
        <v>48</v>
      </c>
      <c r="F22" s="1">
        <v>44586</v>
      </c>
      <c r="G22" s="114">
        <f t="shared" si="1"/>
        <v>44802</v>
      </c>
      <c r="H22" s="37">
        <f t="shared" si="2"/>
        <v>46815.3</v>
      </c>
      <c r="I22">
        <f t="shared" si="4"/>
        <v>216</v>
      </c>
      <c r="J22" s="1">
        <v>65120</v>
      </c>
      <c r="L22" s="1">
        <v>216</v>
      </c>
      <c r="M22" s="91">
        <f t="shared" si="3"/>
        <v>72.222512285012286</v>
      </c>
      <c r="N22" s="88">
        <f t="shared" si="0"/>
        <v>68.79914004914005</v>
      </c>
    </row>
    <row r="23" spans="1:14" x14ac:dyDescent="0.25">
      <c r="A23" s="39">
        <v>46119</v>
      </c>
      <c r="B23" s="1">
        <v>1</v>
      </c>
      <c r="C23" s="1" t="s">
        <v>67</v>
      </c>
      <c r="D23" s="1" t="s">
        <v>89</v>
      </c>
      <c r="E23" s="1" t="s">
        <v>73</v>
      </c>
      <c r="F23" s="1">
        <v>25722</v>
      </c>
      <c r="G23" s="114">
        <f t="shared" si="1"/>
        <v>24588</v>
      </c>
      <c r="H23" s="37">
        <f t="shared" si="2"/>
        <v>27008.1</v>
      </c>
      <c r="I23">
        <f t="shared" si="4"/>
        <v>-1134</v>
      </c>
      <c r="J23" s="1">
        <v>38110</v>
      </c>
      <c r="K23" s="1">
        <v>1152</v>
      </c>
      <c r="L23" s="1">
        <v>18</v>
      </c>
      <c r="M23" s="91">
        <f t="shared" si="3"/>
        <v>67.893203883495147</v>
      </c>
      <c r="N23" s="88">
        <f t="shared" si="0"/>
        <v>64.518499081605867</v>
      </c>
    </row>
    <row r="24" spans="1:14" x14ac:dyDescent="0.25">
      <c r="A24" s="39">
        <v>46119</v>
      </c>
      <c r="B24" s="1">
        <v>1</v>
      </c>
      <c r="C24" s="1" t="s">
        <v>21</v>
      </c>
      <c r="D24" s="1" t="s">
        <v>223</v>
      </c>
      <c r="E24" s="1" t="s">
        <v>71</v>
      </c>
      <c r="F24" s="1">
        <v>12708</v>
      </c>
      <c r="G24" s="114">
        <f t="shared" si="1"/>
        <v>12762</v>
      </c>
      <c r="H24" s="37">
        <f t="shared" si="2"/>
        <v>13343.4</v>
      </c>
      <c r="I24">
        <f t="shared" si="4"/>
        <v>54</v>
      </c>
      <c r="J24" s="1">
        <v>17020</v>
      </c>
      <c r="L24" s="1">
        <v>54</v>
      </c>
      <c r="M24" s="91">
        <f t="shared" si="3"/>
        <v>78.715628672150402</v>
      </c>
      <c r="N24" s="88">
        <f t="shared" si="0"/>
        <v>74.982373678025851</v>
      </c>
    </row>
    <row r="25" spans="1:14" x14ac:dyDescent="0.25">
      <c r="A25" s="39">
        <v>46119</v>
      </c>
      <c r="B25" s="1">
        <v>1</v>
      </c>
      <c r="C25" s="1" t="s">
        <v>22</v>
      </c>
      <c r="D25" s="1" t="s">
        <v>342</v>
      </c>
      <c r="E25" s="1" t="s">
        <v>72</v>
      </c>
      <c r="F25" s="1">
        <v>9450</v>
      </c>
      <c r="G25" s="114">
        <f t="shared" si="1"/>
        <v>9558</v>
      </c>
      <c r="H25" s="37">
        <f t="shared" si="2"/>
        <v>9922.5</v>
      </c>
      <c r="I25">
        <f t="shared" si="4"/>
        <v>108</v>
      </c>
      <c r="J25" s="1">
        <v>13690</v>
      </c>
      <c r="L25" s="1">
        <v>108</v>
      </c>
      <c r="M25" s="91">
        <f t="shared" si="3"/>
        <v>73.268809349890432</v>
      </c>
      <c r="N25" s="88">
        <f t="shared" si="0"/>
        <v>69.817384952520086</v>
      </c>
    </row>
    <row r="26" spans="1:14" x14ac:dyDescent="0.25">
      <c r="A26" s="39">
        <v>46119</v>
      </c>
      <c r="B26" s="1">
        <v>1</v>
      </c>
      <c r="C26" s="1" t="s">
        <v>185</v>
      </c>
      <c r="D26" s="1" t="s">
        <v>169</v>
      </c>
      <c r="E26" s="1" t="s">
        <v>48</v>
      </c>
      <c r="F26" s="1">
        <v>11178</v>
      </c>
      <c r="G26" s="114">
        <f t="shared" si="1"/>
        <v>10962</v>
      </c>
      <c r="H26" s="37">
        <f t="shared" si="2"/>
        <v>11736.9</v>
      </c>
      <c r="I26">
        <f t="shared" si="4"/>
        <v>-216</v>
      </c>
      <c r="J26" s="1">
        <v>18130</v>
      </c>
      <c r="K26" s="1">
        <v>216</v>
      </c>
      <c r="M26" s="91">
        <f t="shared" si="3"/>
        <v>63.546056260341977</v>
      </c>
      <c r="N26" s="88">
        <f t="shared" si="0"/>
        <v>60.463320463320457</v>
      </c>
    </row>
    <row r="27" spans="1:14" x14ac:dyDescent="0.25">
      <c r="A27" s="39">
        <v>46120</v>
      </c>
      <c r="B27" s="1">
        <v>1</v>
      </c>
      <c r="C27" s="1" t="s">
        <v>20</v>
      </c>
      <c r="D27" s="1" t="s">
        <v>360</v>
      </c>
      <c r="E27" s="1" t="s">
        <v>68</v>
      </c>
      <c r="F27" s="1">
        <v>81648</v>
      </c>
      <c r="G27" s="114">
        <f t="shared" si="1"/>
        <v>81648</v>
      </c>
      <c r="H27" s="37">
        <f t="shared" si="2"/>
        <v>85730.4</v>
      </c>
      <c r="I27">
        <f t="shared" si="4"/>
        <v>0</v>
      </c>
      <c r="J27" s="1">
        <v>103230</v>
      </c>
      <c r="M27" s="91">
        <f t="shared" si="3"/>
        <v>83.047951176983432</v>
      </c>
      <c r="N27" s="88">
        <f t="shared" si="0"/>
        <v>79.093286835222315</v>
      </c>
    </row>
    <row r="28" spans="1:14" x14ac:dyDescent="0.25">
      <c r="A28" s="39">
        <v>46122</v>
      </c>
      <c r="B28" s="1">
        <v>1</v>
      </c>
      <c r="C28" s="1" t="s">
        <v>20</v>
      </c>
      <c r="D28" s="1" t="s">
        <v>397</v>
      </c>
      <c r="E28" s="1" t="s">
        <v>68</v>
      </c>
      <c r="F28" s="1">
        <v>89730</v>
      </c>
      <c r="G28" s="114">
        <f t="shared" si="1"/>
        <v>90666</v>
      </c>
      <c r="H28" s="37">
        <f t="shared" si="2"/>
        <v>94216.5</v>
      </c>
      <c r="I28">
        <f t="shared" si="4"/>
        <v>936</v>
      </c>
      <c r="J28" s="1">
        <v>117290</v>
      </c>
      <c r="K28" s="1">
        <v>1134</v>
      </c>
      <c r="L28" s="1">
        <v>2070</v>
      </c>
      <c r="M28" s="91">
        <f t="shared" si="3"/>
        <v>81.125841930258332</v>
      </c>
      <c r="N28" s="88">
        <f t="shared" si="0"/>
        <v>77.300707647710794</v>
      </c>
    </row>
    <row r="29" spans="1:14" x14ac:dyDescent="0.25">
      <c r="A29" s="39">
        <v>46123</v>
      </c>
      <c r="B29" s="1">
        <v>1</v>
      </c>
      <c r="C29" s="1" t="s">
        <v>20</v>
      </c>
      <c r="D29" s="1" t="s">
        <v>410</v>
      </c>
      <c r="E29" s="1" t="s">
        <v>68</v>
      </c>
      <c r="F29" s="1">
        <v>8658</v>
      </c>
      <c r="G29" s="114">
        <f t="shared" si="1"/>
        <v>6588</v>
      </c>
      <c r="H29" s="37">
        <f t="shared" si="2"/>
        <v>9090.9</v>
      </c>
      <c r="I29">
        <f t="shared" si="4"/>
        <v>-2070</v>
      </c>
      <c r="J29" s="1">
        <v>10730</v>
      </c>
      <c r="K29" s="1">
        <v>2070</v>
      </c>
      <c r="M29" s="91">
        <f t="shared" si="3"/>
        <v>65.432432432432435</v>
      </c>
      <c r="N29" s="88">
        <f t="shared" si="0"/>
        <v>61.397949673811745</v>
      </c>
    </row>
    <row r="30" spans="1:14" x14ac:dyDescent="0.25">
      <c r="A30" s="39">
        <v>46123</v>
      </c>
      <c r="B30" s="1">
        <v>1</v>
      </c>
      <c r="C30" s="1" t="s">
        <v>67</v>
      </c>
      <c r="D30" s="1" t="s">
        <v>415</v>
      </c>
      <c r="E30" s="1" t="s">
        <v>73</v>
      </c>
      <c r="F30" s="1">
        <v>28620</v>
      </c>
      <c r="G30" s="114">
        <f t="shared" si="1"/>
        <v>28620</v>
      </c>
      <c r="H30" s="37">
        <f t="shared" si="2"/>
        <v>30051</v>
      </c>
      <c r="I30">
        <f t="shared" si="4"/>
        <v>0</v>
      </c>
      <c r="J30" s="1">
        <v>37370</v>
      </c>
      <c r="M30" s="91">
        <f t="shared" si="3"/>
        <v>80.414771206850418</v>
      </c>
      <c r="N30" s="88">
        <f t="shared" si="0"/>
        <v>76.585496387476582</v>
      </c>
    </row>
    <row r="31" spans="1:14" x14ac:dyDescent="0.25">
      <c r="A31" s="39">
        <v>46123</v>
      </c>
      <c r="B31" s="1">
        <v>1</v>
      </c>
      <c r="C31" s="1" t="s">
        <v>22</v>
      </c>
      <c r="D31" s="1" t="s">
        <v>423</v>
      </c>
      <c r="E31" s="1" t="s">
        <v>72</v>
      </c>
      <c r="F31" s="1">
        <v>26388</v>
      </c>
      <c r="G31" s="114">
        <f t="shared" si="1"/>
        <v>26388</v>
      </c>
      <c r="H31" s="37">
        <f t="shared" si="2"/>
        <v>27707.4</v>
      </c>
      <c r="I31">
        <f t="shared" si="4"/>
        <v>0</v>
      </c>
      <c r="J31" s="1">
        <v>35500</v>
      </c>
      <c r="M31" s="91">
        <f t="shared" si="3"/>
        <v>78.04901408450705</v>
      </c>
      <c r="N31" s="88">
        <f t="shared" si="0"/>
        <v>74.332394366197178</v>
      </c>
    </row>
    <row r="32" spans="1:14" x14ac:dyDescent="0.25">
      <c r="A32" s="39">
        <v>46123</v>
      </c>
      <c r="B32" s="1">
        <v>1</v>
      </c>
      <c r="C32" s="1" t="s">
        <v>21</v>
      </c>
      <c r="D32" s="1" t="s">
        <v>223</v>
      </c>
      <c r="E32" s="1" t="s">
        <v>71</v>
      </c>
      <c r="F32" s="1">
        <v>6678</v>
      </c>
      <c r="G32" s="114">
        <f t="shared" si="1"/>
        <v>8262</v>
      </c>
      <c r="H32" s="37">
        <f t="shared" si="2"/>
        <v>7011.9</v>
      </c>
      <c r="I32">
        <f t="shared" si="4"/>
        <v>1584</v>
      </c>
      <c r="J32" s="1">
        <v>11100</v>
      </c>
      <c r="L32" s="1">
        <v>1584</v>
      </c>
      <c r="M32" s="91">
        <f t="shared" si="3"/>
        <v>77.440540540540539</v>
      </c>
      <c r="N32" s="88">
        <f t="shared" si="0"/>
        <v>74.432432432432421</v>
      </c>
    </row>
    <row r="33" spans="1:15" x14ac:dyDescent="0.25">
      <c r="A33" s="39">
        <v>46123</v>
      </c>
      <c r="B33" s="1">
        <v>1</v>
      </c>
      <c r="C33" s="1" t="s">
        <v>185</v>
      </c>
      <c r="D33" s="1" t="s">
        <v>169</v>
      </c>
      <c r="E33" s="1" t="s">
        <v>48</v>
      </c>
      <c r="F33" s="1"/>
      <c r="G33" s="114">
        <f t="shared" si="1"/>
        <v>216</v>
      </c>
      <c r="H33" s="37">
        <f t="shared" si="2"/>
        <v>0</v>
      </c>
      <c r="I33">
        <f t="shared" si="4"/>
        <v>216</v>
      </c>
      <c r="J33" s="1">
        <v>740</v>
      </c>
      <c r="L33" s="1">
        <v>216</v>
      </c>
      <c r="M33" s="91">
        <f t="shared" si="3"/>
        <v>29.189189189189189</v>
      </c>
      <c r="N33" s="88">
        <f t="shared" si="0"/>
        <v>29.189189189189189</v>
      </c>
    </row>
    <row r="34" spans="1:15" x14ac:dyDescent="0.25">
      <c r="A34" s="39">
        <v>46125</v>
      </c>
      <c r="B34" s="1">
        <v>1</v>
      </c>
      <c r="C34" s="1" t="s">
        <v>20</v>
      </c>
      <c r="D34" s="1" t="s">
        <v>441</v>
      </c>
      <c r="E34" s="1" t="s">
        <v>68</v>
      </c>
      <c r="F34" s="1">
        <v>61110</v>
      </c>
      <c r="G34" s="114">
        <f t="shared" si="1"/>
        <v>59310</v>
      </c>
      <c r="H34" s="37">
        <f t="shared" si="2"/>
        <v>64165.5</v>
      </c>
      <c r="I34">
        <f t="shared" si="4"/>
        <v>-1800</v>
      </c>
      <c r="J34" s="1">
        <v>72890</v>
      </c>
      <c r="K34" s="1">
        <v>1800</v>
      </c>
      <c r="M34" s="91">
        <f t="shared" si="3"/>
        <v>85.561119495129645</v>
      </c>
      <c r="N34" s="88">
        <f t="shared" si="0"/>
        <v>81.36918644532858</v>
      </c>
    </row>
    <row r="35" spans="1:15" x14ac:dyDescent="0.25">
      <c r="A35" s="39">
        <v>46125</v>
      </c>
      <c r="B35" s="1">
        <v>1</v>
      </c>
      <c r="C35" s="1" t="s">
        <v>67</v>
      </c>
      <c r="D35" s="1" t="s">
        <v>89</v>
      </c>
      <c r="E35" s="1" t="s">
        <v>73</v>
      </c>
      <c r="F35" s="1">
        <v>720</v>
      </c>
      <c r="G35" s="114">
        <f t="shared" si="1"/>
        <v>720</v>
      </c>
      <c r="H35" s="37">
        <f t="shared" si="2"/>
        <v>756</v>
      </c>
      <c r="I35">
        <f t="shared" si="4"/>
        <v>0</v>
      </c>
      <c r="J35" s="1">
        <v>1110</v>
      </c>
      <c r="M35" s="91">
        <f t="shared" si="3"/>
        <v>68.108108108108112</v>
      </c>
      <c r="N35" s="88">
        <f t="shared" si="0"/>
        <v>64.86486486486487</v>
      </c>
    </row>
    <row r="36" spans="1:15" x14ac:dyDescent="0.25">
      <c r="A36" s="39">
        <v>46125</v>
      </c>
      <c r="B36" s="1">
        <v>1</v>
      </c>
      <c r="C36" s="1" t="s">
        <v>185</v>
      </c>
      <c r="D36" s="1" t="s">
        <v>169</v>
      </c>
      <c r="E36" s="1" t="s">
        <v>48</v>
      </c>
      <c r="F36" s="1">
        <v>15426</v>
      </c>
      <c r="G36" s="114">
        <f t="shared" si="1"/>
        <v>15516</v>
      </c>
      <c r="H36" s="37">
        <f t="shared" si="2"/>
        <v>16197.3</v>
      </c>
      <c r="I36">
        <f t="shared" si="4"/>
        <v>90</v>
      </c>
      <c r="J36" s="1">
        <v>17760</v>
      </c>
      <c r="L36" s="1">
        <v>90</v>
      </c>
      <c r="M36" s="91">
        <f t="shared" si="3"/>
        <v>91.70777027027026</v>
      </c>
      <c r="N36" s="88">
        <f t="shared" si="0"/>
        <v>87.36486486486487</v>
      </c>
    </row>
    <row r="37" spans="1:15" x14ac:dyDescent="0.25">
      <c r="A37" s="39">
        <v>46125</v>
      </c>
      <c r="B37" s="1">
        <v>1</v>
      </c>
      <c r="C37" s="1" t="s">
        <v>22</v>
      </c>
      <c r="D37" s="1" t="s">
        <v>342</v>
      </c>
      <c r="E37" s="1" t="s">
        <v>72</v>
      </c>
      <c r="F37" s="1">
        <v>126</v>
      </c>
      <c r="G37" s="114">
        <f t="shared" si="1"/>
        <v>216</v>
      </c>
      <c r="H37" s="37">
        <f t="shared" si="2"/>
        <v>132.30000000000001</v>
      </c>
      <c r="I37">
        <f t="shared" si="4"/>
        <v>90</v>
      </c>
      <c r="J37" s="1">
        <v>370</v>
      </c>
      <c r="L37" s="1">
        <v>90</v>
      </c>
      <c r="M37" s="91">
        <f t="shared" si="3"/>
        <v>60.081081081081088</v>
      </c>
      <c r="N37" s="88">
        <f t="shared" si="0"/>
        <v>58.378378378378379</v>
      </c>
    </row>
    <row r="38" spans="1:15" x14ac:dyDescent="0.25">
      <c r="A38" s="39">
        <v>46125</v>
      </c>
      <c r="B38" s="1">
        <v>1</v>
      </c>
      <c r="C38" s="1" t="s">
        <v>21</v>
      </c>
      <c r="D38" s="1" t="s">
        <v>223</v>
      </c>
      <c r="E38" s="1" t="s">
        <v>71</v>
      </c>
      <c r="F38" s="1">
        <v>2196</v>
      </c>
      <c r="G38" s="114">
        <f t="shared" si="1"/>
        <v>4050</v>
      </c>
      <c r="H38" s="37">
        <f t="shared" si="2"/>
        <v>2305.8000000000002</v>
      </c>
      <c r="I38">
        <f t="shared" si="4"/>
        <v>1854</v>
      </c>
      <c r="J38" s="1">
        <v>6290</v>
      </c>
      <c r="L38" s="1">
        <v>1854</v>
      </c>
      <c r="M38" s="91">
        <f t="shared" si="3"/>
        <v>66.133545310015904</v>
      </c>
      <c r="N38" s="88">
        <f t="shared" si="0"/>
        <v>64.387917329093796</v>
      </c>
    </row>
    <row r="39" spans="1:15" x14ac:dyDescent="0.25">
      <c r="A39" s="39">
        <v>46126</v>
      </c>
      <c r="B39" s="1">
        <v>1</v>
      </c>
      <c r="C39" s="1" t="s">
        <v>20</v>
      </c>
      <c r="D39" s="1" t="s">
        <v>463</v>
      </c>
      <c r="E39" s="1" t="s">
        <v>68</v>
      </c>
      <c r="F39" s="1">
        <v>41238</v>
      </c>
      <c r="G39" s="114">
        <f t="shared" si="1"/>
        <v>41238</v>
      </c>
      <c r="H39" s="37">
        <f t="shared" si="2"/>
        <v>43299.9</v>
      </c>
      <c r="I39">
        <f t="shared" si="4"/>
        <v>0</v>
      </c>
      <c r="J39" s="1">
        <v>49580</v>
      </c>
      <c r="M39" s="91">
        <f t="shared" si="3"/>
        <v>87.33340056474384</v>
      </c>
      <c r="N39" s="88">
        <f t="shared" si="0"/>
        <v>83.174667204517945</v>
      </c>
    </row>
    <row r="40" spans="1:15" x14ac:dyDescent="0.25">
      <c r="A40" s="39">
        <v>46126</v>
      </c>
      <c r="B40" s="1">
        <v>1</v>
      </c>
      <c r="C40" s="1" t="s">
        <v>67</v>
      </c>
      <c r="D40" s="1" t="s">
        <v>89</v>
      </c>
      <c r="E40" s="1" t="s">
        <v>73</v>
      </c>
      <c r="F40" s="1">
        <v>52848</v>
      </c>
      <c r="G40" s="114">
        <f t="shared" si="1"/>
        <v>52848</v>
      </c>
      <c r="H40" s="37">
        <f t="shared" si="2"/>
        <v>55490.400000000001</v>
      </c>
      <c r="I40">
        <f t="shared" si="4"/>
        <v>0</v>
      </c>
      <c r="J40" s="1">
        <v>60680</v>
      </c>
      <c r="M40" s="91">
        <f t="shared" si="3"/>
        <v>91.447593935398814</v>
      </c>
      <c r="N40" s="88">
        <f t="shared" si="0"/>
        <v>87.092946605141734</v>
      </c>
    </row>
    <row r="41" spans="1:15" x14ac:dyDescent="0.25">
      <c r="A41" s="39">
        <v>46126</v>
      </c>
      <c r="B41" s="1">
        <v>1</v>
      </c>
      <c r="C41" s="1" t="s">
        <v>22</v>
      </c>
      <c r="D41" s="1" t="s">
        <v>342</v>
      </c>
      <c r="E41" s="1" t="s">
        <v>72</v>
      </c>
      <c r="F41" s="1">
        <v>2376</v>
      </c>
      <c r="G41" s="114">
        <f>+F41+I41</f>
        <v>2286</v>
      </c>
      <c r="H41" s="37">
        <f t="shared" si="2"/>
        <v>2494.8000000000002</v>
      </c>
      <c r="I41">
        <f t="shared" si="4"/>
        <v>-90</v>
      </c>
      <c r="J41" s="1">
        <v>3700</v>
      </c>
      <c r="K41" s="1">
        <v>90</v>
      </c>
      <c r="M41" s="91">
        <f t="shared" si="3"/>
        <v>64.994594594594602</v>
      </c>
      <c r="N41" s="88">
        <f t="shared" si="0"/>
        <v>61.783783783783782</v>
      </c>
    </row>
    <row r="42" spans="1:15" x14ac:dyDescent="0.25">
      <c r="A42" s="39">
        <v>46126</v>
      </c>
      <c r="B42" s="1">
        <v>1</v>
      </c>
      <c r="C42" s="1" t="s">
        <v>21</v>
      </c>
      <c r="D42" s="1" t="s">
        <v>223</v>
      </c>
      <c r="E42" s="1" t="s">
        <v>71</v>
      </c>
      <c r="F42" s="1">
        <v>576</v>
      </c>
      <c r="G42" s="114">
        <f t="shared" si="1"/>
        <v>1404</v>
      </c>
      <c r="H42" s="37">
        <f t="shared" si="2"/>
        <v>604.79999999999995</v>
      </c>
      <c r="I42">
        <f t="shared" si="4"/>
        <v>828</v>
      </c>
      <c r="J42" s="1">
        <v>3330</v>
      </c>
      <c r="K42" s="1">
        <v>1152</v>
      </c>
      <c r="L42" s="1">
        <v>1980</v>
      </c>
      <c r="M42" s="91">
        <f t="shared" si="3"/>
        <v>43.027027027027025</v>
      </c>
      <c r="N42" s="88">
        <f t="shared" si="0"/>
        <v>42.162162162162161</v>
      </c>
      <c r="O42" t="s">
        <v>608</v>
      </c>
    </row>
    <row r="43" spans="1:15" x14ac:dyDescent="0.25">
      <c r="A43" s="39">
        <v>46127</v>
      </c>
      <c r="B43" s="1">
        <v>1</v>
      </c>
      <c r="C43" s="1" t="s">
        <v>20</v>
      </c>
      <c r="D43" s="1" t="s">
        <v>610</v>
      </c>
      <c r="E43" s="1" t="s">
        <v>68</v>
      </c>
      <c r="F43" s="1">
        <v>112014</v>
      </c>
      <c r="G43" s="114">
        <f t="shared" si="1"/>
        <v>113004</v>
      </c>
      <c r="H43" s="37">
        <f t="shared" si="2"/>
        <v>117614.7</v>
      </c>
      <c r="I43">
        <f t="shared" si="4"/>
        <v>990</v>
      </c>
      <c r="J43" s="1">
        <v>143190</v>
      </c>
      <c r="L43" s="1">
        <v>990</v>
      </c>
      <c r="M43" s="91">
        <f t="shared" si="3"/>
        <v>82.830295411690756</v>
      </c>
      <c r="N43" s="88">
        <f t="shared" si="0"/>
        <v>78.918918918918919</v>
      </c>
    </row>
    <row r="44" spans="1:15" x14ac:dyDescent="0.25">
      <c r="A44" s="39">
        <v>46128</v>
      </c>
      <c r="B44" s="1">
        <v>1</v>
      </c>
      <c r="C44" s="1" t="s">
        <v>22</v>
      </c>
      <c r="D44" s="1" t="s">
        <v>342</v>
      </c>
      <c r="E44" s="1" t="s">
        <v>72</v>
      </c>
      <c r="F44" s="1">
        <v>44502</v>
      </c>
      <c r="G44" s="114">
        <f t="shared" si="1"/>
        <v>42522</v>
      </c>
      <c r="H44" s="37">
        <f t="shared" si="2"/>
        <v>46727.1</v>
      </c>
      <c r="I44">
        <f t="shared" si="4"/>
        <v>-1980</v>
      </c>
      <c r="J44" s="1">
        <v>54760</v>
      </c>
      <c r="K44" s="1">
        <v>1980</v>
      </c>
      <c r="M44" s="91">
        <f t="shared" si="3"/>
        <v>81.714937910883862</v>
      </c>
      <c r="N44" s="88">
        <f t="shared" si="0"/>
        <v>77.651570489408329</v>
      </c>
    </row>
    <row r="45" spans="1:15" x14ac:dyDescent="0.25">
      <c r="A45" s="39">
        <v>46128</v>
      </c>
      <c r="B45" s="1">
        <v>1</v>
      </c>
      <c r="C45" s="1" t="s">
        <v>20</v>
      </c>
      <c r="D45" s="1" t="s">
        <v>643</v>
      </c>
      <c r="F45" s="1">
        <v>14598</v>
      </c>
      <c r="G45" s="114">
        <f t="shared" si="1"/>
        <v>14976</v>
      </c>
      <c r="H45" s="37">
        <f t="shared" si="2"/>
        <v>15327.9</v>
      </c>
      <c r="I45">
        <f t="shared" si="4"/>
        <v>378</v>
      </c>
      <c r="J45" s="1">
        <v>20350</v>
      </c>
      <c r="L45" s="1">
        <v>378</v>
      </c>
      <c r="M45" s="91">
        <f t="shared" si="3"/>
        <v>77.178869778869768</v>
      </c>
      <c r="N45" s="88">
        <f t="shared" si="0"/>
        <v>73.59213759213759</v>
      </c>
    </row>
    <row r="46" spans="1:15" x14ac:dyDescent="0.25">
      <c r="A46" s="39">
        <v>46128</v>
      </c>
      <c r="B46" s="1">
        <v>1</v>
      </c>
      <c r="C46" s="1" t="s">
        <v>67</v>
      </c>
      <c r="D46" s="1" t="s">
        <v>89</v>
      </c>
      <c r="E46" s="1" t="s">
        <v>73</v>
      </c>
      <c r="F46" s="1">
        <v>1620</v>
      </c>
      <c r="G46" s="114">
        <f t="shared" si="1"/>
        <v>1584</v>
      </c>
      <c r="H46" s="37">
        <f t="shared" si="2"/>
        <v>1701</v>
      </c>
      <c r="I46">
        <f t="shared" si="4"/>
        <v>-36</v>
      </c>
      <c r="J46" s="1">
        <v>4440</v>
      </c>
      <c r="K46" s="1">
        <v>126</v>
      </c>
      <c r="L46" s="1">
        <v>90</v>
      </c>
      <c r="M46" s="91">
        <f t="shared" si="3"/>
        <v>37.5</v>
      </c>
      <c r="N46" s="88">
        <f t="shared" si="0"/>
        <v>35.675675675675677</v>
      </c>
    </row>
    <row r="47" spans="1:15" x14ac:dyDescent="0.25">
      <c r="A47" s="39">
        <v>46129</v>
      </c>
      <c r="B47" s="1">
        <v>1</v>
      </c>
      <c r="C47" s="1" t="s">
        <v>20</v>
      </c>
      <c r="D47" s="1" t="s">
        <v>299</v>
      </c>
      <c r="E47" s="1" t="s">
        <v>68</v>
      </c>
      <c r="F47" s="1">
        <v>106956</v>
      </c>
      <c r="G47" s="114">
        <f t="shared" si="1"/>
        <v>108072</v>
      </c>
      <c r="H47" s="37">
        <f t="shared" si="2"/>
        <v>112303.8</v>
      </c>
      <c r="I47">
        <f t="shared" si="4"/>
        <v>1116</v>
      </c>
      <c r="J47" s="1">
        <v>128760</v>
      </c>
      <c r="K47" s="1">
        <v>378</v>
      </c>
      <c r="L47" s="1">
        <v>1494</v>
      </c>
      <c r="M47" s="91">
        <f t="shared" si="3"/>
        <v>88.086206896551715</v>
      </c>
      <c r="N47" s="88">
        <f t="shared" si="0"/>
        <v>83.932898415657036</v>
      </c>
    </row>
    <row r="48" spans="1:15" x14ac:dyDescent="0.25">
      <c r="A48" s="39">
        <v>46129</v>
      </c>
      <c r="B48" s="1">
        <v>1</v>
      </c>
      <c r="C48" s="1" t="s">
        <v>185</v>
      </c>
      <c r="D48" s="1" t="s">
        <v>649</v>
      </c>
      <c r="E48" s="1" t="s">
        <v>48</v>
      </c>
      <c r="F48" s="1">
        <v>5688</v>
      </c>
      <c r="G48" s="114">
        <f t="shared" si="1"/>
        <v>5688</v>
      </c>
      <c r="H48" s="37">
        <f t="shared" si="2"/>
        <v>5972.4</v>
      </c>
      <c r="I48">
        <f t="shared" si="4"/>
        <v>0</v>
      </c>
      <c r="J48" s="1">
        <v>10730</v>
      </c>
      <c r="M48" s="91">
        <f t="shared" si="3"/>
        <v>55.660764212488345</v>
      </c>
      <c r="N48" s="88">
        <f t="shared" si="0"/>
        <v>53.010251630941283</v>
      </c>
    </row>
    <row r="49" spans="1:14" x14ac:dyDescent="0.25">
      <c r="A49" s="39">
        <v>46129</v>
      </c>
      <c r="B49" s="1">
        <v>1</v>
      </c>
      <c r="C49" s="1" t="s">
        <v>22</v>
      </c>
      <c r="D49" s="1" t="s">
        <v>650</v>
      </c>
      <c r="E49" s="1" t="s">
        <v>72</v>
      </c>
      <c r="F49" s="1">
        <v>11952</v>
      </c>
      <c r="G49" s="114">
        <f t="shared" si="1"/>
        <v>13194</v>
      </c>
      <c r="H49" s="37">
        <f t="shared" si="2"/>
        <v>12549.6</v>
      </c>
      <c r="I49">
        <f t="shared" si="4"/>
        <v>1242</v>
      </c>
      <c r="J49" s="1">
        <v>15170</v>
      </c>
      <c r="L49" s="1">
        <v>1242</v>
      </c>
      <c r="M49" s="91">
        <f t="shared" si="3"/>
        <v>90.913645352669747</v>
      </c>
      <c r="N49" s="88">
        <f t="shared" si="0"/>
        <v>86.974291364535276</v>
      </c>
    </row>
    <row r="50" spans="1:14" x14ac:dyDescent="0.25">
      <c r="A50" s="39">
        <v>46129</v>
      </c>
      <c r="B50" s="1">
        <v>1</v>
      </c>
      <c r="C50" s="1" t="s">
        <v>67</v>
      </c>
      <c r="D50" s="1" t="s">
        <v>89</v>
      </c>
      <c r="E50" s="1" t="s">
        <v>73</v>
      </c>
      <c r="F50" s="1">
        <v>1152</v>
      </c>
      <c r="G50" s="114">
        <f t="shared" si="1"/>
        <v>1062</v>
      </c>
      <c r="H50" s="37">
        <f t="shared" si="2"/>
        <v>1209.5999999999999</v>
      </c>
      <c r="I50">
        <f t="shared" si="4"/>
        <v>-90</v>
      </c>
      <c r="J50" s="1">
        <v>2590</v>
      </c>
      <c r="K50" s="1">
        <v>90</v>
      </c>
      <c r="M50" s="91">
        <f t="shared" si="3"/>
        <v>43.227799227799224</v>
      </c>
      <c r="N50" s="88">
        <f t="shared" si="0"/>
        <v>41.003861003861005</v>
      </c>
    </row>
    <row r="51" spans="1:14" x14ac:dyDescent="0.25">
      <c r="A51" s="39">
        <v>46130</v>
      </c>
      <c r="B51" s="1">
        <v>1</v>
      </c>
      <c r="C51" s="1" t="s">
        <v>185</v>
      </c>
      <c r="D51" s="1" t="s">
        <v>649</v>
      </c>
      <c r="E51" s="1" t="s">
        <v>48</v>
      </c>
      <c r="F51" s="1">
        <v>18594</v>
      </c>
      <c r="G51" s="114">
        <f t="shared" si="1"/>
        <v>18270</v>
      </c>
      <c r="H51" s="37">
        <f t="shared" si="2"/>
        <v>19523.7</v>
      </c>
      <c r="I51">
        <f t="shared" si="4"/>
        <v>-324</v>
      </c>
      <c r="J51" s="1">
        <v>21460</v>
      </c>
      <c r="K51" s="1">
        <v>324</v>
      </c>
      <c r="M51" s="91">
        <f t="shared" si="3"/>
        <v>89.467381174277733</v>
      </c>
      <c r="N51" s="88">
        <f t="shared" si="0"/>
        <v>85.13513513513513</v>
      </c>
    </row>
    <row r="52" spans="1:14" x14ac:dyDescent="0.25">
      <c r="A52" s="39">
        <v>46130</v>
      </c>
      <c r="B52" s="1">
        <v>1</v>
      </c>
      <c r="C52" s="1" t="s">
        <v>20</v>
      </c>
      <c r="D52" s="1" t="s">
        <v>299</v>
      </c>
      <c r="E52" s="1" t="s">
        <v>68</v>
      </c>
      <c r="F52" s="1">
        <v>91908</v>
      </c>
      <c r="G52" s="114">
        <f t="shared" si="1"/>
        <v>92484</v>
      </c>
      <c r="H52" s="37">
        <f t="shared" si="2"/>
        <v>96503.4</v>
      </c>
      <c r="I52">
        <f t="shared" si="4"/>
        <v>576</v>
      </c>
      <c r="J52" s="1">
        <v>118400</v>
      </c>
      <c r="K52" s="1">
        <v>1494</v>
      </c>
      <c r="L52" s="1">
        <v>2070</v>
      </c>
      <c r="M52" s="91">
        <f t="shared" si="3"/>
        <v>81.992736486486478</v>
      </c>
      <c r="N52" s="88">
        <f t="shared" si="0"/>
        <v>78.111486486486484</v>
      </c>
    </row>
    <row r="53" spans="1:14" x14ac:dyDescent="0.25">
      <c r="A53" s="39">
        <v>46130</v>
      </c>
      <c r="B53" s="1">
        <v>1</v>
      </c>
      <c r="C53" s="1" t="s">
        <v>22</v>
      </c>
      <c r="D53" s="1" t="s">
        <v>743</v>
      </c>
      <c r="E53" s="1" t="s">
        <v>72</v>
      </c>
      <c r="F53" s="1">
        <v>7938</v>
      </c>
      <c r="G53" s="114">
        <f t="shared" si="1"/>
        <v>10764</v>
      </c>
      <c r="H53" s="37">
        <f t="shared" si="2"/>
        <v>8334.9</v>
      </c>
      <c r="I53">
        <f t="shared" si="4"/>
        <v>2826</v>
      </c>
      <c r="J53" s="1">
        <v>14800</v>
      </c>
      <c r="L53" s="1">
        <v>2826</v>
      </c>
      <c r="M53" s="91">
        <f t="shared" si="3"/>
        <v>75.411486486486481</v>
      </c>
      <c r="N53" s="88">
        <f t="shared" si="0"/>
        <v>72.729729729729726</v>
      </c>
    </row>
    <row r="54" spans="1:14" x14ac:dyDescent="0.25">
      <c r="A54" s="39">
        <v>46132</v>
      </c>
      <c r="B54" s="1">
        <v>1</v>
      </c>
      <c r="C54" s="1" t="s">
        <v>22</v>
      </c>
      <c r="D54" s="1" t="s">
        <v>748</v>
      </c>
      <c r="E54" s="1" t="s">
        <v>72</v>
      </c>
      <c r="F54" s="1">
        <v>46263</v>
      </c>
      <c r="G54" s="114">
        <f t="shared" si="1"/>
        <v>44277</v>
      </c>
      <c r="H54" s="37">
        <f t="shared" si="2"/>
        <v>48576.15</v>
      </c>
      <c r="I54">
        <f t="shared" si="4"/>
        <v>-1986</v>
      </c>
      <c r="J54" s="1">
        <v>64010</v>
      </c>
      <c r="K54" s="1">
        <v>3066</v>
      </c>
      <c r="L54" s="1">
        <v>1080</v>
      </c>
      <c r="M54" s="91">
        <f t="shared" si="3"/>
        <v>72.785736603655678</v>
      </c>
      <c r="N54" s="88">
        <f t="shared" si="0"/>
        <v>69.172004374316515</v>
      </c>
    </row>
    <row r="55" spans="1:14" x14ac:dyDescent="0.25">
      <c r="A55" s="39">
        <v>46132</v>
      </c>
      <c r="B55" s="1">
        <v>1</v>
      </c>
      <c r="C55" s="1" t="s">
        <v>185</v>
      </c>
      <c r="D55" s="1" t="s">
        <v>649</v>
      </c>
      <c r="E55" s="1" t="s">
        <v>48</v>
      </c>
      <c r="F55" s="1">
        <v>7044</v>
      </c>
      <c r="G55" s="114">
        <f t="shared" si="1"/>
        <v>6846</v>
      </c>
      <c r="H55" s="37">
        <f t="shared" si="2"/>
        <v>7396.2</v>
      </c>
      <c r="I55">
        <f t="shared" si="4"/>
        <v>-198</v>
      </c>
      <c r="J55" s="1">
        <v>8510</v>
      </c>
      <c r="K55" s="1">
        <v>198</v>
      </c>
      <c r="M55" s="91">
        <f t="shared" si="3"/>
        <v>84.585193889541713</v>
      </c>
      <c r="N55" s="88">
        <f t="shared" si="0"/>
        <v>80.446533490011745</v>
      </c>
    </row>
    <row r="56" spans="1:14" x14ac:dyDescent="0.25">
      <c r="A56" s="39">
        <v>46132</v>
      </c>
      <c r="B56" s="1">
        <v>1</v>
      </c>
      <c r="C56" s="1" t="s">
        <v>20</v>
      </c>
      <c r="D56" s="1" t="s">
        <v>752</v>
      </c>
      <c r="E56" s="1" t="s">
        <v>68</v>
      </c>
      <c r="F56" s="1">
        <v>3984</v>
      </c>
      <c r="G56" s="114">
        <f t="shared" si="1"/>
        <v>4164</v>
      </c>
      <c r="H56" s="37">
        <f t="shared" si="2"/>
        <v>4183.2</v>
      </c>
      <c r="I56">
        <f t="shared" si="4"/>
        <v>180</v>
      </c>
      <c r="J56" s="1">
        <v>7400</v>
      </c>
      <c r="K56" s="1">
        <v>306</v>
      </c>
      <c r="L56" s="1">
        <v>486</v>
      </c>
      <c r="M56" s="91">
        <f t="shared" si="3"/>
        <v>58.962162162162159</v>
      </c>
      <c r="N56" s="88">
        <f t="shared" si="0"/>
        <v>56.270270270270274</v>
      </c>
    </row>
    <row r="57" spans="1:14" x14ac:dyDescent="0.25">
      <c r="A57" s="39">
        <v>46132</v>
      </c>
      <c r="B57" s="1">
        <v>1</v>
      </c>
      <c r="C57" s="1" t="s">
        <v>67</v>
      </c>
      <c r="D57" s="1" t="s">
        <v>89</v>
      </c>
      <c r="E57" s="1" t="s">
        <v>73</v>
      </c>
      <c r="F57" s="1">
        <v>64152</v>
      </c>
      <c r="G57" s="114">
        <f t="shared" si="1"/>
        <v>65142</v>
      </c>
      <c r="H57" s="37">
        <f t="shared" si="2"/>
        <v>67359.600000000006</v>
      </c>
      <c r="I57">
        <f t="shared" si="4"/>
        <v>990</v>
      </c>
      <c r="J57" s="1">
        <v>78440</v>
      </c>
      <c r="K57" s="1">
        <v>90</v>
      </c>
      <c r="L57" s="1">
        <v>1080</v>
      </c>
      <c r="M57" s="91">
        <f t="shared" si="3"/>
        <v>87.136155022947477</v>
      </c>
      <c r="N57" s="88">
        <f t="shared" si="0"/>
        <v>83.046914839367673</v>
      </c>
    </row>
    <row r="58" spans="1:14" x14ac:dyDescent="0.25">
      <c r="A58" s="39">
        <v>46133</v>
      </c>
      <c r="B58" s="1">
        <v>1</v>
      </c>
      <c r="C58" s="1" t="s">
        <v>22</v>
      </c>
      <c r="D58" s="1" t="s">
        <v>754</v>
      </c>
      <c r="E58" s="1" t="s">
        <v>72</v>
      </c>
      <c r="F58" s="1">
        <v>32562</v>
      </c>
      <c r="G58" s="114">
        <f t="shared" si="1"/>
        <v>31482</v>
      </c>
      <c r="H58" s="37">
        <f t="shared" si="2"/>
        <v>34190.1</v>
      </c>
      <c r="I58">
        <f t="shared" si="4"/>
        <v>-1080</v>
      </c>
      <c r="J58" s="1">
        <v>43290</v>
      </c>
      <c r="K58" s="1">
        <v>1080</v>
      </c>
      <c r="M58" s="91">
        <f t="shared" si="3"/>
        <v>76.484407484407484</v>
      </c>
      <c r="N58" s="88">
        <f t="shared" si="0"/>
        <v>72.723492723492726</v>
      </c>
    </row>
    <row r="59" spans="1:14" x14ac:dyDescent="0.25">
      <c r="A59" s="39">
        <v>46133</v>
      </c>
      <c r="B59" s="1">
        <v>1</v>
      </c>
      <c r="C59" s="1" t="s">
        <v>67</v>
      </c>
      <c r="D59" s="1" t="s">
        <v>89</v>
      </c>
      <c r="E59" s="1" t="s">
        <v>73</v>
      </c>
      <c r="F59" s="1">
        <v>81066</v>
      </c>
      <c r="G59" s="114">
        <f t="shared" si="1"/>
        <v>82689</v>
      </c>
      <c r="H59" s="37">
        <f t="shared" si="2"/>
        <v>85119.3</v>
      </c>
      <c r="I59">
        <f t="shared" si="4"/>
        <v>1623</v>
      </c>
      <c r="J59" s="1">
        <v>103600</v>
      </c>
      <c r="K59" s="1">
        <v>1080</v>
      </c>
      <c r="L59" s="1">
        <v>2703</v>
      </c>
      <c r="M59" s="91">
        <f t="shared" si="3"/>
        <v>83.728088803088809</v>
      </c>
      <c r="N59" s="88">
        <f t="shared" si="0"/>
        <v>79.815637065637063</v>
      </c>
    </row>
    <row r="60" spans="1:14" x14ac:dyDescent="0.25">
      <c r="A60" s="39">
        <v>46133</v>
      </c>
      <c r="B60" s="1">
        <v>1</v>
      </c>
      <c r="C60" s="1" t="s">
        <v>185</v>
      </c>
      <c r="D60" s="1" t="s">
        <v>645</v>
      </c>
      <c r="E60" s="1" t="s">
        <v>48</v>
      </c>
      <c r="F60" s="1">
        <v>640</v>
      </c>
      <c r="G60" s="114">
        <f t="shared" si="1"/>
        <v>640</v>
      </c>
      <c r="H60" s="37">
        <f t="shared" si="2"/>
        <v>672</v>
      </c>
      <c r="I60">
        <f t="shared" si="4"/>
        <v>0</v>
      </c>
      <c r="J60" s="1">
        <v>740</v>
      </c>
      <c r="M60" s="91">
        <f t="shared" si="3"/>
        <v>90.810810810810821</v>
      </c>
      <c r="N60" s="88">
        <f t="shared" si="0"/>
        <v>86.486486486486484</v>
      </c>
    </row>
    <row r="61" spans="1:14" x14ac:dyDescent="0.25">
      <c r="A61" s="39">
        <v>46134</v>
      </c>
      <c r="B61" s="1">
        <v>1</v>
      </c>
      <c r="C61" s="1" t="s">
        <v>20</v>
      </c>
      <c r="D61" s="1" t="s">
        <v>299</v>
      </c>
      <c r="E61" s="1" t="s">
        <v>68</v>
      </c>
      <c r="F61" s="1">
        <v>83328</v>
      </c>
      <c r="G61" s="114">
        <f t="shared" si="1"/>
        <v>83292</v>
      </c>
      <c r="H61" s="37">
        <f t="shared" si="2"/>
        <v>87494.399999999994</v>
      </c>
      <c r="I61">
        <f t="shared" si="4"/>
        <v>-36</v>
      </c>
      <c r="J61" s="1">
        <v>109890</v>
      </c>
      <c r="K61" s="1">
        <v>954</v>
      </c>
      <c r="L61" s="1">
        <v>918</v>
      </c>
      <c r="M61" s="91">
        <f t="shared" si="3"/>
        <v>79.587223587223576</v>
      </c>
      <c r="N61" s="88">
        <f t="shared" si="0"/>
        <v>75.795795795795797</v>
      </c>
    </row>
    <row r="62" spans="1:14" x14ac:dyDescent="0.25">
      <c r="A62" s="39">
        <v>46134</v>
      </c>
      <c r="B62" s="1">
        <v>1</v>
      </c>
      <c r="C62" s="1" t="s">
        <v>67</v>
      </c>
      <c r="D62" s="1" t="s">
        <v>89</v>
      </c>
      <c r="E62" s="1" t="s">
        <v>73</v>
      </c>
      <c r="F62" s="1">
        <v>25395</v>
      </c>
      <c r="G62" s="114">
        <f t="shared" si="1"/>
        <v>25788</v>
      </c>
      <c r="H62" s="37">
        <f t="shared" si="2"/>
        <v>26664.75</v>
      </c>
      <c r="I62">
        <f t="shared" si="4"/>
        <v>393</v>
      </c>
      <c r="J62" s="1">
        <v>34410</v>
      </c>
      <c r="K62" s="1">
        <v>1818</v>
      </c>
      <c r="L62" s="1">
        <v>2211</v>
      </c>
      <c r="M62" s="91">
        <f t="shared" si="3"/>
        <v>78.633391455972102</v>
      </c>
      <c r="N62" s="88">
        <f t="shared" si="0"/>
        <v>74.943330427201388</v>
      </c>
    </row>
    <row r="63" spans="1:14" x14ac:dyDescent="0.25">
      <c r="A63" s="39">
        <v>46134</v>
      </c>
      <c r="B63" s="1">
        <v>1</v>
      </c>
      <c r="C63" s="1" t="s">
        <v>185</v>
      </c>
      <c r="D63" s="1" t="s">
        <v>765</v>
      </c>
      <c r="E63" s="1" t="s">
        <v>48</v>
      </c>
      <c r="F63" s="1">
        <v>3603</v>
      </c>
      <c r="G63" s="114">
        <f t="shared" si="1"/>
        <v>3603</v>
      </c>
      <c r="H63" s="37">
        <f t="shared" si="2"/>
        <v>3783.15</v>
      </c>
      <c r="I63">
        <f t="shared" si="4"/>
        <v>0</v>
      </c>
      <c r="J63" s="1">
        <v>4440</v>
      </c>
      <c r="M63" s="91">
        <f t="shared" si="3"/>
        <v>85.206081081081081</v>
      </c>
      <c r="N63" s="88">
        <f t="shared" si="0"/>
        <v>81.148648648648646</v>
      </c>
    </row>
    <row r="64" spans="1:14" x14ac:dyDescent="0.25">
      <c r="A64" s="39">
        <v>46135</v>
      </c>
      <c r="B64" s="1">
        <v>1</v>
      </c>
      <c r="C64" s="1" t="s">
        <v>20</v>
      </c>
      <c r="D64" s="1" t="s">
        <v>299</v>
      </c>
      <c r="E64" s="1" t="s">
        <v>68</v>
      </c>
      <c r="F64" s="1">
        <v>123066</v>
      </c>
      <c r="G64" s="114">
        <f t="shared" si="1"/>
        <v>122094</v>
      </c>
      <c r="H64" s="37">
        <f t="shared" si="2"/>
        <v>129219.3</v>
      </c>
      <c r="I64">
        <f t="shared" si="4"/>
        <v>-972</v>
      </c>
      <c r="J64" s="1">
        <v>155030</v>
      </c>
      <c r="K64" s="1">
        <v>2034</v>
      </c>
      <c r="L64" s="1">
        <v>1062</v>
      </c>
      <c r="M64" s="91">
        <f t="shared" si="3"/>
        <v>82.724182416306519</v>
      </c>
      <c r="N64" s="88">
        <f t="shared" si="0"/>
        <v>78.755079662000909</v>
      </c>
    </row>
    <row r="65" spans="1:14" x14ac:dyDescent="0.25">
      <c r="A65" s="39">
        <v>46136</v>
      </c>
      <c r="B65" s="1">
        <v>1</v>
      </c>
      <c r="C65" s="1" t="s">
        <v>185</v>
      </c>
      <c r="D65" s="1" t="s">
        <v>649</v>
      </c>
      <c r="E65" s="1" t="s">
        <v>48</v>
      </c>
      <c r="F65" s="1">
        <v>27963</v>
      </c>
      <c r="G65" s="114">
        <f t="shared" si="1"/>
        <v>28719</v>
      </c>
      <c r="H65" s="37">
        <f t="shared" si="2"/>
        <v>29361.15</v>
      </c>
      <c r="I65">
        <f t="shared" si="4"/>
        <v>756</v>
      </c>
      <c r="J65" s="1">
        <v>38110</v>
      </c>
      <c r="L65" s="1">
        <v>756</v>
      </c>
      <c r="M65" s="91">
        <f t="shared" si="3"/>
        <v>79.02689582786671</v>
      </c>
      <c r="N65" s="88">
        <f t="shared" ref="N65:N128" si="5">+((F65+I65)/J65)*100</f>
        <v>75.358173707688266</v>
      </c>
    </row>
    <row r="66" spans="1:14" x14ac:dyDescent="0.25">
      <c r="A66" s="39">
        <v>46136</v>
      </c>
      <c r="B66" s="1">
        <v>1</v>
      </c>
      <c r="C66" s="1" t="s">
        <v>20</v>
      </c>
      <c r="D66" s="1" t="s">
        <v>793</v>
      </c>
      <c r="E66" s="1" t="s">
        <v>68</v>
      </c>
      <c r="F66" s="1">
        <v>10998</v>
      </c>
      <c r="G66" s="114">
        <f t="shared" ref="G66:G129" si="6">+F66+I66</f>
        <v>10206</v>
      </c>
      <c r="H66" s="37">
        <f t="shared" ref="H66:H129" si="7">+(F66*0.05)+F66</f>
        <v>11547.9</v>
      </c>
      <c r="I66">
        <f t="shared" si="4"/>
        <v>-792</v>
      </c>
      <c r="J66" s="1">
        <v>21830</v>
      </c>
      <c r="K66" s="1">
        <v>1062</v>
      </c>
      <c r="L66" s="1">
        <v>270</v>
      </c>
      <c r="M66" s="91">
        <f t="shared" si="3"/>
        <v>49.271186440677965</v>
      </c>
      <c r="N66" s="88">
        <f t="shared" si="5"/>
        <v>46.752175904718278</v>
      </c>
    </row>
    <row r="67" spans="1:14" x14ac:dyDescent="0.25">
      <c r="A67" s="39">
        <v>46136</v>
      </c>
      <c r="B67" s="1">
        <v>1</v>
      </c>
      <c r="C67" s="1" t="s">
        <v>22</v>
      </c>
      <c r="D67" s="1" t="s">
        <v>787</v>
      </c>
      <c r="E67" s="1" t="s">
        <v>72</v>
      </c>
      <c r="F67" s="1">
        <v>64566</v>
      </c>
      <c r="G67" s="114">
        <f t="shared" si="6"/>
        <v>64872</v>
      </c>
      <c r="H67" s="37">
        <f t="shared" si="7"/>
        <v>67794.3</v>
      </c>
      <c r="I67">
        <f t="shared" si="4"/>
        <v>306</v>
      </c>
      <c r="J67" s="1">
        <v>86950</v>
      </c>
      <c r="L67" s="1">
        <v>306</v>
      </c>
      <c r="M67" s="91">
        <f t="shared" ref="M67:M130" si="8">+((H67+I67)/J67)*100</f>
        <v>78.321219091431857</v>
      </c>
      <c r="N67" s="88">
        <f t="shared" si="5"/>
        <v>74.608395629672231</v>
      </c>
    </row>
    <row r="68" spans="1:14" x14ac:dyDescent="0.25">
      <c r="A68" s="39">
        <v>46136</v>
      </c>
      <c r="B68" s="1">
        <v>1</v>
      </c>
      <c r="C68" s="1" t="s">
        <v>67</v>
      </c>
      <c r="D68" s="1" t="s">
        <v>89</v>
      </c>
      <c r="E68" s="1" t="s">
        <v>73</v>
      </c>
      <c r="F68" s="1">
        <v>13572</v>
      </c>
      <c r="G68" s="114">
        <f t="shared" si="6"/>
        <v>12006</v>
      </c>
      <c r="H68" s="37">
        <f t="shared" si="7"/>
        <v>14250.6</v>
      </c>
      <c r="I68">
        <f t="shared" si="4"/>
        <v>-1566</v>
      </c>
      <c r="J68" s="1">
        <v>15910</v>
      </c>
      <c r="K68" s="1">
        <v>2430</v>
      </c>
      <c r="L68" s="1">
        <v>864</v>
      </c>
      <c r="M68" s="91">
        <f t="shared" si="8"/>
        <v>79.727215587680718</v>
      </c>
      <c r="N68" s="88">
        <f t="shared" si="5"/>
        <v>75.461973601508475</v>
      </c>
    </row>
    <row r="69" spans="1:14" x14ac:dyDescent="0.25">
      <c r="A69" s="39">
        <v>46137</v>
      </c>
      <c r="B69" s="1">
        <v>2</v>
      </c>
      <c r="C69" s="1" t="s">
        <v>20</v>
      </c>
      <c r="D69" s="1" t="s">
        <v>367</v>
      </c>
      <c r="E69" s="1" t="s">
        <v>68</v>
      </c>
      <c r="F69" s="1">
        <v>51444</v>
      </c>
      <c r="G69" s="114">
        <f t="shared" si="6"/>
        <v>51372</v>
      </c>
      <c r="H69" s="37">
        <f t="shared" si="7"/>
        <v>54016.2</v>
      </c>
      <c r="I69">
        <f t="shared" si="4"/>
        <v>-72</v>
      </c>
      <c r="J69" s="1">
        <v>59200</v>
      </c>
      <c r="K69" s="1">
        <v>72</v>
      </c>
      <c r="M69" s="91">
        <f t="shared" si="8"/>
        <v>91.121959459459461</v>
      </c>
      <c r="N69" s="88">
        <f t="shared" si="5"/>
        <v>86.777027027027032</v>
      </c>
    </row>
    <row r="70" spans="1:14" x14ac:dyDescent="0.25">
      <c r="A70" s="39">
        <v>46137</v>
      </c>
      <c r="B70" s="1">
        <v>2</v>
      </c>
      <c r="C70" s="1" t="s">
        <v>185</v>
      </c>
      <c r="D70" s="1" t="s">
        <v>649</v>
      </c>
      <c r="E70" s="1" t="s">
        <v>48</v>
      </c>
      <c r="F70" s="1">
        <v>8340</v>
      </c>
      <c r="G70" s="114">
        <f t="shared" si="6"/>
        <v>7884</v>
      </c>
      <c r="H70" s="37">
        <f t="shared" si="7"/>
        <v>8757</v>
      </c>
      <c r="I70">
        <f t="shared" si="4"/>
        <v>-456</v>
      </c>
      <c r="J70" s="1">
        <v>9990</v>
      </c>
      <c r="K70" s="1">
        <v>456</v>
      </c>
      <c r="M70" s="91">
        <f t="shared" si="8"/>
        <v>83.093093093093103</v>
      </c>
      <c r="N70" s="88">
        <f t="shared" si="5"/>
        <v>78.918918918918919</v>
      </c>
    </row>
    <row r="71" spans="1:14" x14ac:dyDescent="0.25">
      <c r="A71" s="39">
        <v>46137</v>
      </c>
      <c r="B71" s="1">
        <v>2</v>
      </c>
      <c r="C71" s="1" t="s">
        <v>22</v>
      </c>
      <c r="D71" s="1" t="s">
        <v>823</v>
      </c>
      <c r="E71" s="1" t="s">
        <v>72</v>
      </c>
      <c r="F71" s="1">
        <v>52824</v>
      </c>
      <c r="G71" s="114">
        <f t="shared" si="6"/>
        <v>56172</v>
      </c>
      <c r="H71" s="37">
        <f t="shared" si="7"/>
        <v>55465.2</v>
      </c>
      <c r="I71">
        <f t="shared" si="4"/>
        <v>3348</v>
      </c>
      <c r="J71" s="1">
        <v>68080</v>
      </c>
      <c r="K71" s="1">
        <v>306</v>
      </c>
      <c r="L71" s="1">
        <v>3654</v>
      </c>
      <c r="M71" s="91">
        <f t="shared" si="8"/>
        <v>86.388366627497064</v>
      </c>
      <c r="N71" s="88">
        <f t="shared" si="5"/>
        <v>82.508813160987074</v>
      </c>
    </row>
    <row r="72" spans="1:14" x14ac:dyDescent="0.25">
      <c r="A72" s="39">
        <v>46139</v>
      </c>
      <c r="B72" s="1">
        <v>1</v>
      </c>
      <c r="C72" s="1" t="s">
        <v>20</v>
      </c>
      <c r="D72" s="1" t="s">
        <v>367</v>
      </c>
      <c r="E72" s="1" t="s">
        <v>68</v>
      </c>
      <c r="F72" s="1">
        <v>47142</v>
      </c>
      <c r="G72" s="114">
        <f t="shared" si="6"/>
        <v>45540</v>
      </c>
      <c r="H72" s="37">
        <f t="shared" si="7"/>
        <v>49499.1</v>
      </c>
      <c r="I72">
        <f t="shared" si="4"/>
        <v>-1602</v>
      </c>
      <c r="J72" s="1">
        <v>55500</v>
      </c>
      <c r="K72" s="1">
        <v>1602</v>
      </c>
      <c r="M72" s="91">
        <f t="shared" si="8"/>
        <v>86.30108108108108</v>
      </c>
      <c r="N72" s="88">
        <f t="shared" si="5"/>
        <v>82.054054054054049</v>
      </c>
    </row>
    <row r="73" spans="1:14" x14ac:dyDescent="0.25">
      <c r="A73" s="39">
        <v>46139</v>
      </c>
      <c r="B73" s="1">
        <v>1</v>
      </c>
      <c r="C73" s="1" t="s">
        <v>67</v>
      </c>
      <c r="D73" s="1" t="s">
        <v>89</v>
      </c>
      <c r="E73" s="1" t="s">
        <v>73</v>
      </c>
      <c r="F73" s="1">
        <v>88776</v>
      </c>
      <c r="G73" s="114">
        <f t="shared" si="6"/>
        <v>89730</v>
      </c>
      <c r="H73" s="37">
        <f t="shared" si="7"/>
        <v>93214.8</v>
      </c>
      <c r="I73">
        <f t="shared" si="4"/>
        <v>954</v>
      </c>
      <c r="J73" s="1">
        <v>114700</v>
      </c>
      <c r="K73" s="1">
        <v>414</v>
      </c>
      <c r="L73" s="1">
        <v>1368</v>
      </c>
      <c r="M73" s="91">
        <f t="shared" si="8"/>
        <v>82.100087183958152</v>
      </c>
      <c r="N73" s="88">
        <f t="shared" si="5"/>
        <v>78.230165649520487</v>
      </c>
    </row>
    <row r="74" spans="1:14" x14ac:dyDescent="0.25">
      <c r="A74" s="39">
        <v>46140</v>
      </c>
      <c r="B74" s="1">
        <v>1</v>
      </c>
      <c r="C74" s="1" t="s">
        <v>20</v>
      </c>
      <c r="D74" s="1" t="s">
        <v>367</v>
      </c>
      <c r="E74" s="1" t="s">
        <v>68</v>
      </c>
      <c r="F74" s="1">
        <v>35478</v>
      </c>
      <c r="G74" s="114">
        <f t="shared" si="6"/>
        <v>35478</v>
      </c>
      <c r="H74" s="37">
        <f t="shared" si="7"/>
        <v>37251.9</v>
      </c>
      <c r="I74">
        <f t="shared" si="4"/>
        <v>0</v>
      </c>
      <c r="J74" s="1">
        <v>41810</v>
      </c>
      <c r="M74" s="91">
        <f t="shared" si="8"/>
        <v>89.098062664434352</v>
      </c>
      <c r="N74" s="88">
        <f t="shared" si="5"/>
        <v>84.855297775651763</v>
      </c>
    </row>
    <row r="75" spans="1:14" x14ac:dyDescent="0.25">
      <c r="A75" s="39">
        <v>46140</v>
      </c>
      <c r="B75" s="1">
        <v>1</v>
      </c>
      <c r="C75" s="1" t="s">
        <v>67</v>
      </c>
      <c r="D75" s="1" t="s">
        <v>89</v>
      </c>
      <c r="E75" s="1" t="s">
        <v>73</v>
      </c>
      <c r="F75" s="1">
        <v>88614</v>
      </c>
      <c r="G75" s="114">
        <f t="shared" si="6"/>
        <v>88038</v>
      </c>
      <c r="H75" s="37">
        <f t="shared" si="7"/>
        <v>93044.7</v>
      </c>
      <c r="I75">
        <f t="shared" si="4"/>
        <v>-576</v>
      </c>
      <c r="J75" s="1">
        <v>106560</v>
      </c>
      <c r="K75" s="1">
        <v>2088</v>
      </c>
      <c r="L75" s="1">
        <v>1512</v>
      </c>
      <c r="M75" s="91">
        <f t="shared" si="8"/>
        <v>86.776182432432421</v>
      </c>
      <c r="N75" s="88">
        <f t="shared" si="5"/>
        <v>82.618243243243242</v>
      </c>
    </row>
    <row r="76" spans="1:14" x14ac:dyDescent="0.25">
      <c r="A76" s="39">
        <v>46140</v>
      </c>
      <c r="B76" s="1">
        <v>1</v>
      </c>
      <c r="C76" s="1" t="s">
        <v>67</v>
      </c>
      <c r="D76" s="1" t="s">
        <v>865</v>
      </c>
      <c r="E76" s="1" t="s">
        <v>75</v>
      </c>
      <c r="F76" s="1">
        <v>10242</v>
      </c>
      <c r="G76" s="114">
        <f t="shared" si="6"/>
        <v>10422</v>
      </c>
      <c r="H76" s="37">
        <f t="shared" si="7"/>
        <v>10754.1</v>
      </c>
      <c r="I76">
        <f t="shared" si="4"/>
        <v>180</v>
      </c>
      <c r="J76" s="1">
        <v>14060</v>
      </c>
      <c r="L76" s="1">
        <v>180</v>
      </c>
      <c r="M76" s="91">
        <f t="shared" si="8"/>
        <v>77.767425320056901</v>
      </c>
      <c r="N76" s="88">
        <f t="shared" si="5"/>
        <v>74.125177809388333</v>
      </c>
    </row>
    <row r="77" spans="1:14" x14ac:dyDescent="0.25">
      <c r="A77" s="39">
        <v>46140</v>
      </c>
      <c r="B77" s="1">
        <v>1</v>
      </c>
      <c r="C77" s="1" t="s">
        <v>22</v>
      </c>
      <c r="D77" s="1" t="s">
        <v>648</v>
      </c>
      <c r="E77" s="1" t="s">
        <v>72</v>
      </c>
      <c r="F77" s="1">
        <v>666</v>
      </c>
      <c r="G77" s="114">
        <f t="shared" si="6"/>
        <v>592</v>
      </c>
      <c r="H77" s="37">
        <f t="shared" si="7"/>
        <v>699.3</v>
      </c>
      <c r="I77">
        <f t="shared" si="4"/>
        <v>-74</v>
      </c>
      <c r="J77" s="1">
        <v>1110</v>
      </c>
      <c r="K77" s="1">
        <f>38+36</f>
        <v>74</v>
      </c>
      <c r="M77" s="91">
        <f t="shared" si="8"/>
        <v>56.333333333333321</v>
      </c>
      <c r="N77" s="88">
        <f t="shared" si="5"/>
        <v>53.333333333333336</v>
      </c>
    </row>
    <row r="78" spans="1:14" x14ac:dyDescent="0.25">
      <c r="A78" s="39">
        <v>0</v>
      </c>
      <c r="B78" s="1">
        <v>1</v>
      </c>
      <c r="C78" s="1" t="s">
        <v>20</v>
      </c>
      <c r="D78" s="1" t="s">
        <v>367</v>
      </c>
      <c r="E78" s="1" t="s">
        <v>68</v>
      </c>
      <c r="F78" s="1">
        <v>86895</v>
      </c>
      <c r="G78" s="114">
        <f t="shared" si="6"/>
        <v>89253</v>
      </c>
      <c r="H78" s="37">
        <f t="shared" si="7"/>
        <v>91239.75</v>
      </c>
      <c r="I78">
        <f t="shared" ref="I78:I141" si="9">+L78-K78</f>
        <v>2358</v>
      </c>
      <c r="J78" s="1">
        <v>108780</v>
      </c>
      <c r="L78" s="1">
        <v>2358</v>
      </c>
      <c r="M78" s="91">
        <f t="shared" si="8"/>
        <v>86.043160507446231</v>
      </c>
      <c r="N78" s="88">
        <f t="shared" si="5"/>
        <v>82.049089906232766</v>
      </c>
    </row>
    <row r="79" spans="1:14" x14ac:dyDescent="0.25">
      <c r="A79" s="39">
        <v>46141</v>
      </c>
      <c r="B79" s="1">
        <v>1</v>
      </c>
      <c r="C79" s="1" t="s">
        <v>185</v>
      </c>
      <c r="D79" s="1" t="s">
        <v>646</v>
      </c>
      <c r="E79" s="1" t="s">
        <v>48</v>
      </c>
      <c r="F79" s="1">
        <v>1224</v>
      </c>
      <c r="G79" s="114">
        <f t="shared" si="6"/>
        <v>1224</v>
      </c>
      <c r="H79" s="37">
        <f t="shared" si="7"/>
        <v>1285.2</v>
      </c>
      <c r="I79">
        <f t="shared" si="9"/>
        <v>0</v>
      </c>
      <c r="J79" s="1">
        <v>1850</v>
      </c>
      <c r="M79" s="91">
        <f t="shared" si="8"/>
        <v>69.470270270270277</v>
      </c>
      <c r="N79" s="88">
        <f t="shared" si="5"/>
        <v>66.162162162162161</v>
      </c>
    </row>
    <row r="80" spans="1:14" x14ac:dyDescent="0.25">
      <c r="A80" s="39">
        <v>46141</v>
      </c>
      <c r="B80" s="1">
        <v>1</v>
      </c>
      <c r="C80" s="1" t="s">
        <v>22</v>
      </c>
      <c r="D80" s="1" t="s">
        <v>895</v>
      </c>
      <c r="E80" s="1" t="s">
        <v>72</v>
      </c>
      <c r="F80" s="1">
        <v>15189</v>
      </c>
      <c r="G80" s="114">
        <f t="shared" si="6"/>
        <v>14127</v>
      </c>
      <c r="H80" s="37">
        <f t="shared" si="7"/>
        <v>15948.45</v>
      </c>
      <c r="I80">
        <f t="shared" si="9"/>
        <v>-1062</v>
      </c>
      <c r="J80" s="1">
        <v>17390</v>
      </c>
      <c r="K80" s="1">
        <v>1062</v>
      </c>
      <c r="M80" s="91">
        <f t="shared" si="8"/>
        <v>85.603507763082234</v>
      </c>
      <c r="N80" s="88">
        <f t="shared" si="5"/>
        <v>81.236342725704418</v>
      </c>
    </row>
    <row r="81" spans="1:14" x14ac:dyDescent="0.25">
      <c r="A81" s="39">
        <v>46141</v>
      </c>
      <c r="B81" s="1">
        <v>1</v>
      </c>
      <c r="C81" s="1" t="s">
        <v>67</v>
      </c>
      <c r="D81" s="1" t="s">
        <v>89</v>
      </c>
      <c r="E81" s="1" t="s">
        <v>73</v>
      </c>
      <c r="F81" s="1">
        <v>24018</v>
      </c>
      <c r="G81" s="114">
        <f t="shared" si="6"/>
        <v>24066</v>
      </c>
      <c r="H81" s="37">
        <f t="shared" si="7"/>
        <v>25218.9</v>
      </c>
      <c r="I81">
        <f t="shared" si="9"/>
        <v>48</v>
      </c>
      <c r="J81" s="1">
        <v>31450</v>
      </c>
      <c r="K81" s="1">
        <v>1335</v>
      </c>
      <c r="L81" s="1">
        <v>1383</v>
      </c>
      <c r="M81" s="91">
        <f t="shared" si="8"/>
        <v>80.339904610492852</v>
      </c>
      <c r="N81" s="88">
        <f t="shared" si="5"/>
        <v>76.5214626391097</v>
      </c>
    </row>
    <row r="82" spans="1:14" x14ac:dyDescent="0.25">
      <c r="A82" s="39">
        <v>46142</v>
      </c>
      <c r="B82" s="1">
        <v>1</v>
      </c>
      <c r="C82" s="1" t="s">
        <v>20</v>
      </c>
      <c r="D82" s="1" t="s">
        <v>367</v>
      </c>
      <c r="E82" s="1" t="s">
        <v>68</v>
      </c>
      <c r="F82" s="1">
        <v>50112</v>
      </c>
      <c r="G82" s="114">
        <f t="shared" si="6"/>
        <v>48798</v>
      </c>
      <c r="H82" s="37">
        <f t="shared" si="7"/>
        <v>52617.599999999999</v>
      </c>
      <c r="I82">
        <f t="shared" si="9"/>
        <v>-1314</v>
      </c>
      <c r="J82" s="1">
        <v>57720</v>
      </c>
      <c r="K82" s="1">
        <v>2358</v>
      </c>
      <c r="L82" s="1">
        <v>1044</v>
      </c>
      <c r="M82" s="91">
        <f t="shared" si="8"/>
        <v>88.883575883575887</v>
      </c>
      <c r="N82" s="88">
        <f t="shared" si="5"/>
        <v>84.542619542619548</v>
      </c>
    </row>
    <row r="83" spans="1:14" x14ac:dyDescent="0.25">
      <c r="A83" s="39">
        <v>46142</v>
      </c>
      <c r="B83" s="1">
        <v>1</v>
      </c>
      <c r="C83" s="1" t="s">
        <v>22</v>
      </c>
      <c r="D83" s="1" t="s">
        <v>792</v>
      </c>
      <c r="E83" s="1" t="s">
        <v>72</v>
      </c>
      <c r="F83" s="1">
        <v>29595</v>
      </c>
      <c r="G83" s="114">
        <f t="shared" si="6"/>
        <v>29595</v>
      </c>
      <c r="H83" s="37">
        <f t="shared" si="7"/>
        <v>31074.75</v>
      </c>
      <c r="I83">
        <f t="shared" si="9"/>
        <v>0</v>
      </c>
      <c r="J83" s="1">
        <v>35150</v>
      </c>
      <c r="M83" s="91">
        <f t="shared" si="8"/>
        <v>88.40611664295875</v>
      </c>
      <c r="N83" s="88">
        <f t="shared" si="5"/>
        <v>84.196301564722617</v>
      </c>
    </row>
    <row r="84" spans="1:14" x14ac:dyDescent="0.25">
      <c r="A84" s="39">
        <v>46142</v>
      </c>
      <c r="B84" s="1">
        <v>1</v>
      </c>
      <c r="C84" s="1" t="s">
        <v>21</v>
      </c>
      <c r="D84" s="1" t="s">
        <v>936</v>
      </c>
      <c r="E84" s="1" t="s">
        <v>70</v>
      </c>
      <c r="F84" s="1">
        <v>17301</v>
      </c>
      <c r="G84" s="114">
        <f t="shared" si="6"/>
        <v>17001</v>
      </c>
      <c r="H84" s="37">
        <f t="shared" si="7"/>
        <v>18166.05</v>
      </c>
      <c r="I84">
        <f t="shared" si="9"/>
        <v>-300</v>
      </c>
      <c r="J84" s="1">
        <v>19980</v>
      </c>
      <c r="K84" s="1">
        <v>300</v>
      </c>
      <c r="M84" s="91">
        <f t="shared" si="8"/>
        <v>89.419669669669659</v>
      </c>
      <c r="N84" s="88">
        <f t="shared" si="5"/>
        <v>85.090090090090087</v>
      </c>
    </row>
    <row r="85" spans="1:14" x14ac:dyDescent="0.25">
      <c r="A85" s="39">
        <v>46142</v>
      </c>
      <c r="B85" s="1">
        <v>1</v>
      </c>
      <c r="C85" s="1" t="s">
        <v>67</v>
      </c>
      <c r="D85" s="1" t="s">
        <v>837</v>
      </c>
      <c r="E85" s="1" t="s">
        <v>73</v>
      </c>
      <c r="F85" s="1">
        <v>34458</v>
      </c>
      <c r="G85" s="114">
        <f t="shared" si="6"/>
        <v>35718</v>
      </c>
      <c r="H85" s="37">
        <f t="shared" si="7"/>
        <v>36180.9</v>
      </c>
      <c r="I85">
        <f t="shared" si="9"/>
        <v>1260</v>
      </c>
      <c r="J85" s="1">
        <v>49580</v>
      </c>
      <c r="K85" s="1">
        <v>1563</v>
      </c>
      <c r="L85" s="1">
        <v>2823</v>
      </c>
      <c r="M85" s="91">
        <f t="shared" si="8"/>
        <v>75.516135538523599</v>
      </c>
      <c r="N85" s="88">
        <f t="shared" si="5"/>
        <v>72.041145623235181</v>
      </c>
    </row>
    <row r="86" spans="1:14" x14ac:dyDescent="0.25">
      <c r="A86" s="39">
        <v>46144</v>
      </c>
      <c r="B86" s="1">
        <v>1</v>
      </c>
      <c r="C86" s="1" t="s">
        <v>21</v>
      </c>
      <c r="D86" s="1" t="s">
        <v>992</v>
      </c>
      <c r="E86" s="1" t="s">
        <v>70</v>
      </c>
      <c r="F86" s="1">
        <v>18144</v>
      </c>
      <c r="G86" s="114">
        <f t="shared" si="6"/>
        <v>17144</v>
      </c>
      <c r="H86" s="37">
        <f t="shared" si="7"/>
        <v>19051.2</v>
      </c>
      <c r="I86">
        <f t="shared" si="9"/>
        <v>-1000</v>
      </c>
      <c r="J86" s="1">
        <v>20720</v>
      </c>
      <c r="K86" s="1">
        <v>1000</v>
      </c>
      <c r="M86" s="91">
        <f t="shared" si="8"/>
        <v>87.119691119691126</v>
      </c>
      <c r="N86" s="88">
        <f t="shared" si="5"/>
        <v>82.74131274131274</v>
      </c>
    </row>
    <row r="87" spans="1:14" x14ac:dyDescent="0.25">
      <c r="A87" s="39">
        <v>46144</v>
      </c>
      <c r="B87" s="1">
        <v>1</v>
      </c>
      <c r="C87" s="1" t="s">
        <v>22</v>
      </c>
      <c r="D87" s="1" t="s">
        <v>889</v>
      </c>
      <c r="E87" s="1" t="s">
        <v>72</v>
      </c>
      <c r="F87" s="1">
        <v>9513</v>
      </c>
      <c r="G87" s="114">
        <f t="shared" si="6"/>
        <v>8289</v>
      </c>
      <c r="H87" s="37">
        <f t="shared" si="7"/>
        <v>9988.65</v>
      </c>
      <c r="I87">
        <f t="shared" si="9"/>
        <v>-1224</v>
      </c>
      <c r="J87" s="1">
        <v>11470</v>
      </c>
      <c r="K87" s="1">
        <v>1224</v>
      </c>
      <c r="M87" s="91">
        <f t="shared" si="8"/>
        <v>76.413687881429809</v>
      </c>
      <c r="N87" s="88">
        <f t="shared" si="5"/>
        <v>72.266782911944205</v>
      </c>
    </row>
    <row r="88" spans="1:14" x14ac:dyDescent="0.25">
      <c r="A88" s="39">
        <v>46144</v>
      </c>
      <c r="B88" s="1">
        <v>1</v>
      </c>
      <c r="C88" s="1" t="s">
        <v>185</v>
      </c>
      <c r="D88" s="1" t="s">
        <v>645</v>
      </c>
      <c r="E88" s="1" t="s">
        <v>48</v>
      </c>
      <c r="F88" s="1">
        <v>2673</v>
      </c>
      <c r="G88" s="114">
        <f t="shared" si="6"/>
        <v>2273</v>
      </c>
      <c r="H88" s="37">
        <f t="shared" si="7"/>
        <v>2806.65</v>
      </c>
      <c r="I88">
        <f t="shared" si="9"/>
        <v>-400</v>
      </c>
      <c r="J88" s="1">
        <v>2960</v>
      </c>
      <c r="K88" s="1">
        <v>400</v>
      </c>
      <c r="M88" s="91">
        <f t="shared" si="8"/>
        <v>81.305743243243242</v>
      </c>
      <c r="N88" s="88">
        <f t="shared" si="5"/>
        <v>76.790540540540547</v>
      </c>
    </row>
    <row r="89" spans="1:14" x14ac:dyDescent="0.25">
      <c r="A89" s="39">
        <v>46144</v>
      </c>
      <c r="B89" s="1">
        <v>1</v>
      </c>
      <c r="C89" s="1" t="s">
        <v>67</v>
      </c>
      <c r="D89" s="1" t="s">
        <v>837</v>
      </c>
      <c r="E89" s="1" t="s">
        <v>73</v>
      </c>
      <c r="F89" s="1">
        <v>81663</v>
      </c>
      <c r="G89" s="114">
        <f t="shared" si="6"/>
        <v>80373</v>
      </c>
      <c r="H89" s="37">
        <f t="shared" si="7"/>
        <v>85746.15</v>
      </c>
      <c r="I89">
        <f t="shared" si="9"/>
        <v>-1290</v>
      </c>
      <c r="J89" s="1">
        <v>111370</v>
      </c>
      <c r="K89" s="1">
        <v>2103</v>
      </c>
      <c r="L89" s="1">
        <v>813</v>
      </c>
      <c r="M89" s="91">
        <f t="shared" si="8"/>
        <v>75.833842147795622</v>
      </c>
      <c r="N89" s="88">
        <f t="shared" si="5"/>
        <v>72.167549609410074</v>
      </c>
    </row>
    <row r="90" spans="1:14" x14ac:dyDescent="0.25">
      <c r="A90" s="39">
        <v>46144</v>
      </c>
      <c r="B90" s="1">
        <v>1</v>
      </c>
      <c r="C90" s="1" t="s">
        <v>20</v>
      </c>
      <c r="D90" s="1" t="s">
        <v>367</v>
      </c>
      <c r="E90" s="1" t="s">
        <v>68</v>
      </c>
      <c r="F90" s="1">
        <v>27090</v>
      </c>
      <c r="G90" s="114">
        <f t="shared" si="6"/>
        <v>27558</v>
      </c>
      <c r="H90" s="37">
        <f t="shared" si="7"/>
        <v>28444.5</v>
      </c>
      <c r="I90">
        <f t="shared" si="9"/>
        <v>468</v>
      </c>
      <c r="J90" s="1">
        <v>34780</v>
      </c>
      <c r="K90" s="1">
        <v>1044</v>
      </c>
      <c r="L90" s="1">
        <v>1512</v>
      </c>
      <c r="M90" s="91">
        <f t="shared" si="8"/>
        <v>83.129672225416911</v>
      </c>
      <c r="N90" s="88">
        <f t="shared" si="5"/>
        <v>79.235192639447959</v>
      </c>
    </row>
    <row r="91" spans="1:14" x14ac:dyDescent="0.25">
      <c r="A91" s="39">
        <v>46146</v>
      </c>
      <c r="B91" s="1">
        <v>1</v>
      </c>
      <c r="C91" s="1" t="s">
        <v>20</v>
      </c>
      <c r="D91" s="1" t="s">
        <v>1037</v>
      </c>
      <c r="E91" s="1" t="s">
        <v>68</v>
      </c>
      <c r="F91" s="1">
        <v>100764</v>
      </c>
      <c r="G91" s="114">
        <f t="shared" si="6"/>
        <v>102276</v>
      </c>
      <c r="H91" s="37">
        <f t="shared" si="7"/>
        <v>105802.2</v>
      </c>
      <c r="I91">
        <v>1512</v>
      </c>
      <c r="J91" s="1">
        <v>115810</v>
      </c>
      <c r="K91" s="1">
        <v>1512</v>
      </c>
      <c r="L91" s="1">
        <v>0</v>
      </c>
      <c r="M91" s="91">
        <f t="shared" si="8"/>
        <v>92.664018651239104</v>
      </c>
      <c r="N91" s="88">
        <f t="shared" si="5"/>
        <v>88.313617131508508</v>
      </c>
    </row>
    <row r="92" spans="1:14" x14ac:dyDescent="0.25">
      <c r="A92" s="39">
        <v>46146</v>
      </c>
      <c r="B92" s="1">
        <v>2</v>
      </c>
      <c r="C92" s="1" t="s">
        <v>67</v>
      </c>
      <c r="D92" s="1" t="s">
        <v>837</v>
      </c>
      <c r="E92" s="1" t="s">
        <v>73</v>
      </c>
      <c r="F92" s="1">
        <v>21285</v>
      </c>
      <c r="G92" s="114">
        <f t="shared" si="6"/>
        <v>21285</v>
      </c>
      <c r="H92" s="37">
        <f t="shared" si="7"/>
        <v>22349.25</v>
      </c>
      <c r="J92" s="1">
        <v>30340</v>
      </c>
      <c r="K92" s="1">
        <v>1368</v>
      </c>
      <c r="L92" s="1">
        <v>1053</v>
      </c>
      <c r="M92" s="91">
        <f t="shared" si="8"/>
        <v>73.662656558998023</v>
      </c>
      <c r="N92" s="88">
        <f t="shared" si="5"/>
        <v>70.154911008569542</v>
      </c>
    </row>
    <row r="93" spans="1:14" x14ac:dyDescent="0.25">
      <c r="A93" s="39">
        <v>46146</v>
      </c>
      <c r="B93" s="1">
        <v>2</v>
      </c>
      <c r="C93" s="1" t="s">
        <v>20</v>
      </c>
      <c r="D93" s="1" t="s">
        <v>438</v>
      </c>
      <c r="E93" s="1" t="s">
        <v>68</v>
      </c>
      <c r="F93" s="1">
        <v>40284</v>
      </c>
      <c r="G93" s="114">
        <f t="shared" si="6"/>
        <v>40284</v>
      </c>
      <c r="H93" s="37">
        <f t="shared" si="7"/>
        <v>42298.2</v>
      </c>
      <c r="J93" s="1">
        <v>53280</v>
      </c>
      <c r="L93" s="1">
        <v>3204</v>
      </c>
      <c r="M93" s="91">
        <f t="shared" si="8"/>
        <v>79.388513513513502</v>
      </c>
      <c r="N93" s="88">
        <f t="shared" si="5"/>
        <v>75.608108108108112</v>
      </c>
    </row>
    <row r="94" spans="1:14" x14ac:dyDescent="0.25">
      <c r="A94" s="39">
        <v>46146</v>
      </c>
      <c r="B94" s="1">
        <v>2</v>
      </c>
      <c r="C94" s="1" t="s">
        <v>22</v>
      </c>
      <c r="D94" s="1" t="s">
        <v>889</v>
      </c>
      <c r="E94" s="1" t="s">
        <v>72</v>
      </c>
      <c r="F94" s="1">
        <v>10617</v>
      </c>
      <c r="G94" s="114">
        <f t="shared" si="6"/>
        <v>11913</v>
      </c>
      <c r="H94" s="37">
        <f t="shared" si="7"/>
        <v>11147.85</v>
      </c>
      <c r="I94">
        <f t="shared" si="9"/>
        <v>1296</v>
      </c>
      <c r="J94" s="1">
        <v>16650</v>
      </c>
      <c r="L94" s="1">
        <v>1296</v>
      </c>
      <c r="M94" s="91">
        <f t="shared" si="8"/>
        <v>74.737837837837844</v>
      </c>
      <c r="N94" s="88">
        <f t="shared" si="5"/>
        <v>71.549549549549553</v>
      </c>
    </row>
    <row r="95" spans="1:14" x14ac:dyDescent="0.25">
      <c r="A95" s="39">
        <v>46147</v>
      </c>
      <c r="B95" s="1">
        <v>1</v>
      </c>
      <c r="C95" s="1" t="s">
        <v>20</v>
      </c>
      <c r="D95" s="1" t="s">
        <v>438</v>
      </c>
      <c r="E95" s="1" t="s">
        <v>68</v>
      </c>
      <c r="F95" s="1">
        <v>29160</v>
      </c>
      <c r="G95" s="114">
        <f t="shared" si="6"/>
        <v>25956</v>
      </c>
      <c r="H95" s="37">
        <f t="shared" si="7"/>
        <v>30618</v>
      </c>
      <c r="I95">
        <f t="shared" si="9"/>
        <v>-3204</v>
      </c>
      <c r="J95" s="1">
        <v>33300</v>
      </c>
      <c r="K95" s="1">
        <v>3204</v>
      </c>
      <c r="M95" s="91">
        <f t="shared" si="8"/>
        <v>82.324324324324323</v>
      </c>
      <c r="N95" s="88">
        <f t="shared" si="5"/>
        <v>77.945945945945951</v>
      </c>
    </row>
    <row r="96" spans="1:14" x14ac:dyDescent="0.25">
      <c r="A96" s="39">
        <v>46147</v>
      </c>
      <c r="B96" s="1">
        <v>1</v>
      </c>
      <c r="C96" s="1" t="s">
        <v>67</v>
      </c>
      <c r="D96" s="1" t="s">
        <v>837</v>
      </c>
      <c r="E96" s="1" t="s">
        <v>73</v>
      </c>
      <c r="F96" s="1">
        <v>70326</v>
      </c>
      <c r="G96" s="114">
        <f t="shared" si="6"/>
        <v>69498</v>
      </c>
      <c r="H96" s="37">
        <f t="shared" si="7"/>
        <v>73842.3</v>
      </c>
      <c r="I96">
        <f t="shared" si="9"/>
        <v>-828</v>
      </c>
      <c r="J96" s="1">
        <v>81400</v>
      </c>
      <c r="K96" s="1">
        <v>828</v>
      </c>
      <c r="M96" s="91">
        <f t="shared" si="8"/>
        <v>89.698157248157244</v>
      </c>
      <c r="N96" s="88">
        <f t="shared" si="5"/>
        <v>85.378378378378386</v>
      </c>
    </row>
    <row r="97" spans="1:14" x14ac:dyDescent="0.25">
      <c r="A97" s="39">
        <v>46147</v>
      </c>
      <c r="B97" s="1">
        <v>2</v>
      </c>
      <c r="C97" s="1" t="s">
        <v>67</v>
      </c>
      <c r="D97" s="1" t="s">
        <v>837</v>
      </c>
      <c r="E97" s="1" t="s">
        <v>73</v>
      </c>
      <c r="F97" s="1">
        <v>28215</v>
      </c>
      <c r="G97" s="114">
        <f t="shared" si="6"/>
        <v>29571</v>
      </c>
      <c r="H97" s="37">
        <f t="shared" si="7"/>
        <v>29625.75</v>
      </c>
      <c r="I97">
        <f t="shared" si="9"/>
        <v>1356</v>
      </c>
      <c r="J97" s="1">
        <v>45880</v>
      </c>
      <c r="L97" s="1">
        <v>1356</v>
      </c>
      <c r="M97" s="91">
        <f t="shared" si="8"/>
        <v>67.527789886660855</v>
      </c>
      <c r="N97" s="88">
        <f t="shared" si="5"/>
        <v>64.452920662598075</v>
      </c>
    </row>
    <row r="98" spans="1:14" x14ac:dyDescent="0.25">
      <c r="A98" s="39">
        <v>46147</v>
      </c>
      <c r="B98" s="1">
        <v>2</v>
      </c>
      <c r="C98" s="1" t="s">
        <v>22</v>
      </c>
      <c r="D98" s="1" t="s">
        <v>889</v>
      </c>
      <c r="E98" s="1" t="s">
        <v>72</v>
      </c>
      <c r="F98" s="1">
        <v>33561</v>
      </c>
      <c r="G98" s="114">
        <f t="shared" si="6"/>
        <v>33561</v>
      </c>
      <c r="H98" s="37">
        <f t="shared" si="7"/>
        <v>35239.050000000003</v>
      </c>
      <c r="I98">
        <f t="shared" si="9"/>
        <v>0</v>
      </c>
      <c r="J98" s="1">
        <v>44030</v>
      </c>
      <c r="M98" s="91">
        <f t="shared" si="8"/>
        <v>80.034181240063589</v>
      </c>
      <c r="N98" s="88">
        <f t="shared" si="5"/>
        <v>76.223029752441519</v>
      </c>
    </row>
    <row r="99" spans="1:14" x14ac:dyDescent="0.25">
      <c r="A99" s="39">
        <v>46147</v>
      </c>
      <c r="B99" s="1">
        <v>2</v>
      </c>
      <c r="C99" s="1" t="s">
        <v>21</v>
      </c>
      <c r="D99" s="1" t="s">
        <v>936</v>
      </c>
      <c r="E99" s="1" t="s">
        <v>70</v>
      </c>
      <c r="F99" s="1">
        <v>14736</v>
      </c>
      <c r="G99" s="114">
        <f t="shared" si="6"/>
        <v>16788</v>
      </c>
      <c r="H99" s="37">
        <f t="shared" si="7"/>
        <v>15472.8</v>
      </c>
      <c r="I99">
        <f t="shared" si="9"/>
        <v>2052</v>
      </c>
      <c r="J99" s="1">
        <v>20720</v>
      </c>
      <c r="L99" s="1">
        <v>2052</v>
      </c>
      <c r="M99" s="91">
        <f t="shared" si="8"/>
        <v>84.579150579150578</v>
      </c>
      <c r="N99" s="88">
        <f t="shared" si="5"/>
        <v>81.023166023166027</v>
      </c>
    </row>
    <row r="100" spans="1:14" x14ac:dyDescent="0.25">
      <c r="A100" s="39">
        <v>46148</v>
      </c>
      <c r="B100" s="1">
        <v>2</v>
      </c>
      <c r="C100" s="1" t="s">
        <v>67</v>
      </c>
      <c r="D100" s="1" t="s">
        <v>837</v>
      </c>
      <c r="E100" s="1" t="s">
        <v>73</v>
      </c>
      <c r="F100" s="1">
        <v>102171</v>
      </c>
      <c r="G100" s="114">
        <f t="shared" si="6"/>
        <v>102852</v>
      </c>
      <c r="H100" s="37">
        <f t="shared" si="7"/>
        <v>107279.55</v>
      </c>
      <c r="I100">
        <f t="shared" si="9"/>
        <v>681</v>
      </c>
      <c r="J100" s="1">
        <v>123580</v>
      </c>
      <c r="L100" s="1">
        <v>681</v>
      </c>
      <c r="M100" s="91">
        <f t="shared" si="8"/>
        <v>87.360859362356365</v>
      </c>
      <c r="N100" s="88">
        <f t="shared" si="5"/>
        <v>83.227059394724066</v>
      </c>
    </row>
    <row r="101" spans="1:14" x14ac:dyDescent="0.25">
      <c r="A101" s="39">
        <v>46149</v>
      </c>
      <c r="B101" s="1">
        <v>1</v>
      </c>
      <c r="C101" s="1" t="s">
        <v>20</v>
      </c>
      <c r="D101" s="1" t="s">
        <v>1185</v>
      </c>
      <c r="E101" s="1" t="s">
        <v>68</v>
      </c>
      <c r="F101" s="1">
        <v>88590</v>
      </c>
      <c r="G101" s="114">
        <f t="shared" si="6"/>
        <v>88212</v>
      </c>
      <c r="H101" s="37">
        <f t="shared" si="7"/>
        <v>93019.5</v>
      </c>
      <c r="I101">
        <f t="shared" si="9"/>
        <v>-378</v>
      </c>
      <c r="J101" s="1">
        <v>105820</v>
      </c>
      <c r="K101" s="1">
        <v>378</v>
      </c>
      <c r="M101" s="91">
        <f t="shared" si="8"/>
        <v>87.546305046305051</v>
      </c>
      <c r="N101" s="88">
        <f t="shared" si="5"/>
        <v>83.360423360423368</v>
      </c>
    </row>
    <row r="102" spans="1:14" x14ac:dyDescent="0.25">
      <c r="A102" s="39">
        <v>46149</v>
      </c>
      <c r="B102" s="1">
        <v>1</v>
      </c>
      <c r="C102" s="1" t="s">
        <v>185</v>
      </c>
      <c r="D102" s="1" t="s">
        <v>1187</v>
      </c>
      <c r="E102" s="1" t="s">
        <v>48</v>
      </c>
      <c r="F102" s="1">
        <v>17061</v>
      </c>
      <c r="G102" s="114">
        <f t="shared" si="6"/>
        <v>17061</v>
      </c>
      <c r="H102" s="37">
        <f t="shared" si="7"/>
        <v>17914.05</v>
      </c>
      <c r="I102">
        <f t="shared" si="9"/>
        <v>0</v>
      </c>
      <c r="J102" s="1">
        <v>24790</v>
      </c>
      <c r="M102" s="91">
        <f t="shared" si="8"/>
        <v>72.263210972166192</v>
      </c>
      <c r="N102" s="88">
        <f t="shared" si="5"/>
        <v>68.822105687777324</v>
      </c>
    </row>
    <row r="103" spans="1:14" x14ac:dyDescent="0.25">
      <c r="A103" s="39">
        <v>46149</v>
      </c>
      <c r="B103" s="1">
        <v>2</v>
      </c>
      <c r="C103" s="1" t="s">
        <v>67</v>
      </c>
      <c r="D103" s="1" t="s">
        <v>837</v>
      </c>
      <c r="E103" s="1" t="s">
        <v>73</v>
      </c>
      <c r="F103" s="1">
        <v>45114</v>
      </c>
      <c r="G103" s="114">
        <f t="shared" si="6"/>
        <v>44433</v>
      </c>
      <c r="H103" s="37">
        <f t="shared" si="7"/>
        <v>47369.7</v>
      </c>
      <c r="I103">
        <f t="shared" si="9"/>
        <v>-681</v>
      </c>
      <c r="J103" s="1">
        <v>59940</v>
      </c>
      <c r="K103" s="1">
        <v>681</v>
      </c>
      <c r="M103" s="91">
        <f t="shared" si="8"/>
        <v>77.892392392392381</v>
      </c>
      <c r="N103" s="88">
        <f t="shared" si="5"/>
        <v>74.12912912912914</v>
      </c>
    </row>
    <row r="104" spans="1:14" x14ac:dyDescent="0.25">
      <c r="A104" s="39">
        <v>46149</v>
      </c>
      <c r="B104" s="1">
        <v>2</v>
      </c>
      <c r="C104" s="1" t="s">
        <v>185</v>
      </c>
      <c r="D104" s="1" t="s">
        <v>1204</v>
      </c>
      <c r="E104" s="1" t="s">
        <v>48</v>
      </c>
      <c r="F104" s="1">
        <v>18303</v>
      </c>
      <c r="G104" s="114">
        <f t="shared" si="6"/>
        <v>22566</v>
      </c>
      <c r="H104" s="37">
        <f t="shared" si="7"/>
        <v>19218.150000000001</v>
      </c>
      <c r="I104">
        <f t="shared" si="9"/>
        <v>4263</v>
      </c>
      <c r="J104" s="1">
        <v>29600</v>
      </c>
      <c r="L104" s="1">
        <v>4263</v>
      </c>
      <c r="M104" s="91">
        <f t="shared" si="8"/>
        <v>79.328209459459458</v>
      </c>
      <c r="N104" s="88">
        <f t="shared" si="5"/>
        <v>76.236486486486484</v>
      </c>
    </row>
    <row r="105" spans="1:14" x14ac:dyDescent="0.25">
      <c r="A105" s="39">
        <v>46149</v>
      </c>
      <c r="B105" s="1">
        <v>2</v>
      </c>
      <c r="C105" s="1" t="s">
        <v>21</v>
      </c>
      <c r="D105" s="1" t="s">
        <v>960</v>
      </c>
      <c r="E105" s="1" t="s">
        <v>70</v>
      </c>
      <c r="F105" s="1">
        <v>17610</v>
      </c>
      <c r="G105" s="114">
        <f t="shared" si="6"/>
        <v>17610</v>
      </c>
      <c r="H105" s="37">
        <f t="shared" si="7"/>
        <v>18490.5</v>
      </c>
      <c r="I105">
        <f t="shared" si="9"/>
        <v>0</v>
      </c>
      <c r="J105" s="1">
        <v>24420</v>
      </c>
      <c r="M105" s="91">
        <f t="shared" si="8"/>
        <v>75.718673218673217</v>
      </c>
      <c r="N105" s="88">
        <f t="shared" si="5"/>
        <v>72.113022113022112</v>
      </c>
    </row>
    <row r="106" spans="1:14" x14ac:dyDescent="0.25">
      <c r="A106" s="39">
        <v>46149</v>
      </c>
      <c r="B106" s="1">
        <v>2</v>
      </c>
      <c r="C106" s="1" t="s">
        <v>22</v>
      </c>
      <c r="D106" s="1" t="s">
        <v>889</v>
      </c>
      <c r="E106" s="1" t="s">
        <v>72</v>
      </c>
      <c r="F106" s="1">
        <v>13602</v>
      </c>
      <c r="G106" s="114">
        <f t="shared" si="6"/>
        <v>14913</v>
      </c>
      <c r="H106" s="37">
        <f t="shared" si="7"/>
        <v>14282.1</v>
      </c>
      <c r="I106">
        <f t="shared" si="9"/>
        <v>1311</v>
      </c>
      <c r="J106" s="1">
        <v>19610</v>
      </c>
      <c r="L106" s="1">
        <v>1311</v>
      </c>
      <c r="M106" s="91">
        <f t="shared" si="8"/>
        <v>79.516063233044363</v>
      </c>
      <c r="N106" s="88">
        <f t="shared" si="5"/>
        <v>76.047934727180007</v>
      </c>
    </row>
    <row r="107" spans="1:14" x14ac:dyDescent="0.25">
      <c r="A107" s="39">
        <v>46150</v>
      </c>
      <c r="B107" s="1">
        <v>1</v>
      </c>
      <c r="C107" s="1" t="s">
        <v>20</v>
      </c>
      <c r="D107" s="1" t="s">
        <v>1238</v>
      </c>
      <c r="E107" s="1" t="s">
        <v>68</v>
      </c>
      <c r="F107" s="1">
        <v>72414</v>
      </c>
      <c r="G107" s="114">
        <f t="shared" si="6"/>
        <v>72414</v>
      </c>
      <c r="H107" s="37">
        <f t="shared" si="7"/>
        <v>76034.7</v>
      </c>
      <c r="I107">
        <f t="shared" si="9"/>
        <v>0</v>
      </c>
      <c r="J107" s="1">
        <v>82140</v>
      </c>
      <c r="M107" s="91">
        <f t="shared" si="8"/>
        <v>92.567202337472608</v>
      </c>
      <c r="N107" s="88">
        <f t="shared" si="5"/>
        <v>88.159240321402493</v>
      </c>
    </row>
    <row r="108" spans="1:14" x14ac:dyDescent="0.25">
      <c r="A108" s="39">
        <v>46150</v>
      </c>
      <c r="B108" s="1">
        <v>1</v>
      </c>
      <c r="C108" s="1" t="s">
        <v>185</v>
      </c>
      <c r="D108" s="1" t="s">
        <v>1239</v>
      </c>
      <c r="E108" s="1" t="s">
        <v>48</v>
      </c>
      <c r="F108" s="1">
        <v>11025</v>
      </c>
      <c r="G108" s="114">
        <f t="shared" si="6"/>
        <v>6762</v>
      </c>
      <c r="H108" s="37">
        <f t="shared" si="7"/>
        <v>11576.25</v>
      </c>
      <c r="I108">
        <f t="shared" si="9"/>
        <v>-4263</v>
      </c>
      <c r="J108" s="1">
        <v>20720</v>
      </c>
      <c r="K108" s="1">
        <v>4263</v>
      </c>
      <c r="M108" s="91">
        <f t="shared" si="8"/>
        <v>35.295608108108105</v>
      </c>
      <c r="N108" s="88">
        <f t="shared" si="5"/>
        <v>32.635135135135137</v>
      </c>
    </row>
    <row r="109" spans="1:14" x14ac:dyDescent="0.25">
      <c r="A109" s="39">
        <v>46150</v>
      </c>
      <c r="B109" s="1">
        <v>1</v>
      </c>
      <c r="C109" s="1" t="s">
        <v>22</v>
      </c>
      <c r="D109" s="1" t="s">
        <v>889</v>
      </c>
      <c r="E109" s="1" t="s">
        <v>72</v>
      </c>
      <c r="F109" s="1">
        <v>3699</v>
      </c>
      <c r="G109" s="114">
        <f t="shared" si="6"/>
        <v>3699</v>
      </c>
      <c r="H109" s="37">
        <f t="shared" si="7"/>
        <v>3883.95</v>
      </c>
      <c r="I109">
        <f t="shared" si="9"/>
        <v>0</v>
      </c>
      <c r="J109" s="1">
        <v>3700</v>
      </c>
      <c r="M109" s="91">
        <f t="shared" si="8"/>
        <v>104.97162162162161</v>
      </c>
      <c r="N109" s="88">
        <f t="shared" si="5"/>
        <v>99.972972972972968</v>
      </c>
    </row>
    <row r="110" spans="1:14" x14ac:dyDescent="0.25">
      <c r="A110" s="39">
        <v>46150</v>
      </c>
      <c r="B110" s="1">
        <v>1</v>
      </c>
      <c r="C110" s="1" t="s">
        <v>67</v>
      </c>
      <c r="D110" s="1" t="s">
        <v>837</v>
      </c>
      <c r="E110" s="1" t="s">
        <v>73</v>
      </c>
      <c r="F110" s="1">
        <v>13023</v>
      </c>
      <c r="G110" s="114">
        <f t="shared" si="6"/>
        <v>13023</v>
      </c>
      <c r="H110" s="37">
        <f t="shared" si="7"/>
        <v>13674.15</v>
      </c>
      <c r="I110">
        <f t="shared" si="9"/>
        <v>0</v>
      </c>
      <c r="J110" s="1">
        <v>16280</v>
      </c>
      <c r="M110" s="91">
        <f t="shared" si="8"/>
        <v>83.993550368550359</v>
      </c>
      <c r="N110" s="88">
        <f t="shared" si="5"/>
        <v>79.99385749385749</v>
      </c>
    </row>
    <row r="111" spans="1:14" x14ac:dyDescent="0.25">
      <c r="A111" s="39">
        <v>46150</v>
      </c>
      <c r="B111" s="1">
        <v>2</v>
      </c>
      <c r="C111" s="1" t="s">
        <v>185</v>
      </c>
      <c r="D111" s="1" t="s">
        <v>1254</v>
      </c>
      <c r="E111" s="1" t="s">
        <v>48</v>
      </c>
      <c r="F111" s="1">
        <v>78846</v>
      </c>
      <c r="G111" s="114">
        <f t="shared" si="6"/>
        <v>82332</v>
      </c>
      <c r="H111" s="37">
        <f t="shared" si="7"/>
        <v>82788.3</v>
      </c>
      <c r="I111">
        <f t="shared" si="9"/>
        <v>3486</v>
      </c>
      <c r="J111" s="1">
        <v>100640</v>
      </c>
      <c r="L111" s="1">
        <v>3486</v>
      </c>
      <c r="M111" s="91">
        <f t="shared" si="8"/>
        <v>85.725655802861695</v>
      </c>
      <c r="N111" s="88">
        <f t="shared" si="5"/>
        <v>81.808426073131955</v>
      </c>
    </row>
    <row r="112" spans="1:14" x14ac:dyDescent="0.25">
      <c r="A112" s="39">
        <v>46150</v>
      </c>
      <c r="B112" s="1">
        <v>2</v>
      </c>
      <c r="C112" s="1" t="s">
        <v>22</v>
      </c>
      <c r="D112" s="1" t="s">
        <v>889</v>
      </c>
      <c r="E112" s="1" t="s">
        <v>72</v>
      </c>
      <c r="F112" s="1">
        <v>2985</v>
      </c>
      <c r="G112" s="114">
        <f t="shared" si="6"/>
        <v>3399</v>
      </c>
      <c r="H112" s="37">
        <f t="shared" si="7"/>
        <v>3134.25</v>
      </c>
      <c r="I112">
        <f t="shared" si="9"/>
        <v>414</v>
      </c>
      <c r="J112" s="1">
        <v>8140</v>
      </c>
      <c r="L112" s="1">
        <v>414</v>
      </c>
      <c r="M112" s="91">
        <f t="shared" si="8"/>
        <v>43.590294840294838</v>
      </c>
      <c r="N112" s="88">
        <f t="shared" si="5"/>
        <v>41.756756756756758</v>
      </c>
    </row>
    <row r="113" spans="1:14" x14ac:dyDescent="0.25">
      <c r="A113" s="39">
        <v>46150</v>
      </c>
      <c r="B113" s="1">
        <v>2</v>
      </c>
      <c r="C113" s="1" t="s">
        <v>67</v>
      </c>
      <c r="D113" s="1" t="s">
        <v>837</v>
      </c>
      <c r="E113" s="1" t="s">
        <v>73</v>
      </c>
      <c r="F113" s="1">
        <v>270</v>
      </c>
      <c r="G113" s="114">
        <f t="shared" si="6"/>
        <v>522</v>
      </c>
      <c r="H113" s="37">
        <f t="shared" si="7"/>
        <v>283.5</v>
      </c>
      <c r="I113">
        <f t="shared" si="9"/>
        <v>252</v>
      </c>
      <c r="J113" s="1">
        <v>2590</v>
      </c>
      <c r="L113" s="1">
        <v>252</v>
      </c>
      <c r="M113" s="91">
        <f t="shared" si="8"/>
        <v>20.675675675675677</v>
      </c>
      <c r="N113" s="88">
        <f t="shared" si="5"/>
        <v>20.154440154440152</v>
      </c>
    </row>
    <row r="114" spans="1:14" x14ac:dyDescent="0.25">
      <c r="A114" s="39">
        <v>46151</v>
      </c>
      <c r="B114" s="1">
        <v>1</v>
      </c>
      <c r="C114" s="1" t="s">
        <v>185</v>
      </c>
      <c r="D114" s="1" t="s">
        <v>1239</v>
      </c>
      <c r="E114" s="1" t="s">
        <v>48</v>
      </c>
      <c r="F114" s="1">
        <v>20016</v>
      </c>
      <c r="G114" s="114">
        <f t="shared" si="6"/>
        <v>15954</v>
      </c>
      <c r="H114" s="37">
        <f t="shared" si="7"/>
        <v>21016.799999999999</v>
      </c>
      <c r="I114">
        <f t="shared" si="9"/>
        <v>-4062</v>
      </c>
      <c r="J114" s="1">
        <v>25160</v>
      </c>
      <c r="K114" s="1">
        <v>4062</v>
      </c>
      <c r="M114" s="91">
        <f t="shared" si="8"/>
        <v>67.387917329093796</v>
      </c>
      <c r="N114" s="88">
        <f t="shared" si="5"/>
        <v>63.410174880763115</v>
      </c>
    </row>
    <row r="115" spans="1:14" x14ac:dyDescent="0.25">
      <c r="A115" s="39">
        <v>46151</v>
      </c>
      <c r="B115" s="1">
        <v>1</v>
      </c>
      <c r="C115" s="1" t="s">
        <v>21</v>
      </c>
      <c r="D115" s="129" t="s">
        <v>1305</v>
      </c>
      <c r="E115" s="1" t="s">
        <v>70</v>
      </c>
      <c r="F115" s="1">
        <v>36831</v>
      </c>
      <c r="G115" s="114">
        <f t="shared" si="6"/>
        <v>36831</v>
      </c>
      <c r="H115" s="37">
        <f t="shared" si="7"/>
        <v>38672.550000000003</v>
      </c>
      <c r="I115">
        <f t="shared" si="9"/>
        <v>0</v>
      </c>
      <c r="J115" s="1">
        <v>45880</v>
      </c>
      <c r="M115" s="91">
        <f t="shared" si="8"/>
        <v>84.29064952048823</v>
      </c>
      <c r="N115" s="88">
        <f t="shared" si="5"/>
        <v>80.276809067131651</v>
      </c>
    </row>
    <row r="116" spans="1:14" x14ac:dyDescent="0.25">
      <c r="A116" s="39">
        <v>46151</v>
      </c>
      <c r="B116" s="1">
        <v>1</v>
      </c>
      <c r="C116" s="1" t="s">
        <v>22</v>
      </c>
      <c r="D116" s="1" t="s">
        <v>1306</v>
      </c>
      <c r="E116" s="1" t="s">
        <v>72</v>
      </c>
      <c r="F116" s="1">
        <v>15735</v>
      </c>
      <c r="G116" s="114">
        <f t="shared" si="6"/>
        <v>15321</v>
      </c>
      <c r="H116" s="37">
        <f t="shared" si="7"/>
        <v>16521.75</v>
      </c>
      <c r="I116">
        <f t="shared" si="9"/>
        <v>-414</v>
      </c>
      <c r="J116" s="1">
        <v>24050</v>
      </c>
      <c r="K116" s="1">
        <v>414</v>
      </c>
      <c r="M116" s="91">
        <f t="shared" si="8"/>
        <v>66.976091476091483</v>
      </c>
      <c r="N116" s="88">
        <f t="shared" si="5"/>
        <v>63.704781704781709</v>
      </c>
    </row>
    <row r="117" spans="1:14" x14ac:dyDescent="0.25">
      <c r="A117" s="39">
        <v>46151</v>
      </c>
      <c r="B117" s="1">
        <v>1</v>
      </c>
      <c r="C117" s="1" t="s">
        <v>20</v>
      </c>
      <c r="D117" s="1" t="s">
        <v>1238</v>
      </c>
      <c r="E117" s="1" t="s">
        <v>68</v>
      </c>
      <c r="F117" s="1">
        <v>10188</v>
      </c>
      <c r="G117" s="114">
        <f t="shared" si="6"/>
        <v>10188</v>
      </c>
      <c r="H117" s="37">
        <f t="shared" si="7"/>
        <v>10697.4</v>
      </c>
      <c r="I117">
        <f t="shared" si="9"/>
        <v>0</v>
      </c>
      <c r="J117" s="1">
        <v>16650</v>
      </c>
      <c r="M117" s="91">
        <f t="shared" si="8"/>
        <v>64.24864864864864</v>
      </c>
      <c r="N117" s="88">
        <f t="shared" si="5"/>
        <v>61.189189189189186</v>
      </c>
    </row>
    <row r="118" spans="1:14" x14ac:dyDescent="0.25">
      <c r="A118" s="39">
        <v>46151</v>
      </c>
      <c r="B118" s="1">
        <v>1</v>
      </c>
      <c r="C118" s="1" t="s">
        <v>67</v>
      </c>
      <c r="D118" s="1" t="s">
        <v>1307</v>
      </c>
      <c r="E118" s="1" t="s">
        <v>73</v>
      </c>
      <c r="F118" s="1">
        <v>11229</v>
      </c>
      <c r="G118" s="114">
        <f t="shared" si="6"/>
        <v>10977</v>
      </c>
      <c r="H118" s="37">
        <f t="shared" si="7"/>
        <v>11790.45</v>
      </c>
      <c r="I118">
        <f t="shared" si="9"/>
        <v>-252</v>
      </c>
      <c r="J118" s="1">
        <v>18870</v>
      </c>
      <c r="K118" s="1">
        <v>252</v>
      </c>
      <c r="M118" s="91">
        <f t="shared" si="8"/>
        <v>61.14705882352942</v>
      </c>
      <c r="N118" s="88">
        <f t="shared" si="5"/>
        <v>58.171701112877585</v>
      </c>
    </row>
    <row r="119" spans="1:14" x14ac:dyDescent="0.25">
      <c r="A119" s="39">
        <v>46151</v>
      </c>
      <c r="B119" s="1">
        <v>2</v>
      </c>
      <c r="C119" s="1" t="s">
        <v>67</v>
      </c>
      <c r="D119" s="1" t="s">
        <v>1309</v>
      </c>
      <c r="E119" s="1" t="s">
        <v>74</v>
      </c>
      <c r="F119" s="1">
        <v>20952</v>
      </c>
      <c r="G119" s="114">
        <f t="shared" si="6"/>
        <v>20952</v>
      </c>
      <c r="H119" s="37">
        <f t="shared" si="7"/>
        <v>21999.599999999999</v>
      </c>
      <c r="I119">
        <f t="shared" si="9"/>
        <v>0</v>
      </c>
      <c r="J119" s="1">
        <v>27380</v>
      </c>
      <c r="M119" s="91">
        <f t="shared" si="8"/>
        <v>80.349159970781585</v>
      </c>
      <c r="N119" s="88">
        <f t="shared" si="5"/>
        <v>76.523009495982464</v>
      </c>
    </row>
    <row r="120" spans="1:14" x14ac:dyDescent="0.25">
      <c r="A120" s="39">
        <v>46151</v>
      </c>
      <c r="B120" s="1">
        <v>2</v>
      </c>
      <c r="C120" s="1" t="s">
        <v>67</v>
      </c>
      <c r="D120" s="1" t="s">
        <v>837</v>
      </c>
      <c r="E120" s="1" t="s">
        <v>73</v>
      </c>
      <c r="F120" s="1">
        <v>40590</v>
      </c>
      <c r="G120" s="114">
        <f t="shared" si="6"/>
        <v>40590</v>
      </c>
      <c r="H120" s="37">
        <f t="shared" si="7"/>
        <v>42619.5</v>
      </c>
      <c r="I120">
        <f t="shared" si="9"/>
        <v>0</v>
      </c>
      <c r="J120" s="1">
        <v>52910</v>
      </c>
      <c r="M120" s="91">
        <f t="shared" si="8"/>
        <v>80.550935550935549</v>
      </c>
      <c r="N120" s="88">
        <f t="shared" si="5"/>
        <v>76.71517671517671</v>
      </c>
    </row>
    <row r="121" spans="1:14" x14ac:dyDescent="0.25">
      <c r="A121" s="39">
        <v>46151</v>
      </c>
      <c r="B121" s="1">
        <v>2</v>
      </c>
      <c r="C121" s="1" t="s">
        <v>185</v>
      </c>
      <c r="D121" s="1" t="s">
        <v>1333</v>
      </c>
      <c r="E121" s="1" t="s">
        <v>48</v>
      </c>
      <c r="F121" s="1">
        <v>13668</v>
      </c>
      <c r="G121" s="114">
        <f t="shared" si="6"/>
        <v>14253</v>
      </c>
      <c r="H121" s="37">
        <f t="shared" si="7"/>
        <v>14351.4</v>
      </c>
      <c r="I121">
        <f t="shared" si="9"/>
        <v>585</v>
      </c>
      <c r="J121" s="1">
        <v>21090</v>
      </c>
      <c r="L121" s="1">
        <v>585</v>
      </c>
      <c r="M121" s="91">
        <f t="shared" si="8"/>
        <v>70.822190611664297</v>
      </c>
      <c r="N121" s="88">
        <f t="shared" si="5"/>
        <v>67.581792318634427</v>
      </c>
    </row>
    <row r="122" spans="1:14" x14ac:dyDescent="0.25">
      <c r="A122" s="39">
        <v>46151</v>
      </c>
      <c r="B122" s="1">
        <v>2</v>
      </c>
      <c r="C122" s="1" t="s">
        <v>21</v>
      </c>
      <c r="D122" s="1" t="s">
        <v>960</v>
      </c>
      <c r="E122" s="1" t="s">
        <v>70</v>
      </c>
      <c r="F122" s="1">
        <v>11970</v>
      </c>
      <c r="G122" s="114">
        <f t="shared" si="6"/>
        <v>12330</v>
      </c>
      <c r="H122" s="37">
        <f t="shared" si="7"/>
        <v>12568.5</v>
      </c>
      <c r="I122">
        <f t="shared" si="9"/>
        <v>360</v>
      </c>
      <c r="J122" s="1">
        <v>25160</v>
      </c>
      <c r="L122" s="1">
        <v>360</v>
      </c>
      <c r="M122" s="91">
        <f t="shared" si="8"/>
        <v>51.385135135135144</v>
      </c>
      <c r="N122" s="88">
        <f t="shared" si="5"/>
        <v>49.006359300476952</v>
      </c>
    </row>
    <row r="123" spans="1:14" x14ac:dyDescent="0.25">
      <c r="F123" s="1"/>
      <c r="G123" s="114">
        <f t="shared" si="6"/>
        <v>0</v>
      </c>
      <c r="H123" s="37">
        <f t="shared" si="7"/>
        <v>0</v>
      </c>
      <c r="I123">
        <f t="shared" si="9"/>
        <v>0</v>
      </c>
      <c r="M123" s="91" t="e">
        <f t="shared" si="8"/>
        <v>#DIV/0!</v>
      </c>
      <c r="N123" s="88" t="e">
        <f t="shared" si="5"/>
        <v>#DIV/0!</v>
      </c>
    </row>
    <row r="124" spans="1:14" x14ac:dyDescent="0.25">
      <c r="F124" s="1"/>
      <c r="G124" s="114">
        <f t="shared" si="6"/>
        <v>0</v>
      </c>
      <c r="H124" s="37">
        <f t="shared" si="7"/>
        <v>0</v>
      </c>
      <c r="I124">
        <f t="shared" si="9"/>
        <v>0</v>
      </c>
      <c r="M124" s="91" t="e">
        <f t="shared" si="8"/>
        <v>#DIV/0!</v>
      </c>
      <c r="N124" s="88" t="e">
        <f t="shared" si="5"/>
        <v>#DIV/0!</v>
      </c>
    </row>
    <row r="125" spans="1:14" x14ac:dyDescent="0.25">
      <c r="F125" s="1"/>
      <c r="G125" s="114">
        <f t="shared" si="6"/>
        <v>0</v>
      </c>
      <c r="H125" s="37">
        <f t="shared" si="7"/>
        <v>0</v>
      </c>
      <c r="I125">
        <f t="shared" si="9"/>
        <v>0</v>
      </c>
      <c r="M125" s="91" t="e">
        <f t="shared" si="8"/>
        <v>#DIV/0!</v>
      </c>
      <c r="N125" s="88" t="e">
        <f t="shared" si="5"/>
        <v>#DIV/0!</v>
      </c>
    </row>
    <row r="126" spans="1:14" x14ac:dyDescent="0.25">
      <c r="F126" s="1"/>
      <c r="G126" s="114">
        <f t="shared" si="6"/>
        <v>0</v>
      </c>
      <c r="H126" s="37">
        <f t="shared" si="7"/>
        <v>0</v>
      </c>
      <c r="I126">
        <f t="shared" si="9"/>
        <v>0</v>
      </c>
      <c r="M126" s="91" t="e">
        <f t="shared" si="8"/>
        <v>#DIV/0!</v>
      </c>
      <c r="N126" s="88" t="e">
        <f t="shared" si="5"/>
        <v>#DIV/0!</v>
      </c>
    </row>
    <row r="127" spans="1:14" x14ac:dyDescent="0.25">
      <c r="F127" s="1"/>
      <c r="G127" s="114">
        <f t="shared" si="6"/>
        <v>0</v>
      </c>
      <c r="H127" s="37">
        <f t="shared" si="7"/>
        <v>0</v>
      </c>
      <c r="I127">
        <f t="shared" si="9"/>
        <v>0</v>
      </c>
      <c r="M127" s="91" t="e">
        <f t="shared" si="8"/>
        <v>#DIV/0!</v>
      </c>
      <c r="N127" s="88" t="e">
        <f t="shared" si="5"/>
        <v>#DIV/0!</v>
      </c>
    </row>
    <row r="128" spans="1:14" x14ac:dyDescent="0.25">
      <c r="F128" s="1"/>
      <c r="G128" s="114">
        <f t="shared" si="6"/>
        <v>0</v>
      </c>
      <c r="H128" s="37">
        <f t="shared" si="7"/>
        <v>0</v>
      </c>
      <c r="I128">
        <f t="shared" si="9"/>
        <v>0</v>
      </c>
      <c r="M128" s="91" t="e">
        <f t="shared" si="8"/>
        <v>#DIV/0!</v>
      </c>
      <c r="N128" s="88" t="e">
        <f t="shared" si="5"/>
        <v>#DIV/0!</v>
      </c>
    </row>
    <row r="129" spans="6:14" x14ac:dyDescent="0.25">
      <c r="F129" s="1"/>
      <c r="G129" s="114">
        <f t="shared" si="6"/>
        <v>0</v>
      </c>
      <c r="H129" s="37">
        <f t="shared" si="7"/>
        <v>0</v>
      </c>
      <c r="I129">
        <f t="shared" si="9"/>
        <v>0</v>
      </c>
      <c r="M129" s="91" t="e">
        <f t="shared" si="8"/>
        <v>#DIV/0!</v>
      </c>
      <c r="N129" s="88" t="e">
        <f t="shared" ref="N129:N192" si="10">+((F129+I129)/J129)*100</f>
        <v>#DIV/0!</v>
      </c>
    </row>
    <row r="130" spans="6:14" x14ac:dyDescent="0.25">
      <c r="F130" s="1"/>
      <c r="G130" s="114">
        <f t="shared" ref="G130:G193" si="11">+F130+I130</f>
        <v>0</v>
      </c>
      <c r="H130" s="37">
        <f t="shared" ref="H130:H193" si="12">+(F130*0.05)+F130</f>
        <v>0</v>
      </c>
      <c r="I130">
        <f t="shared" si="9"/>
        <v>0</v>
      </c>
      <c r="M130" s="91" t="e">
        <f t="shared" si="8"/>
        <v>#DIV/0!</v>
      </c>
      <c r="N130" s="88" t="e">
        <f t="shared" si="10"/>
        <v>#DIV/0!</v>
      </c>
    </row>
    <row r="131" spans="6:14" x14ac:dyDescent="0.25">
      <c r="F131" s="1"/>
      <c r="G131" s="114">
        <f t="shared" si="11"/>
        <v>0</v>
      </c>
      <c r="H131" s="37">
        <f t="shared" si="12"/>
        <v>0</v>
      </c>
      <c r="I131">
        <f t="shared" si="9"/>
        <v>0</v>
      </c>
      <c r="M131" s="91" t="e">
        <f t="shared" ref="M131:M194" si="13">+((H131+I131)/J131)*100</f>
        <v>#DIV/0!</v>
      </c>
      <c r="N131" s="88" t="e">
        <f t="shared" si="10"/>
        <v>#DIV/0!</v>
      </c>
    </row>
    <row r="132" spans="6:14" x14ac:dyDescent="0.25">
      <c r="F132" s="1"/>
      <c r="G132" s="114">
        <f t="shared" si="11"/>
        <v>0</v>
      </c>
      <c r="H132" s="37">
        <f t="shared" si="12"/>
        <v>0</v>
      </c>
      <c r="I132">
        <f t="shared" si="9"/>
        <v>0</v>
      </c>
      <c r="M132" s="91" t="e">
        <f t="shared" si="13"/>
        <v>#DIV/0!</v>
      </c>
      <c r="N132" s="88" t="e">
        <f t="shared" si="10"/>
        <v>#DIV/0!</v>
      </c>
    </row>
    <row r="133" spans="6:14" x14ac:dyDescent="0.25">
      <c r="F133" s="1"/>
      <c r="G133" s="114">
        <f t="shared" si="11"/>
        <v>0</v>
      </c>
      <c r="H133" s="37">
        <f t="shared" si="12"/>
        <v>0</v>
      </c>
      <c r="I133">
        <f t="shared" si="9"/>
        <v>0</v>
      </c>
      <c r="M133" s="91" t="e">
        <f t="shared" si="13"/>
        <v>#DIV/0!</v>
      </c>
      <c r="N133" s="88" t="e">
        <f t="shared" si="10"/>
        <v>#DIV/0!</v>
      </c>
    </row>
    <row r="134" spans="6:14" x14ac:dyDescent="0.25">
      <c r="F134" s="1"/>
      <c r="G134" s="114">
        <f t="shared" si="11"/>
        <v>0</v>
      </c>
      <c r="H134" s="37">
        <f t="shared" si="12"/>
        <v>0</v>
      </c>
      <c r="I134">
        <f t="shared" si="9"/>
        <v>0</v>
      </c>
      <c r="M134" s="91" t="e">
        <f t="shared" si="13"/>
        <v>#DIV/0!</v>
      </c>
      <c r="N134" s="88" t="e">
        <f t="shared" si="10"/>
        <v>#DIV/0!</v>
      </c>
    </row>
    <row r="135" spans="6:14" x14ac:dyDescent="0.25">
      <c r="F135" s="1"/>
      <c r="G135" s="114">
        <f t="shared" si="11"/>
        <v>0</v>
      </c>
      <c r="H135" s="37">
        <f t="shared" si="12"/>
        <v>0</v>
      </c>
      <c r="I135">
        <f t="shared" si="9"/>
        <v>0</v>
      </c>
      <c r="M135" s="91" t="e">
        <f t="shared" si="13"/>
        <v>#DIV/0!</v>
      </c>
      <c r="N135" s="88" t="e">
        <f t="shared" si="10"/>
        <v>#DIV/0!</v>
      </c>
    </row>
    <row r="136" spans="6:14" x14ac:dyDescent="0.25">
      <c r="F136" s="1"/>
      <c r="G136" s="114">
        <f t="shared" si="11"/>
        <v>0</v>
      </c>
      <c r="H136" s="37">
        <f t="shared" si="12"/>
        <v>0</v>
      </c>
      <c r="I136">
        <f t="shared" si="9"/>
        <v>0</v>
      </c>
      <c r="M136" s="91" t="e">
        <f t="shared" si="13"/>
        <v>#DIV/0!</v>
      </c>
      <c r="N136" s="88" t="e">
        <f t="shared" si="10"/>
        <v>#DIV/0!</v>
      </c>
    </row>
    <row r="137" spans="6:14" x14ac:dyDescent="0.25">
      <c r="F137" s="1"/>
      <c r="G137" s="114">
        <f t="shared" si="11"/>
        <v>0</v>
      </c>
      <c r="H137" s="37">
        <f t="shared" si="12"/>
        <v>0</v>
      </c>
      <c r="I137">
        <f t="shared" si="9"/>
        <v>0</v>
      </c>
      <c r="M137" s="91" t="e">
        <f t="shared" si="13"/>
        <v>#DIV/0!</v>
      </c>
      <c r="N137" s="88" t="e">
        <f t="shared" si="10"/>
        <v>#DIV/0!</v>
      </c>
    </row>
    <row r="138" spans="6:14" x14ac:dyDescent="0.25">
      <c r="F138" s="1"/>
      <c r="G138" s="114">
        <f t="shared" si="11"/>
        <v>0</v>
      </c>
      <c r="H138" s="37">
        <f t="shared" si="12"/>
        <v>0</v>
      </c>
      <c r="I138">
        <f t="shared" si="9"/>
        <v>0</v>
      </c>
      <c r="M138" s="91" t="e">
        <f t="shared" si="13"/>
        <v>#DIV/0!</v>
      </c>
      <c r="N138" s="88" t="e">
        <f t="shared" si="10"/>
        <v>#DIV/0!</v>
      </c>
    </row>
    <row r="139" spans="6:14" x14ac:dyDescent="0.25">
      <c r="F139" s="1"/>
      <c r="G139" s="114">
        <f t="shared" si="11"/>
        <v>0</v>
      </c>
      <c r="H139" s="37">
        <f t="shared" si="12"/>
        <v>0</v>
      </c>
      <c r="I139">
        <f t="shared" si="9"/>
        <v>0</v>
      </c>
      <c r="M139" s="91" t="e">
        <f t="shared" si="13"/>
        <v>#DIV/0!</v>
      </c>
      <c r="N139" s="88" t="e">
        <f t="shared" si="10"/>
        <v>#DIV/0!</v>
      </c>
    </row>
    <row r="140" spans="6:14" x14ac:dyDescent="0.25">
      <c r="F140" s="1"/>
      <c r="G140" s="114">
        <f t="shared" si="11"/>
        <v>0</v>
      </c>
      <c r="H140" s="37">
        <f t="shared" si="12"/>
        <v>0</v>
      </c>
      <c r="I140">
        <f t="shared" si="9"/>
        <v>0</v>
      </c>
      <c r="M140" s="91" t="e">
        <f t="shared" si="13"/>
        <v>#DIV/0!</v>
      </c>
      <c r="N140" s="88" t="e">
        <f t="shared" si="10"/>
        <v>#DIV/0!</v>
      </c>
    </row>
    <row r="141" spans="6:14" x14ac:dyDescent="0.25">
      <c r="F141" s="1"/>
      <c r="G141" s="114">
        <f t="shared" si="11"/>
        <v>0</v>
      </c>
      <c r="H141" s="37">
        <f t="shared" si="12"/>
        <v>0</v>
      </c>
      <c r="I141">
        <f t="shared" si="9"/>
        <v>0</v>
      </c>
      <c r="M141" s="91" t="e">
        <f t="shared" si="13"/>
        <v>#DIV/0!</v>
      </c>
      <c r="N141" s="88" t="e">
        <f t="shared" si="10"/>
        <v>#DIV/0!</v>
      </c>
    </row>
    <row r="142" spans="6:14" x14ac:dyDescent="0.25">
      <c r="F142" s="1"/>
      <c r="G142" s="114">
        <f t="shared" si="11"/>
        <v>0</v>
      </c>
      <c r="H142" s="37">
        <f t="shared" si="12"/>
        <v>0</v>
      </c>
      <c r="I142">
        <f t="shared" ref="I142:I205" si="14">+L142-K142</f>
        <v>0</v>
      </c>
      <c r="M142" s="91" t="e">
        <f t="shared" si="13"/>
        <v>#DIV/0!</v>
      </c>
      <c r="N142" s="88" t="e">
        <f t="shared" si="10"/>
        <v>#DIV/0!</v>
      </c>
    </row>
    <row r="143" spans="6:14" x14ac:dyDescent="0.25">
      <c r="F143" s="1"/>
      <c r="G143" s="114">
        <f t="shared" si="11"/>
        <v>0</v>
      </c>
      <c r="H143" s="37">
        <f t="shared" si="12"/>
        <v>0</v>
      </c>
      <c r="I143">
        <f t="shared" si="14"/>
        <v>0</v>
      </c>
      <c r="M143" s="91" t="e">
        <f t="shared" si="13"/>
        <v>#DIV/0!</v>
      </c>
      <c r="N143" s="88" t="e">
        <f t="shared" si="10"/>
        <v>#DIV/0!</v>
      </c>
    </row>
    <row r="144" spans="6:14" x14ac:dyDescent="0.25">
      <c r="F144" s="1"/>
      <c r="G144" s="114">
        <f t="shared" si="11"/>
        <v>0</v>
      </c>
      <c r="H144" s="37">
        <f t="shared" si="12"/>
        <v>0</v>
      </c>
      <c r="I144">
        <f t="shared" si="14"/>
        <v>0</v>
      </c>
      <c r="M144" s="91" t="e">
        <f t="shared" si="13"/>
        <v>#DIV/0!</v>
      </c>
      <c r="N144" s="88" t="e">
        <f t="shared" si="10"/>
        <v>#DIV/0!</v>
      </c>
    </row>
    <row r="145" spans="6:14" x14ac:dyDescent="0.25">
      <c r="F145" s="1"/>
      <c r="G145" s="114">
        <f t="shared" si="11"/>
        <v>0</v>
      </c>
      <c r="H145" s="37">
        <f t="shared" si="12"/>
        <v>0</v>
      </c>
      <c r="I145">
        <f t="shared" si="14"/>
        <v>0</v>
      </c>
      <c r="M145" s="91" t="e">
        <f t="shared" si="13"/>
        <v>#DIV/0!</v>
      </c>
      <c r="N145" s="88" t="e">
        <f t="shared" si="10"/>
        <v>#DIV/0!</v>
      </c>
    </row>
    <row r="146" spans="6:14" x14ac:dyDescent="0.25">
      <c r="F146" s="1"/>
      <c r="G146" s="114">
        <f t="shared" si="11"/>
        <v>0</v>
      </c>
      <c r="H146" s="37">
        <f t="shared" si="12"/>
        <v>0</v>
      </c>
      <c r="I146">
        <f t="shared" si="14"/>
        <v>0</v>
      </c>
      <c r="M146" s="91" t="e">
        <f t="shared" si="13"/>
        <v>#DIV/0!</v>
      </c>
      <c r="N146" s="88" t="e">
        <f t="shared" si="10"/>
        <v>#DIV/0!</v>
      </c>
    </row>
    <row r="147" spans="6:14" x14ac:dyDescent="0.25">
      <c r="F147" s="1"/>
      <c r="G147" s="114">
        <f t="shared" si="11"/>
        <v>0</v>
      </c>
      <c r="H147" s="37">
        <f t="shared" si="12"/>
        <v>0</v>
      </c>
      <c r="I147">
        <f t="shared" si="14"/>
        <v>0</v>
      </c>
      <c r="M147" s="91" t="e">
        <f t="shared" si="13"/>
        <v>#DIV/0!</v>
      </c>
      <c r="N147" s="88" t="e">
        <f t="shared" si="10"/>
        <v>#DIV/0!</v>
      </c>
    </row>
    <row r="148" spans="6:14" x14ac:dyDescent="0.25">
      <c r="F148" s="1"/>
      <c r="G148" s="114">
        <f t="shared" si="11"/>
        <v>0</v>
      </c>
      <c r="H148" s="37">
        <f t="shared" si="12"/>
        <v>0</v>
      </c>
      <c r="I148">
        <f t="shared" si="14"/>
        <v>0</v>
      </c>
      <c r="M148" s="91" t="e">
        <f t="shared" si="13"/>
        <v>#DIV/0!</v>
      </c>
      <c r="N148" s="88" t="e">
        <f t="shared" si="10"/>
        <v>#DIV/0!</v>
      </c>
    </row>
    <row r="149" spans="6:14" x14ac:dyDescent="0.25">
      <c r="F149" s="1"/>
      <c r="G149" s="114">
        <f t="shared" si="11"/>
        <v>0</v>
      </c>
      <c r="H149" s="37">
        <f t="shared" si="12"/>
        <v>0</v>
      </c>
      <c r="I149">
        <f t="shared" si="14"/>
        <v>0</v>
      </c>
      <c r="M149" s="91" t="e">
        <f t="shared" si="13"/>
        <v>#DIV/0!</v>
      </c>
      <c r="N149" s="88" t="e">
        <f t="shared" si="10"/>
        <v>#DIV/0!</v>
      </c>
    </row>
    <row r="150" spans="6:14" x14ac:dyDescent="0.25">
      <c r="F150" s="1"/>
      <c r="G150" s="114">
        <f t="shared" si="11"/>
        <v>0</v>
      </c>
      <c r="H150" s="37">
        <f t="shared" si="12"/>
        <v>0</v>
      </c>
      <c r="I150">
        <f t="shared" si="14"/>
        <v>0</v>
      </c>
      <c r="M150" s="91" t="e">
        <f t="shared" si="13"/>
        <v>#DIV/0!</v>
      </c>
      <c r="N150" s="88" t="e">
        <f t="shared" si="10"/>
        <v>#DIV/0!</v>
      </c>
    </row>
    <row r="151" spans="6:14" x14ac:dyDescent="0.25">
      <c r="F151" s="1"/>
      <c r="G151" s="114">
        <f t="shared" si="11"/>
        <v>0</v>
      </c>
      <c r="H151" s="37">
        <f t="shared" si="12"/>
        <v>0</v>
      </c>
      <c r="I151">
        <f t="shared" si="14"/>
        <v>0</v>
      </c>
      <c r="M151" s="91" t="e">
        <f t="shared" si="13"/>
        <v>#DIV/0!</v>
      </c>
      <c r="N151" s="88" t="e">
        <f t="shared" si="10"/>
        <v>#DIV/0!</v>
      </c>
    </row>
    <row r="152" spans="6:14" x14ac:dyDescent="0.25">
      <c r="F152" s="1"/>
      <c r="G152" s="114">
        <f t="shared" si="11"/>
        <v>0</v>
      </c>
      <c r="H152" s="37">
        <f t="shared" si="12"/>
        <v>0</v>
      </c>
      <c r="I152">
        <f t="shared" si="14"/>
        <v>0</v>
      </c>
      <c r="M152" s="91" t="e">
        <f t="shared" si="13"/>
        <v>#DIV/0!</v>
      </c>
      <c r="N152" s="88" t="e">
        <f t="shared" si="10"/>
        <v>#DIV/0!</v>
      </c>
    </row>
    <row r="153" spans="6:14" x14ac:dyDescent="0.25">
      <c r="F153" s="1"/>
      <c r="G153" s="114">
        <f t="shared" si="11"/>
        <v>0</v>
      </c>
      <c r="H153" s="37">
        <f t="shared" si="12"/>
        <v>0</v>
      </c>
      <c r="I153">
        <f t="shared" si="14"/>
        <v>0</v>
      </c>
      <c r="M153" s="91" t="e">
        <f t="shared" si="13"/>
        <v>#DIV/0!</v>
      </c>
      <c r="N153" s="88" t="e">
        <f t="shared" si="10"/>
        <v>#DIV/0!</v>
      </c>
    </row>
    <row r="154" spans="6:14" x14ac:dyDescent="0.25">
      <c r="F154" s="1"/>
      <c r="G154" s="114">
        <f t="shared" si="11"/>
        <v>0</v>
      </c>
      <c r="H154" s="37">
        <f t="shared" si="12"/>
        <v>0</v>
      </c>
      <c r="I154">
        <f t="shared" si="14"/>
        <v>0</v>
      </c>
      <c r="M154" s="91" t="e">
        <f t="shared" si="13"/>
        <v>#DIV/0!</v>
      </c>
      <c r="N154" s="88" t="e">
        <f t="shared" si="10"/>
        <v>#DIV/0!</v>
      </c>
    </row>
    <row r="155" spans="6:14" x14ac:dyDescent="0.25">
      <c r="F155" s="1"/>
      <c r="G155" s="114">
        <f t="shared" si="11"/>
        <v>0</v>
      </c>
      <c r="H155" s="37">
        <f t="shared" si="12"/>
        <v>0</v>
      </c>
      <c r="I155">
        <f t="shared" si="14"/>
        <v>0</v>
      </c>
      <c r="M155" s="91" t="e">
        <f t="shared" si="13"/>
        <v>#DIV/0!</v>
      </c>
      <c r="N155" s="88" t="e">
        <f t="shared" si="10"/>
        <v>#DIV/0!</v>
      </c>
    </row>
    <row r="156" spans="6:14" x14ac:dyDescent="0.25">
      <c r="F156" s="1"/>
      <c r="G156" s="114">
        <f t="shared" si="11"/>
        <v>0</v>
      </c>
      <c r="H156" s="37">
        <f t="shared" si="12"/>
        <v>0</v>
      </c>
      <c r="I156">
        <f t="shared" si="14"/>
        <v>0</v>
      </c>
      <c r="M156" s="91" t="e">
        <f t="shared" si="13"/>
        <v>#DIV/0!</v>
      </c>
      <c r="N156" s="88" t="e">
        <f t="shared" si="10"/>
        <v>#DIV/0!</v>
      </c>
    </row>
    <row r="157" spans="6:14" x14ac:dyDescent="0.25">
      <c r="F157" s="1"/>
      <c r="G157" s="114">
        <f t="shared" si="11"/>
        <v>0</v>
      </c>
      <c r="H157" s="37">
        <f t="shared" si="12"/>
        <v>0</v>
      </c>
      <c r="I157">
        <f t="shared" si="14"/>
        <v>0</v>
      </c>
      <c r="M157" s="91" t="e">
        <f t="shared" si="13"/>
        <v>#DIV/0!</v>
      </c>
      <c r="N157" s="88" t="e">
        <f t="shared" si="10"/>
        <v>#DIV/0!</v>
      </c>
    </row>
    <row r="158" spans="6:14" x14ac:dyDescent="0.25">
      <c r="F158" s="1"/>
      <c r="G158" s="114">
        <f t="shared" si="11"/>
        <v>0</v>
      </c>
      <c r="H158" s="37">
        <f t="shared" si="12"/>
        <v>0</v>
      </c>
      <c r="I158">
        <f t="shared" si="14"/>
        <v>0</v>
      </c>
      <c r="M158" s="91" t="e">
        <f t="shared" si="13"/>
        <v>#DIV/0!</v>
      </c>
      <c r="N158" s="88" t="e">
        <f t="shared" si="10"/>
        <v>#DIV/0!</v>
      </c>
    </row>
    <row r="159" spans="6:14" x14ac:dyDescent="0.25">
      <c r="F159" s="1"/>
      <c r="G159" s="114">
        <f t="shared" si="11"/>
        <v>0</v>
      </c>
      <c r="H159" s="37">
        <f t="shared" si="12"/>
        <v>0</v>
      </c>
      <c r="I159">
        <f t="shared" si="14"/>
        <v>0</v>
      </c>
      <c r="M159" s="91" t="e">
        <f t="shared" si="13"/>
        <v>#DIV/0!</v>
      </c>
      <c r="N159" s="88" t="e">
        <f t="shared" si="10"/>
        <v>#DIV/0!</v>
      </c>
    </row>
    <row r="160" spans="6:14" x14ac:dyDescent="0.25">
      <c r="F160" s="1"/>
      <c r="G160" s="114">
        <f t="shared" si="11"/>
        <v>0</v>
      </c>
      <c r="H160" s="37">
        <f t="shared" si="12"/>
        <v>0</v>
      </c>
      <c r="I160">
        <f t="shared" si="14"/>
        <v>0</v>
      </c>
      <c r="M160" s="91" t="e">
        <f t="shared" si="13"/>
        <v>#DIV/0!</v>
      </c>
      <c r="N160" s="88" t="e">
        <f t="shared" si="10"/>
        <v>#DIV/0!</v>
      </c>
    </row>
    <row r="161" spans="6:14" x14ac:dyDescent="0.25">
      <c r="F161" s="1"/>
      <c r="G161" s="114">
        <f t="shared" si="11"/>
        <v>0</v>
      </c>
      <c r="H161" s="37">
        <f t="shared" si="12"/>
        <v>0</v>
      </c>
      <c r="I161">
        <f t="shared" si="14"/>
        <v>0</v>
      </c>
      <c r="M161" s="91" t="e">
        <f t="shared" si="13"/>
        <v>#DIV/0!</v>
      </c>
      <c r="N161" s="88" t="e">
        <f t="shared" si="10"/>
        <v>#DIV/0!</v>
      </c>
    </row>
    <row r="162" spans="6:14" x14ac:dyDescent="0.25">
      <c r="F162" s="1"/>
      <c r="G162" s="114">
        <f t="shared" si="11"/>
        <v>0</v>
      </c>
      <c r="H162" s="37">
        <f t="shared" si="12"/>
        <v>0</v>
      </c>
      <c r="I162">
        <f t="shared" si="14"/>
        <v>0</v>
      </c>
      <c r="M162" s="91" t="e">
        <f t="shared" si="13"/>
        <v>#DIV/0!</v>
      </c>
      <c r="N162" s="88" t="e">
        <f t="shared" si="10"/>
        <v>#DIV/0!</v>
      </c>
    </row>
    <row r="163" spans="6:14" x14ac:dyDescent="0.25">
      <c r="F163" s="1"/>
      <c r="G163" s="114">
        <f t="shared" si="11"/>
        <v>0</v>
      </c>
      <c r="H163" s="37">
        <f t="shared" si="12"/>
        <v>0</v>
      </c>
      <c r="I163">
        <f t="shared" si="14"/>
        <v>0</v>
      </c>
      <c r="M163" s="91" t="e">
        <f t="shared" si="13"/>
        <v>#DIV/0!</v>
      </c>
      <c r="N163" s="88" t="e">
        <f t="shared" si="10"/>
        <v>#DIV/0!</v>
      </c>
    </row>
    <row r="164" spans="6:14" x14ac:dyDescent="0.25">
      <c r="F164" s="1"/>
      <c r="G164" s="114">
        <f t="shared" si="11"/>
        <v>0</v>
      </c>
      <c r="H164" s="37">
        <f t="shared" si="12"/>
        <v>0</v>
      </c>
      <c r="I164">
        <f t="shared" si="14"/>
        <v>0</v>
      </c>
      <c r="M164" s="91" t="e">
        <f t="shared" si="13"/>
        <v>#DIV/0!</v>
      </c>
      <c r="N164" s="88" t="e">
        <f t="shared" si="10"/>
        <v>#DIV/0!</v>
      </c>
    </row>
    <row r="165" spans="6:14" x14ac:dyDescent="0.25">
      <c r="F165" s="1"/>
      <c r="G165" s="114">
        <f t="shared" si="11"/>
        <v>0</v>
      </c>
      <c r="H165" s="37">
        <f t="shared" si="12"/>
        <v>0</v>
      </c>
      <c r="I165">
        <f t="shared" si="14"/>
        <v>0</v>
      </c>
      <c r="M165" s="91" t="e">
        <f t="shared" si="13"/>
        <v>#DIV/0!</v>
      </c>
      <c r="N165" s="88" t="e">
        <f t="shared" si="10"/>
        <v>#DIV/0!</v>
      </c>
    </row>
    <row r="166" spans="6:14" x14ac:dyDescent="0.25">
      <c r="F166" s="1"/>
      <c r="G166" s="114">
        <f t="shared" si="11"/>
        <v>0</v>
      </c>
      <c r="H166" s="37">
        <f t="shared" si="12"/>
        <v>0</v>
      </c>
      <c r="I166">
        <f t="shared" si="14"/>
        <v>0</v>
      </c>
      <c r="M166" s="91" t="e">
        <f t="shared" si="13"/>
        <v>#DIV/0!</v>
      </c>
      <c r="N166" s="88" t="e">
        <f t="shared" si="10"/>
        <v>#DIV/0!</v>
      </c>
    </row>
    <row r="167" spans="6:14" x14ac:dyDescent="0.25">
      <c r="F167" s="1"/>
      <c r="G167" s="114">
        <f t="shared" si="11"/>
        <v>0</v>
      </c>
      <c r="H167" s="37">
        <f t="shared" si="12"/>
        <v>0</v>
      </c>
      <c r="I167">
        <f t="shared" si="14"/>
        <v>0</v>
      </c>
      <c r="M167" s="91" t="e">
        <f t="shared" si="13"/>
        <v>#DIV/0!</v>
      </c>
      <c r="N167" s="88" t="e">
        <f t="shared" si="10"/>
        <v>#DIV/0!</v>
      </c>
    </row>
    <row r="168" spans="6:14" x14ac:dyDescent="0.25">
      <c r="F168" s="1"/>
      <c r="G168" s="114">
        <f t="shared" si="11"/>
        <v>0</v>
      </c>
      <c r="H168" s="37">
        <f t="shared" si="12"/>
        <v>0</v>
      </c>
      <c r="I168">
        <f t="shared" si="14"/>
        <v>0</v>
      </c>
      <c r="J168" s="1">
        <f>+SUMIFS('VOLCADO '!H:H,'VOLCADO '!C:C,'Produccion por productor'!A:A,'VOLCADO '!B:B,'Produccion por productor'!B:B,'VOLCADO '!I:I,'Produccion por productor'!C:C,'VOLCADO '!J:J,'Produccion por productor'!E:E)*370</f>
        <v>0</v>
      </c>
      <c r="M168" s="91" t="e">
        <f t="shared" si="13"/>
        <v>#DIV/0!</v>
      </c>
      <c r="N168" s="88" t="e">
        <f t="shared" si="10"/>
        <v>#DIV/0!</v>
      </c>
    </row>
    <row r="169" spans="6:14" x14ac:dyDescent="0.25">
      <c r="F169" s="1"/>
      <c r="G169" s="114">
        <f t="shared" si="11"/>
        <v>0</v>
      </c>
      <c r="H169" s="37">
        <f t="shared" si="12"/>
        <v>0</v>
      </c>
      <c r="I169">
        <f t="shared" si="14"/>
        <v>0</v>
      </c>
      <c r="J169" s="1">
        <f>+SUMIFS('VOLCADO '!H:H,'VOLCADO '!C:C,'Produccion por productor'!A:A,'VOLCADO '!B:B,'Produccion por productor'!B:B,'VOLCADO '!I:I,'Produccion por productor'!C:C,'VOLCADO '!J:J,'Produccion por productor'!E:E)*370</f>
        <v>0</v>
      </c>
      <c r="M169" s="91" t="e">
        <f t="shared" si="13"/>
        <v>#DIV/0!</v>
      </c>
      <c r="N169" s="88" t="e">
        <f t="shared" si="10"/>
        <v>#DIV/0!</v>
      </c>
    </row>
    <row r="170" spans="6:14" x14ac:dyDescent="0.25">
      <c r="F170" s="1"/>
      <c r="G170" s="114">
        <f t="shared" si="11"/>
        <v>0</v>
      </c>
      <c r="H170" s="37">
        <f t="shared" si="12"/>
        <v>0</v>
      </c>
      <c r="I170">
        <f t="shared" si="14"/>
        <v>0</v>
      </c>
      <c r="J170" s="1">
        <f>+SUMIFS('VOLCADO '!H:H,'VOLCADO '!C:C,'Produccion por productor'!A:A,'VOLCADO '!B:B,'Produccion por productor'!B:B,'VOLCADO '!I:I,'Produccion por productor'!C:C,'VOLCADO '!J:J,'Produccion por productor'!E:E)*370</f>
        <v>0</v>
      </c>
      <c r="M170" s="91" t="e">
        <f t="shared" si="13"/>
        <v>#DIV/0!</v>
      </c>
      <c r="N170" s="88" t="e">
        <f t="shared" si="10"/>
        <v>#DIV/0!</v>
      </c>
    </row>
    <row r="171" spans="6:14" x14ac:dyDescent="0.25">
      <c r="F171" s="1"/>
      <c r="G171" s="114">
        <f t="shared" si="11"/>
        <v>0</v>
      </c>
      <c r="H171" s="37">
        <f t="shared" si="12"/>
        <v>0</v>
      </c>
      <c r="I171">
        <f t="shared" si="14"/>
        <v>0</v>
      </c>
      <c r="J171" s="1">
        <f>+SUMIFS('VOLCADO '!H:H,'VOLCADO '!C:C,'Produccion por productor'!A:A,'VOLCADO '!B:B,'Produccion por productor'!B:B,'VOLCADO '!I:I,'Produccion por productor'!C:C,'VOLCADO '!J:J,'Produccion por productor'!E:E)*370</f>
        <v>0</v>
      </c>
      <c r="M171" s="91" t="e">
        <f t="shared" si="13"/>
        <v>#DIV/0!</v>
      </c>
      <c r="N171" s="88" t="e">
        <f t="shared" si="10"/>
        <v>#DIV/0!</v>
      </c>
    </row>
    <row r="172" spans="6:14" x14ac:dyDescent="0.25">
      <c r="F172" s="1"/>
      <c r="G172" s="114">
        <f t="shared" si="11"/>
        <v>0</v>
      </c>
      <c r="H172" s="37">
        <f t="shared" si="12"/>
        <v>0</v>
      </c>
      <c r="I172">
        <f t="shared" si="14"/>
        <v>0</v>
      </c>
      <c r="J172" s="1">
        <f>+SUMIFS('VOLCADO '!H:H,'VOLCADO '!C:C,'Produccion por productor'!A:A,'VOLCADO '!B:B,'Produccion por productor'!B:B,'VOLCADO '!I:I,'Produccion por productor'!C:C,'VOLCADO '!J:J,'Produccion por productor'!E:E)*370</f>
        <v>0</v>
      </c>
      <c r="M172" s="91" t="e">
        <f t="shared" si="13"/>
        <v>#DIV/0!</v>
      </c>
      <c r="N172" s="88" t="e">
        <f t="shared" si="10"/>
        <v>#DIV/0!</v>
      </c>
    </row>
    <row r="173" spans="6:14" x14ac:dyDescent="0.25">
      <c r="F173" s="1"/>
      <c r="G173" s="114">
        <f t="shared" si="11"/>
        <v>0</v>
      </c>
      <c r="H173" s="37">
        <f t="shared" si="12"/>
        <v>0</v>
      </c>
      <c r="I173">
        <f t="shared" si="14"/>
        <v>0</v>
      </c>
      <c r="J173" s="1">
        <f>+SUMIFS('VOLCADO '!H:H,'VOLCADO '!C:C,'Produccion por productor'!A:A,'VOLCADO '!B:B,'Produccion por productor'!B:B,'VOLCADO '!I:I,'Produccion por productor'!C:C,'VOLCADO '!J:J,'Produccion por productor'!E:E)*370</f>
        <v>0</v>
      </c>
      <c r="M173" s="91" t="e">
        <f t="shared" si="13"/>
        <v>#DIV/0!</v>
      </c>
      <c r="N173" s="88" t="e">
        <f t="shared" si="10"/>
        <v>#DIV/0!</v>
      </c>
    </row>
    <row r="174" spans="6:14" x14ac:dyDescent="0.25">
      <c r="F174" s="1"/>
      <c r="G174" s="114">
        <f t="shared" si="11"/>
        <v>0</v>
      </c>
      <c r="H174" s="37">
        <f t="shared" si="12"/>
        <v>0</v>
      </c>
      <c r="I174">
        <f t="shared" si="14"/>
        <v>0</v>
      </c>
      <c r="J174" s="1">
        <f>+SUMIFS('VOLCADO '!H:H,'VOLCADO '!C:C,'Produccion por productor'!A:A,'VOLCADO '!B:B,'Produccion por productor'!B:B,'VOLCADO '!I:I,'Produccion por productor'!C:C,'VOLCADO '!J:J,'Produccion por productor'!E:E)*370</f>
        <v>0</v>
      </c>
      <c r="M174" s="91" t="e">
        <f t="shared" si="13"/>
        <v>#DIV/0!</v>
      </c>
      <c r="N174" s="88" t="e">
        <f t="shared" si="10"/>
        <v>#DIV/0!</v>
      </c>
    </row>
    <row r="175" spans="6:14" x14ac:dyDescent="0.25">
      <c r="F175" s="1"/>
      <c r="G175" s="114">
        <f t="shared" si="11"/>
        <v>0</v>
      </c>
      <c r="H175" s="37">
        <f t="shared" si="12"/>
        <v>0</v>
      </c>
      <c r="I175">
        <f t="shared" si="14"/>
        <v>0</v>
      </c>
      <c r="J175" s="1">
        <f>+SUMIFS('VOLCADO '!H:H,'VOLCADO '!C:C,'Produccion por productor'!A:A,'VOLCADO '!B:B,'Produccion por productor'!B:B,'VOLCADO '!I:I,'Produccion por productor'!C:C,'VOLCADO '!J:J,'Produccion por productor'!E:E)*370</f>
        <v>0</v>
      </c>
      <c r="M175" s="91" t="e">
        <f t="shared" si="13"/>
        <v>#DIV/0!</v>
      </c>
      <c r="N175" s="88" t="e">
        <f t="shared" si="10"/>
        <v>#DIV/0!</v>
      </c>
    </row>
    <row r="176" spans="6:14" x14ac:dyDescent="0.25">
      <c r="F176" s="1"/>
      <c r="G176" s="114">
        <f t="shared" si="11"/>
        <v>0</v>
      </c>
      <c r="H176" s="37">
        <f t="shared" si="12"/>
        <v>0</v>
      </c>
      <c r="I176">
        <f t="shared" si="14"/>
        <v>0</v>
      </c>
      <c r="J176" s="1">
        <f>+SUMIFS('VOLCADO '!H:H,'VOLCADO '!C:C,'Produccion por productor'!A:A,'VOLCADO '!B:B,'Produccion por productor'!B:B,'VOLCADO '!I:I,'Produccion por productor'!C:C,'VOLCADO '!J:J,'Produccion por productor'!E:E)*370</f>
        <v>0</v>
      </c>
      <c r="M176" s="91" t="e">
        <f t="shared" si="13"/>
        <v>#DIV/0!</v>
      </c>
      <c r="N176" s="88" t="e">
        <f t="shared" si="10"/>
        <v>#DIV/0!</v>
      </c>
    </row>
    <row r="177" spans="6:14" x14ac:dyDescent="0.25">
      <c r="F177" s="1"/>
      <c r="G177" s="114">
        <f t="shared" si="11"/>
        <v>0</v>
      </c>
      <c r="H177" s="37">
        <f t="shared" si="12"/>
        <v>0</v>
      </c>
      <c r="I177">
        <f t="shared" si="14"/>
        <v>0</v>
      </c>
      <c r="J177" s="1">
        <f>+SUMIFS('VOLCADO '!H:H,'VOLCADO '!C:C,'Produccion por productor'!A:A,'VOLCADO '!B:B,'Produccion por productor'!B:B,'VOLCADO '!I:I,'Produccion por productor'!C:C,'VOLCADO '!J:J,'Produccion por productor'!E:E)*370</f>
        <v>0</v>
      </c>
      <c r="M177" s="91" t="e">
        <f t="shared" si="13"/>
        <v>#DIV/0!</v>
      </c>
      <c r="N177" s="88" t="e">
        <f t="shared" si="10"/>
        <v>#DIV/0!</v>
      </c>
    </row>
    <row r="178" spans="6:14" x14ac:dyDescent="0.25">
      <c r="F178" s="1"/>
      <c r="G178" s="114">
        <f t="shared" si="11"/>
        <v>0</v>
      </c>
      <c r="H178" s="37">
        <f t="shared" si="12"/>
        <v>0</v>
      </c>
      <c r="I178">
        <f t="shared" si="14"/>
        <v>0</v>
      </c>
      <c r="J178" s="1">
        <f>+SUMIFS('VOLCADO '!H:H,'VOLCADO '!C:C,'Produccion por productor'!A:A,'VOLCADO '!B:B,'Produccion por productor'!B:B,'VOLCADO '!I:I,'Produccion por productor'!C:C,'VOLCADO '!J:J,'Produccion por productor'!E:E)*370</f>
        <v>0</v>
      </c>
      <c r="M178" s="91" t="e">
        <f t="shared" si="13"/>
        <v>#DIV/0!</v>
      </c>
      <c r="N178" s="88" t="e">
        <f t="shared" si="10"/>
        <v>#DIV/0!</v>
      </c>
    </row>
    <row r="179" spans="6:14" x14ac:dyDescent="0.25">
      <c r="F179" s="1"/>
      <c r="G179" s="114">
        <f t="shared" si="11"/>
        <v>0</v>
      </c>
      <c r="H179" s="37">
        <f t="shared" si="12"/>
        <v>0</v>
      </c>
      <c r="I179">
        <f t="shared" si="14"/>
        <v>0</v>
      </c>
      <c r="J179" s="1">
        <f>+SUMIFS('VOLCADO '!H:H,'VOLCADO '!C:C,'Produccion por productor'!A:A,'VOLCADO '!B:B,'Produccion por productor'!B:B,'VOLCADO '!I:I,'Produccion por productor'!C:C,'VOLCADO '!J:J,'Produccion por productor'!E:E)*370</f>
        <v>0</v>
      </c>
      <c r="M179" s="91" t="e">
        <f t="shared" si="13"/>
        <v>#DIV/0!</v>
      </c>
      <c r="N179" s="88" t="e">
        <f t="shared" si="10"/>
        <v>#DIV/0!</v>
      </c>
    </row>
    <row r="180" spans="6:14" x14ac:dyDescent="0.25">
      <c r="F180" s="1"/>
      <c r="G180" s="114">
        <f t="shared" si="11"/>
        <v>0</v>
      </c>
      <c r="H180" s="37">
        <f t="shared" si="12"/>
        <v>0</v>
      </c>
      <c r="I180">
        <f t="shared" si="14"/>
        <v>0</v>
      </c>
      <c r="J180" s="1">
        <f>+SUMIFS('VOLCADO '!H:H,'VOLCADO '!C:C,'Produccion por productor'!A:A,'VOLCADO '!B:B,'Produccion por productor'!B:B,'VOLCADO '!I:I,'Produccion por productor'!C:C,'VOLCADO '!J:J,'Produccion por productor'!E:E)*370</f>
        <v>0</v>
      </c>
      <c r="M180" s="91" t="e">
        <f t="shared" si="13"/>
        <v>#DIV/0!</v>
      </c>
      <c r="N180" s="88" t="e">
        <f t="shared" si="10"/>
        <v>#DIV/0!</v>
      </c>
    </row>
    <row r="181" spans="6:14" x14ac:dyDescent="0.25">
      <c r="F181" s="1"/>
      <c r="G181" s="114">
        <f t="shared" si="11"/>
        <v>0</v>
      </c>
      <c r="H181" s="37">
        <f t="shared" si="12"/>
        <v>0</v>
      </c>
      <c r="I181">
        <f t="shared" si="14"/>
        <v>0</v>
      </c>
      <c r="J181" s="1">
        <f>+SUMIFS('VOLCADO '!H:H,'VOLCADO '!C:C,'Produccion por productor'!A:A,'VOLCADO '!B:B,'Produccion por productor'!B:B,'VOLCADO '!I:I,'Produccion por productor'!C:C,'VOLCADO '!J:J,'Produccion por productor'!E:E)*370</f>
        <v>0</v>
      </c>
      <c r="M181" s="91" t="e">
        <f t="shared" si="13"/>
        <v>#DIV/0!</v>
      </c>
      <c r="N181" s="88" t="e">
        <f t="shared" si="10"/>
        <v>#DIV/0!</v>
      </c>
    </row>
    <row r="182" spans="6:14" x14ac:dyDescent="0.25">
      <c r="F182" s="1"/>
      <c r="G182" s="114">
        <f t="shared" si="11"/>
        <v>0</v>
      </c>
      <c r="H182" s="37">
        <f t="shared" si="12"/>
        <v>0</v>
      </c>
      <c r="I182">
        <f t="shared" si="14"/>
        <v>0</v>
      </c>
      <c r="J182" s="1">
        <f>+SUMIFS('VOLCADO '!H:H,'VOLCADO '!C:C,'Produccion por productor'!A:A,'VOLCADO '!B:B,'Produccion por productor'!B:B,'VOLCADO '!I:I,'Produccion por productor'!C:C,'VOLCADO '!J:J,'Produccion por productor'!E:E)*370</f>
        <v>0</v>
      </c>
      <c r="M182" s="91" t="e">
        <f t="shared" si="13"/>
        <v>#DIV/0!</v>
      </c>
      <c r="N182" s="88" t="e">
        <f t="shared" si="10"/>
        <v>#DIV/0!</v>
      </c>
    </row>
    <row r="183" spans="6:14" x14ac:dyDescent="0.25">
      <c r="F183" s="1"/>
      <c r="G183" s="114">
        <f t="shared" si="11"/>
        <v>0</v>
      </c>
      <c r="H183" s="37">
        <f t="shared" si="12"/>
        <v>0</v>
      </c>
      <c r="I183">
        <f t="shared" si="14"/>
        <v>0</v>
      </c>
      <c r="J183" s="1">
        <f>+SUMIFS('VOLCADO '!H:H,'VOLCADO '!C:C,'Produccion por productor'!A:A,'VOLCADO '!B:B,'Produccion por productor'!B:B,'VOLCADO '!I:I,'Produccion por productor'!C:C,'VOLCADO '!J:J,'Produccion por productor'!E:E)*370</f>
        <v>0</v>
      </c>
      <c r="M183" s="91" t="e">
        <f t="shared" si="13"/>
        <v>#DIV/0!</v>
      </c>
      <c r="N183" s="88" t="e">
        <f t="shared" si="10"/>
        <v>#DIV/0!</v>
      </c>
    </row>
    <row r="184" spans="6:14" x14ac:dyDescent="0.25">
      <c r="F184" s="1"/>
      <c r="G184" s="114">
        <f t="shared" si="11"/>
        <v>0</v>
      </c>
      <c r="H184" s="37">
        <f t="shared" si="12"/>
        <v>0</v>
      </c>
      <c r="I184">
        <f t="shared" si="14"/>
        <v>0</v>
      </c>
      <c r="J184" s="1">
        <f>+SUMIFS('VOLCADO '!H:H,'VOLCADO '!C:C,'Produccion por productor'!A:A,'VOLCADO '!B:B,'Produccion por productor'!B:B,'VOLCADO '!I:I,'Produccion por productor'!C:C,'VOLCADO '!J:J,'Produccion por productor'!E:E)*370</f>
        <v>0</v>
      </c>
      <c r="M184" s="91" t="e">
        <f t="shared" si="13"/>
        <v>#DIV/0!</v>
      </c>
      <c r="N184" s="88" t="e">
        <f t="shared" si="10"/>
        <v>#DIV/0!</v>
      </c>
    </row>
    <row r="185" spans="6:14" x14ac:dyDescent="0.25">
      <c r="F185" s="1"/>
      <c r="G185" s="114">
        <f t="shared" si="11"/>
        <v>0</v>
      </c>
      <c r="H185" s="37">
        <f t="shared" si="12"/>
        <v>0</v>
      </c>
      <c r="I185">
        <f t="shared" si="14"/>
        <v>0</v>
      </c>
      <c r="J185" s="1">
        <f>+SUMIFS('VOLCADO '!H:H,'VOLCADO '!C:C,'Produccion por productor'!A:A,'VOLCADO '!B:B,'Produccion por productor'!B:B,'VOLCADO '!I:I,'Produccion por productor'!C:C,'VOLCADO '!J:J,'Produccion por productor'!E:E)*370</f>
        <v>0</v>
      </c>
      <c r="M185" s="91" t="e">
        <f t="shared" si="13"/>
        <v>#DIV/0!</v>
      </c>
      <c r="N185" s="88" t="e">
        <f t="shared" si="10"/>
        <v>#DIV/0!</v>
      </c>
    </row>
    <row r="186" spans="6:14" x14ac:dyDescent="0.25">
      <c r="F186" s="1"/>
      <c r="G186" s="114">
        <f t="shared" si="11"/>
        <v>0</v>
      </c>
      <c r="H186" s="37">
        <f t="shared" si="12"/>
        <v>0</v>
      </c>
      <c r="I186">
        <f t="shared" si="14"/>
        <v>0</v>
      </c>
      <c r="J186" s="1">
        <f>+SUMIFS('VOLCADO '!H:H,'VOLCADO '!C:C,'Produccion por productor'!A:A,'VOLCADO '!B:B,'Produccion por productor'!B:B,'VOLCADO '!I:I,'Produccion por productor'!C:C,'VOLCADO '!J:J,'Produccion por productor'!E:E)*370</f>
        <v>0</v>
      </c>
      <c r="M186" s="91" t="e">
        <f t="shared" si="13"/>
        <v>#DIV/0!</v>
      </c>
      <c r="N186" s="88" t="e">
        <f t="shared" si="10"/>
        <v>#DIV/0!</v>
      </c>
    </row>
    <row r="187" spans="6:14" x14ac:dyDescent="0.25">
      <c r="F187" s="1"/>
      <c r="G187" s="114">
        <f t="shared" si="11"/>
        <v>0</v>
      </c>
      <c r="H187" s="37">
        <f t="shared" si="12"/>
        <v>0</v>
      </c>
      <c r="I187">
        <f t="shared" si="14"/>
        <v>0</v>
      </c>
      <c r="J187" s="1">
        <f>+SUMIFS('VOLCADO '!H:H,'VOLCADO '!C:C,'Produccion por productor'!A:A,'VOLCADO '!B:B,'Produccion por productor'!B:B,'VOLCADO '!I:I,'Produccion por productor'!C:C,'VOLCADO '!J:J,'Produccion por productor'!E:E)*370</f>
        <v>0</v>
      </c>
      <c r="M187" s="91" t="e">
        <f t="shared" si="13"/>
        <v>#DIV/0!</v>
      </c>
      <c r="N187" s="88" t="e">
        <f t="shared" si="10"/>
        <v>#DIV/0!</v>
      </c>
    </row>
    <row r="188" spans="6:14" x14ac:dyDescent="0.25">
      <c r="F188" s="1"/>
      <c r="G188" s="114">
        <f t="shared" si="11"/>
        <v>0</v>
      </c>
      <c r="H188" s="37">
        <f t="shared" si="12"/>
        <v>0</v>
      </c>
      <c r="I188">
        <f t="shared" si="14"/>
        <v>0</v>
      </c>
      <c r="J188" s="1">
        <f>+SUMIFS('VOLCADO '!H:H,'VOLCADO '!C:C,'Produccion por productor'!A:A,'VOLCADO '!B:B,'Produccion por productor'!B:B,'VOLCADO '!I:I,'Produccion por productor'!C:C,'VOLCADO '!J:J,'Produccion por productor'!E:E)*370</f>
        <v>0</v>
      </c>
      <c r="M188" s="91" t="e">
        <f t="shared" si="13"/>
        <v>#DIV/0!</v>
      </c>
      <c r="N188" s="88" t="e">
        <f t="shared" si="10"/>
        <v>#DIV/0!</v>
      </c>
    </row>
    <row r="189" spans="6:14" x14ac:dyDescent="0.25">
      <c r="F189" s="1"/>
      <c r="G189" s="114">
        <f t="shared" si="11"/>
        <v>0</v>
      </c>
      <c r="H189" s="37">
        <f t="shared" si="12"/>
        <v>0</v>
      </c>
      <c r="I189">
        <f t="shared" si="14"/>
        <v>0</v>
      </c>
      <c r="J189" s="1">
        <f>+SUMIFS('VOLCADO '!H:H,'VOLCADO '!C:C,'Produccion por productor'!A:A,'VOLCADO '!B:B,'Produccion por productor'!B:B,'VOLCADO '!I:I,'Produccion por productor'!C:C,'VOLCADO '!J:J,'Produccion por productor'!E:E)*370</f>
        <v>0</v>
      </c>
      <c r="M189" s="91" t="e">
        <f t="shared" si="13"/>
        <v>#DIV/0!</v>
      </c>
      <c r="N189" s="88" t="e">
        <f t="shared" si="10"/>
        <v>#DIV/0!</v>
      </c>
    </row>
    <row r="190" spans="6:14" x14ac:dyDescent="0.25">
      <c r="F190" s="1"/>
      <c r="G190" s="114">
        <f t="shared" si="11"/>
        <v>0</v>
      </c>
      <c r="H190" s="37">
        <f t="shared" si="12"/>
        <v>0</v>
      </c>
      <c r="I190">
        <f t="shared" si="14"/>
        <v>0</v>
      </c>
      <c r="J190" s="1">
        <f>+SUMIFS('VOLCADO '!H:H,'VOLCADO '!C:C,'Produccion por productor'!A:A,'VOLCADO '!B:B,'Produccion por productor'!B:B,'VOLCADO '!I:I,'Produccion por productor'!C:C,'VOLCADO '!J:J,'Produccion por productor'!E:E)*370</f>
        <v>0</v>
      </c>
      <c r="M190" s="91" t="e">
        <f t="shared" si="13"/>
        <v>#DIV/0!</v>
      </c>
      <c r="N190" s="88" t="e">
        <f t="shared" si="10"/>
        <v>#DIV/0!</v>
      </c>
    </row>
    <row r="191" spans="6:14" x14ac:dyDescent="0.25">
      <c r="F191" s="1"/>
      <c r="G191" s="114">
        <f t="shared" si="11"/>
        <v>0</v>
      </c>
      <c r="H191" s="37">
        <f t="shared" si="12"/>
        <v>0</v>
      </c>
      <c r="I191">
        <f t="shared" si="14"/>
        <v>0</v>
      </c>
      <c r="J191" s="1">
        <f>+SUMIFS('VOLCADO '!H:H,'VOLCADO '!C:C,'Produccion por productor'!A:A,'VOLCADO '!B:B,'Produccion por productor'!B:B,'VOLCADO '!I:I,'Produccion por productor'!C:C,'VOLCADO '!J:J,'Produccion por productor'!E:E)*370</f>
        <v>0</v>
      </c>
      <c r="M191" s="91" t="e">
        <f t="shared" si="13"/>
        <v>#DIV/0!</v>
      </c>
      <c r="N191" s="88" t="e">
        <f t="shared" si="10"/>
        <v>#DIV/0!</v>
      </c>
    </row>
    <row r="192" spans="6:14" x14ac:dyDescent="0.25">
      <c r="F192" s="1"/>
      <c r="G192" s="114">
        <f t="shared" si="11"/>
        <v>0</v>
      </c>
      <c r="H192" s="37">
        <f t="shared" si="12"/>
        <v>0</v>
      </c>
      <c r="I192">
        <f t="shared" si="14"/>
        <v>0</v>
      </c>
      <c r="J192" s="1">
        <f>+SUMIFS('VOLCADO '!H:H,'VOLCADO '!C:C,'Produccion por productor'!A:A,'VOLCADO '!B:B,'Produccion por productor'!B:B,'VOLCADO '!I:I,'Produccion por productor'!C:C,'VOLCADO '!J:J,'Produccion por productor'!E:E)*370</f>
        <v>0</v>
      </c>
      <c r="M192" s="91" t="e">
        <f t="shared" si="13"/>
        <v>#DIV/0!</v>
      </c>
      <c r="N192" s="88" t="e">
        <f t="shared" si="10"/>
        <v>#DIV/0!</v>
      </c>
    </row>
    <row r="193" spans="6:14" x14ac:dyDescent="0.25">
      <c r="F193" s="1"/>
      <c r="G193" s="114">
        <f t="shared" si="11"/>
        <v>0</v>
      </c>
      <c r="H193" s="37">
        <f t="shared" si="12"/>
        <v>0</v>
      </c>
      <c r="I193">
        <f t="shared" si="14"/>
        <v>0</v>
      </c>
      <c r="J193" s="1">
        <f>+SUMIFS('VOLCADO '!H:H,'VOLCADO '!C:C,'Produccion por productor'!A:A,'VOLCADO '!B:B,'Produccion por productor'!B:B,'VOLCADO '!I:I,'Produccion por productor'!C:C,'VOLCADO '!J:J,'Produccion por productor'!E:E)*370</f>
        <v>0</v>
      </c>
      <c r="M193" s="91" t="e">
        <f t="shared" si="13"/>
        <v>#DIV/0!</v>
      </c>
      <c r="N193" s="88" t="e">
        <f t="shared" ref="N193:N256" si="15">+((F193+I193)/J193)*100</f>
        <v>#DIV/0!</v>
      </c>
    </row>
    <row r="194" spans="6:14" x14ac:dyDescent="0.25">
      <c r="F194" s="1"/>
      <c r="G194" s="114">
        <f t="shared" ref="G194:G257" si="16">+F194+I194</f>
        <v>0</v>
      </c>
      <c r="H194" s="37">
        <f t="shared" ref="H194:H257" si="17">+(F194*0.05)+F194</f>
        <v>0</v>
      </c>
      <c r="I194">
        <f t="shared" si="14"/>
        <v>0</v>
      </c>
      <c r="J194" s="1">
        <f>+SUMIFS('VOLCADO '!H:H,'VOLCADO '!C:C,'Produccion por productor'!A:A,'VOLCADO '!B:B,'Produccion por productor'!B:B,'VOLCADO '!I:I,'Produccion por productor'!C:C,'VOLCADO '!J:J,'Produccion por productor'!E:E)*370</f>
        <v>0</v>
      </c>
      <c r="M194" s="91" t="e">
        <f t="shared" si="13"/>
        <v>#DIV/0!</v>
      </c>
      <c r="N194" s="88" t="e">
        <f t="shared" si="15"/>
        <v>#DIV/0!</v>
      </c>
    </row>
    <row r="195" spans="6:14" x14ac:dyDescent="0.25">
      <c r="F195" s="1"/>
      <c r="G195" s="114">
        <f t="shared" si="16"/>
        <v>0</v>
      </c>
      <c r="H195" s="37">
        <f t="shared" si="17"/>
        <v>0</v>
      </c>
      <c r="I195">
        <f t="shared" si="14"/>
        <v>0</v>
      </c>
      <c r="J195" s="1">
        <f>+SUMIFS('VOLCADO '!H:H,'VOLCADO '!C:C,'Produccion por productor'!A:A,'VOLCADO '!B:B,'Produccion por productor'!B:B,'VOLCADO '!I:I,'Produccion por productor'!C:C,'VOLCADO '!J:J,'Produccion por productor'!E:E)*370</f>
        <v>0</v>
      </c>
      <c r="M195" s="91" t="e">
        <f t="shared" ref="M195:M258" si="18">+((H195+I195)/J195)*100</f>
        <v>#DIV/0!</v>
      </c>
      <c r="N195" s="88" t="e">
        <f t="shared" si="15"/>
        <v>#DIV/0!</v>
      </c>
    </row>
    <row r="196" spans="6:14" x14ac:dyDescent="0.25">
      <c r="F196" s="1"/>
      <c r="G196" s="114">
        <f t="shared" si="16"/>
        <v>0</v>
      </c>
      <c r="H196" s="37">
        <f t="shared" si="17"/>
        <v>0</v>
      </c>
      <c r="I196">
        <f t="shared" si="14"/>
        <v>0</v>
      </c>
      <c r="J196" s="1">
        <f>+SUMIFS('VOLCADO '!H:H,'VOLCADO '!C:C,'Produccion por productor'!A:A,'VOLCADO '!B:B,'Produccion por productor'!B:B,'VOLCADO '!I:I,'Produccion por productor'!C:C,'VOLCADO '!J:J,'Produccion por productor'!E:E)*370</f>
        <v>0</v>
      </c>
      <c r="M196" s="91" t="e">
        <f t="shared" si="18"/>
        <v>#DIV/0!</v>
      </c>
      <c r="N196" s="88" t="e">
        <f t="shared" si="15"/>
        <v>#DIV/0!</v>
      </c>
    </row>
    <row r="197" spans="6:14" x14ac:dyDescent="0.25">
      <c r="F197" s="1"/>
      <c r="G197" s="114">
        <f t="shared" si="16"/>
        <v>0</v>
      </c>
      <c r="H197" s="37">
        <f t="shared" si="17"/>
        <v>0</v>
      </c>
      <c r="I197">
        <f t="shared" si="14"/>
        <v>0</v>
      </c>
      <c r="J197" s="1">
        <f>+SUMIFS('VOLCADO '!H:H,'VOLCADO '!C:C,'Produccion por productor'!A:A,'VOLCADO '!B:B,'Produccion por productor'!B:B,'VOLCADO '!I:I,'Produccion por productor'!C:C,'VOLCADO '!J:J,'Produccion por productor'!E:E)*370</f>
        <v>0</v>
      </c>
      <c r="M197" s="91" t="e">
        <f t="shared" si="18"/>
        <v>#DIV/0!</v>
      </c>
      <c r="N197" s="88" t="e">
        <f t="shared" si="15"/>
        <v>#DIV/0!</v>
      </c>
    </row>
    <row r="198" spans="6:14" x14ac:dyDescent="0.25">
      <c r="F198" s="1"/>
      <c r="G198" s="114">
        <f t="shared" si="16"/>
        <v>0</v>
      </c>
      <c r="H198" s="37">
        <f t="shared" si="17"/>
        <v>0</v>
      </c>
      <c r="I198">
        <f t="shared" si="14"/>
        <v>0</v>
      </c>
      <c r="J198" s="1">
        <f>+SUMIFS('VOLCADO '!H:H,'VOLCADO '!C:C,'Produccion por productor'!A:A,'VOLCADO '!B:B,'Produccion por productor'!B:B,'VOLCADO '!I:I,'Produccion por productor'!C:C,'VOLCADO '!J:J,'Produccion por productor'!E:E)*370</f>
        <v>0</v>
      </c>
      <c r="M198" s="91" t="e">
        <f t="shared" si="18"/>
        <v>#DIV/0!</v>
      </c>
      <c r="N198" s="88" t="e">
        <f t="shared" si="15"/>
        <v>#DIV/0!</v>
      </c>
    </row>
    <row r="199" spans="6:14" x14ac:dyDescent="0.25">
      <c r="F199" s="1"/>
      <c r="G199" s="114">
        <f t="shared" si="16"/>
        <v>0</v>
      </c>
      <c r="H199" s="37">
        <f t="shared" si="17"/>
        <v>0</v>
      </c>
      <c r="I199">
        <f t="shared" si="14"/>
        <v>0</v>
      </c>
      <c r="J199" s="1">
        <f>+SUMIFS('VOLCADO '!H:H,'VOLCADO '!C:C,'Produccion por productor'!A:A,'VOLCADO '!B:B,'Produccion por productor'!B:B,'VOLCADO '!I:I,'Produccion por productor'!C:C,'VOLCADO '!J:J,'Produccion por productor'!E:E)*370</f>
        <v>0</v>
      </c>
      <c r="M199" s="91" t="e">
        <f t="shared" si="18"/>
        <v>#DIV/0!</v>
      </c>
      <c r="N199" s="88" t="e">
        <f t="shared" si="15"/>
        <v>#DIV/0!</v>
      </c>
    </row>
    <row r="200" spans="6:14" x14ac:dyDescent="0.25">
      <c r="F200" s="1"/>
      <c r="G200" s="114">
        <f t="shared" si="16"/>
        <v>0</v>
      </c>
      <c r="H200" s="37">
        <f t="shared" si="17"/>
        <v>0</v>
      </c>
      <c r="I200">
        <f t="shared" si="14"/>
        <v>0</v>
      </c>
      <c r="J200" s="1">
        <f>+SUMIFS('VOLCADO '!H:H,'VOLCADO '!C:C,'Produccion por productor'!A:A,'VOLCADO '!B:B,'Produccion por productor'!B:B,'VOLCADO '!I:I,'Produccion por productor'!C:C,'VOLCADO '!J:J,'Produccion por productor'!E:E)*370</f>
        <v>0</v>
      </c>
      <c r="M200" s="91" t="e">
        <f t="shared" si="18"/>
        <v>#DIV/0!</v>
      </c>
      <c r="N200" s="88" t="e">
        <f t="shared" si="15"/>
        <v>#DIV/0!</v>
      </c>
    </row>
    <row r="201" spans="6:14" x14ac:dyDescent="0.25">
      <c r="F201" s="1"/>
      <c r="G201" s="114">
        <f t="shared" si="16"/>
        <v>0</v>
      </c>
      <c r="H201" s="37">
        <f t="shared" si="17"/>
        <v>0</v>
      </c>
      <c r="I201">
        <f t="shared" si="14"/>
        <v>0</v>
      </c>
      <c r="J201" s="1">
        <f>+SUMIFS('VOLCADO '!H:H,'VOLCADO '!C:C,'Produccion por productor'!A:A,'VOLCADO '!B:B,'Produccion por productor'!B:B,'VOLCADO '!I:I,'Produccion por productor'!C:C,'VOLCADO '!J:J,'Produccion por productor'!E:E)*370</f>
        <v>0</v>
      </c>
      <c r="M201" s="91" t="e">
        <f t="shared" si="18"/>
        <v>#DIV/0!</v>
      </c>
      <c r="N201" s="88" t="e">
        <f t="shared" si="15"/>
        <v>#DIV/0!</v>
      </c>
    </row>
    <row r="202" spans="6:14" x14ac:dyDescent="0.25">
      <c r="F202" s="1"/>
      <c r="G202" s="114">
        <f t="shared" si="16"/>
        <v>0</v>
      </c>
      <c r="H202" s="37">
        <f t="shared" si="17"/>
        <v>0</v>
      </c>
      <c r="I202">
        <f t="shared" si="14"/>
        <v>0</v>
      </c>
      <c r="J202" s="1">
        <f>+SUMIFS('VOLCADO '!H:H,'VOLCADO '!C:C,'Produccion por productor'!A:A,'VOLCADO '!B:B,'Produccion por productor'!B:B,'VOLCADO '!I:I,'Produccion por productor'!C:C,'VOLCADO '!J:J,'Produccion por productor'!E:E)*370</f>
        <v>0</v>
      </c>
      <c r="M202" s="91" t="e">
        <f t="shared" si="18"/>
        <v>#DIV/0!</v>
      </c>
      <c r="N202" s="88" t="e">
        <f t="shared" si="15"/>
        <v>#DIV/0!</v>
      </c>
    </row>
    <row r="203" spans="6:14" x14ac:dyDescent="0.25">
      <c r="F203" s="1"/>
      <c r="G203" s="114">
        <f t="shared" si="16"/>
        <v>0</v>
      </c>
      <c r="H203" s="37">
        <f t="shared" si="17"/>
        <v>0</v>
      </c>
      <c r="I203">
        <f t="shared" si="14"/>
        <v>0</v>
      </c>
      <c r="J203" s="1">
        <f>+SUMIFS('VOLCADO '!H:H,'VOLCADO '!C:C,'Produccion por productor'!A:A,'VOLCADO '!B:B,'Produccion por productor'!B:B,'VOLCADO '!I:I,'Produccion por productor'!C:C,'VOLCADO '!J:J,'Produccion por productor'!E:E)*370</f>
        <v>0</v>
      </c>
      <c r="M203" s="91" t="e">
        <f t="shared" si="18"/>
        <v>#DIV/0!</v>
      </c>
      <c r="N203" s="88" t="e">
        <f t="shared" si="15"/>
        <v>#DIV/0!</v>
      </c>
    </row>
    <row r="204" spans="6:14" x14ac:dyDescent="0.25">
      <c r="F204" s="1"/>
      <c r="G204" s="114">
        <f t="shared" si="16"/>
        <v>0</v>
      </c>
      <c r="H204" s="37">
        <f t="shared" si="17"/>
        <v>0</v>
      </c>
      <c r="I204">
        <f t="shared" si="14"/>
        <v>0</v>
      </c>
      <c r="J204" s="1">
        <f>+SUMIFS('VOLCADO '!H:H,'VOLCADO '!C:C,'Produccion por productor'!A:A,'VOLCADO '!B:B,'Produccion por productor'!B:B,'VOLCADO '!I:I,'Produccion por productor'!C:C,'VOLCADO '!J:J,'Produccion por productor'!E:E)*370</f>
        <v>0</v>
      </c>
      <c r="M204" s="91" t="e">
        <f t="shared" si="18"/>
        <v>#DIV/0!</v>
      </c>
      <c r="N204" s="88" t="e">
        <f t="shared" si="15"/>
        <v>#DIV/0!</v>
      </c>
    </row>
    <row r="205" spans="6:14" x14ac:dyDescent="0.25">
      <c r="F205" s="1"/>
      <c r="G205" s="114">
        <f t="shared" si="16"/>
        <v>0</v>
      </c>
      <c r="H205" s="37">
        <f t="shared" si="17"/>
        <v>0</v>
      </c>
      <c r="I205">
        <f t="shared" si="14"/>
        <v>0</v>
      </c>
      <c r="J205" s="1">
        <f>+SUMIFS('VOLCADO '!H:H,'VOLCADO '!C:C,'Produccion por productor'!A:A,'VOLCADO '!B:B,'Produccion por productor'!B:B,'VOLCADO '!I:I,'Produccion por productor'!C:C,'VOLCADO '!J:J,'Produccion por productor'!E:E)*370</f>
        <v>0</v>
      </c>
      <c r="M205" s="91" t="e">
        <f t="shared" si="18"/>
        <v>#DIV/0!</v>
      </c>
      <c r="N205" s="88" t="e">
        <f t="shared" si="15"/>
        <v>#DIV/0!</v>
      </c>
    </row>
    <row r="206" spans="6:14" x14ac:dyDescent="0.25">
      <c r="F206" s="1"/>
      <c r="G206" s="114">
        <f t="shared" si="16"/>
        <v>0</v>
      </c>
      <c r="H206" s="37">
        <f t="shared" si="17"/>
        <v>0</v>
      </c>
      <c r="I206">
        <f t="shared" ref="I206:I269" si="19">+L206-K206</f>
        <v>0</v>
      </c>
      <c r="J206" s="1">
        <f>+SUMIFS('VOLCADO '!H:H,'VOLCADO '!C:C,'Produccion por productor'!A:A,'VOLCADO '!B:B,'Produccion por productor'!B:B,'VOLCADO '!I:I,'Produccion por productor'!C:C,'VOLCADO '!J:J,'Produccion por productor'!E:E)*370</f>
        <v>0</v>
      </c>
      <c r="M206" s="91" t="e">
        <f t="shared" si="18"/>
        <v>#DIV/0!</v>
      </c>
      <c r="N206" s="88" t="e">
        <f t="shared" si="15"/>
        <v>#DIV/0!</v>
      </c>
    </row>
    <row r="207" spans="6:14" x14ac:dyDescent="0.25">
      <c r="F207" s="1"/>
      <c r="G207" s="114">
        <f t="shared" si="16"/>
        <v>0</v>
      </c>
      <c r="H207" s="37">
        <f t="shared" si="17"/>
        <v>0</v>
      </c>
      <c r="I207">
        <f t="shared" si="19"/>
        <v>0</v>
      </c>
      <c r="J207" s="1">
        <f>+SUMIFS('VOLCADO '!H:H,'VOLCADO '!C:C,'Produccion por productor'!A:A,'VOLCADO '!B:B,'Produccion por productor'!B:B,'VOLCADO '!I:I,'Produccion por productor'!C:C,'VOLCADO '!J:J,'Produccion por productor'!E:E)*370</f>
        <v>0</v>
      </c>
      <c r="M207" s="91" t="e">
        <f t="shared" si="18"/>
        <v>#DIV/0!</v>
      </c>
      <c r="N207" s="88" t="e">
        <f t="shared" si="15"/>
        <v>#DIV/0!</v>
      </c>
    </row>
    <row r="208" spans="6:14" x14ac:dyDescent="0.25">
      <c r="F208" s="1"/>
      <c r="G208" s="114">
        <f t="shared" si="16"/>
        <v>0</v>
      </c>
      <c r="H208" s="37">
        <f t="shared" si="17"/>
        <v>0</v>
      </c>
      <c r="I208">
        <f t="shared" si="19"/>
        <v>0</v>
      </c>
      <c r="J208" s="1">
        <f>+SUMIFS('VOLCADO '!H:H,'VOLCADO '!C:C,'Produccion por productor'!A:A,'VOLCADO '!B:B,'Produccion por productor'!B:B,'VOLCADO '!I:I,'Produccion por productor'!C:C,'VOLCADO '!J:J,'Produccion por productor'!E:E)*370</f>
        <v>0</v>
      </c>
      <c r="M208" s="91" t="e">
        <f t="shared" si="18"/>
        <v>#DIV/0!</v>
      </c>
      <c r="N208" s="88" t="e">
        <f t="shared" si="15"/>
        <v>#DIV/0!</v>
      </c>
    </row>
    <row r="209" spans="6:14" x14ac:dyDescent="0.25">
      <c r="F209" s="1"/>
      <c r="G209" s="114">
        <f t="shared" si="16"/>
        <v>0</v>
      </c>
      <c r="H209" s="37">
        <f t="shared" si="17"/>
        <v>0</v>
      </c>
      <c r="I209">
        <f t="shared" si="19"/>
        <v>0</v>
      </c>
      <c r="J209" s="1">
        <f>+SUMIFS('VOLCADO '!H:H,'VOLCADO '!C:C,'Produccion por productor'!A:A,'VOLCADO '!B:B,'Produccion por productor'!B:B,'VOLCADO '!I:I,'Produccion por productor'!C:C,'VOLCADO '!J:J,'Produccion por productor'!E:E)*370</f>
        <v>0</v>
      </c>
      <c r="M209" s="91" t="e">
        <f t="shared" si="18"/>
        <v>#DIV/0!</v>
      </c>
      <c r="N209" s="88" t="e">
        <f t="shared" si="15"/>
        <v>#DIV/0!</v>
      </c>
    </row>
    <row r="210" spans="6:14" x14ac:dyDescent="0.25">
      <c r="F210" s="1"/>
      <c r="G210" s="114">
        <f t="shared" si="16"/>
        <v>0</v>
      </c>
      <c r="H210" s="37">
        <f t="shared" si="17"/>
        <v>0</v>
      </c>
      <c r="I210">
        <f t="shared" si="19"/>
        <v>0</v>
      </c>
      <c r="J210" s="1">
        <f>+SUMIFS('VOLCADO '!H:H,'VOLCADO '!C:C,'Produccion por productor'!A:A,'VOLCADO '!B:B,'Produccion por productor'!B:B,'VOLCADO '!I:I,'Produccion por productor'!C:C,'VOLCADO '!J:J,'Produccion por productor'!E:E)*370</f>
        <v>0</v>
      </c>
      <c r="M210" s="91" t="e">
        <f t="shared" si="18"/>
        <v>#DIV/0!</v>
      </c>
      <c r="N210" s="88" t="e">
        <f t="shared" si="15"/>
        <v>#DIV/0!</v>
      </c>
    </row>
    <row r="211" spans="6:14" x14ac:dyDescent="0.25">
      <c r="F211" s="1"/>
      <c r="G211" s="114">
        <f t="shared" si="16"/>
        <v>0</v>
      </c>
      <c r="H211" s="37">
        <f t="shared" si="17"/>
        <v>0</v>
      </c>
      <c r="I211">
        <f t="shared" si="19"/>
        <v>0</v>
      </c>
      <c r="J211" s="1">
        <f>+SUMIFS('VOLCADO '!H:H,'VOLCADO '!C:C,'Produccion por productor'!A:A,'VOLCADO '!B:B,'Produccion por productor'!B:B,'VOLCADO '!I:I,'Produccion por productor'!C:C,'VOLCADO '!J:J,'Produccion por productor'!E:E)*370</f>
        <v>0</v>
      </c>
      <c r="M211" s="91" t="e">
        <f t="shared" si="18"/>
        <v>#DIV/0!</v>
      </c>
      <c r="N211" s="88" t="e">
        <f t="shared" si="15"/>
        <v>#DIV/0!</v>
      </c>
    </row>
    <row r="212" spans="6:14" x14ac:dyDescent="0.25">
      <c r="F212" s="1"/>
      <c r="G212" s="114">
        <f t="shared" si="16"/>
        <v>0</v>
      </c>
      <c r="H212" s="37">
        <f t="shared" si="17"/>
        <v>0</v>
      </c>
      <c r="I212">
        <f t="shared" si="19"/>
        <v>0</v>
      </c>
      <c r="J212" s="1">
        <f>+SUMIFS('VOLCADO '!H:H,'VOLCADO '!C:C,'Produccion por productor'!A:A,'VOLCADO '!B:B,'Produccion por productor'!B:B,'VOLCADO '!I:I,'Produccion por productor'!C:C,'VOLCADO '!J:J,'Produccion por productor'!E:E)*370</f>
        <v>0</v>
      </c>
      <c r="M212" s="91" t="e">
        <f t="shared" si="18"/>
        <v>#DIV/0!</v>
      </c>
      <c r="N212" s="88" t="e">
        <f t="shared" si="15"/>
        <v>#DIV/0!</v>
      </c>
    </row>
    <row r="213" spans="6:14" x14ac:dyDescent="0.25">
      <c r="F213" s="1"/>
      <c r="G213" s="114">
        <f t="shared" si="16"/>
        <v>0</v>
      </c>
      <c r="H213" s="37">
        <f t="shared" si="17"/>
        <v>0</v>
      </c>
      <c r="I213">
        <f t="shared" si="19"/>
        <v>0</v>
      </c>
      <c r="J213" s="1">
        <f>+SUMIFS('VOLCADO '!H:H,'VOLCADO '!C:C,'Produccion por productor'!A:A,'VOLCADO '!B:B,'Produccion por productor'!B:B,'VOLCADO '!I:I,'Produccion por productor'!C:C,'VOLCADO '!J:J,'Produccion por productor'!E:E)*370</f>
        <v>0</v>
      </c>
      <c r="M213" s="91" t="e">
        <f t="shared" si="18"/>
        <v>#DIV/0!</v>
      </c>
      <c r="N213" s="88" t="e">
        <f t="shared" si="15"/>
        <v>#DIV/0!</v>
      </c>
    </row>
    <row r="214" spans="6:14" x14ac:dyDescent="0.25">
      <c r="F214" s="1"/>
      <c r="G214" s="114">
        <f t="shared" si="16"/>
        <v>0</v>
      </c>
      <c r="H214" s="37">
        <f t="shared" si="17"/>
        <v>0</v>
      </c>
      <c r="I214">
        <f t="shared" si="19"/>
        <v>0</v>
      </c>
      <c r="J214" s="1">
        <f>+SUMIFS('VOLCADO '!H:H,'VOLCADO '!C:C,'Produccion por productor'!A:A,'VOLCADO '!B:B,'Produccion por productor'!B:B,'VOLCADO '!I:I,'Produccion por productor'!C:C,'VOLCADO '!J:J,'Produccion por productor'!E:E)*370</f>
        <v>0</v>
      </c>
      <c r="M214" s="91" t="e">
        <f t="shared" si="18"/>
        <v>#DIV/0!</v>
      </c>
      <c r="N214" s="88" t="e">
        <f t="shared" si="15"/>
        <v>#DIV/0!</v>
      </c>
    </row>
    <row r="215" spans="6:14" x14ac:dyDescent="0.25">
      <c r="F215" s="1"/>
      <c r="G215" s="114">
        <f t="shared" si="16"/>
        <v>0</v>
      </c>
      <c r="H215" s="37">
        <f t="shared" si="17"/>
        <v>0</v>
      </c>
      <c r="I215">
        <f t="shared" si="19"/>
        <v>0</v>
      </c>
      <c r="J215" s="1">
        <f>+SUMIFS('VOLCADO '!H:H,'VOLCADO '!C:C,'Produccion por productor'!A:A,'VOLCADO '!B:B,'Produccion por productor'!B:B,'VOLCADO '!I:I,'Produccion por productor'!C:C,'VOLCADO '!J:J,'Produccion por productor'!E:E)*370</f>
        <v>0</v>
      </c>
      <c r="M215" s="91" t="e">
        <f t="shared" si="18"/>
        <v>#DIV/0!</v>
      </c>
      <c r="N215" s="88" t="e">
        <f t="shared" si="15"/>
        <v>#DIV/0!</v>
      </c>
    </row>
    <row r="216" spans="6:14" x14ac:dyDescent="0.25">
      <c r="F216" s="1"/>
      <c r="G216" s="114">
        <f t="shared" si="16"/>
        <v>0</v>
      </c>
      <c r="H216" s="37">
        <f t="shared" si="17"/>
        <v>0</v>
      </c>
      <c r="I216">
        <f t="shared" si="19"/>
        <v>0</v>
      </c>
      <c r="J216" s="1">
        <f>+SUMIFS('VOLCADO '!H:H,'VOLCADO '!C:C,'Produccion por productor'!A:A,'VOLCADO '!B:B,'Produccion por productor'!B:B,'VOLCADO '!I:I,'Produccion por productor'!C:C,'VOLCADO '!J:J,'Produccion por productor'!E:E)*370</f>
        <v>0</v>
      </c>
      <c r="M216" s="91" t="e">
        <f t="shared" si="18"/>
        <v>#DIV/0!</v>
      </c>
      <c r="N216" s="88" t="e">
        <f t="shared" si="15"/>
        <v>#DIV/0!</v>
      </c>
    </row>
    <row r="217" spans="6:14" x14ac:dyDescent="0.25">
      <c r="F217" s="1"/>
      <c r="G217" s="114">
        <f t="shared" si="16"/>
        <v>0</v>
      </c>
      <c r="H217" s="37">
        <f t="shared" si="17"/>
        <v>0</v>
      </c>
      <c r="I217">
        <f t="shared" si="19"/>
        <v>0</v>
      </c>
      <c r="J217" s="1">
        <f>+SUMIFS('VOLCADO '!H:H,'VOLCADO '!C:C,'Produccion por productor'!A:A,'VOLCADO '!B:B,'Produccion por productor'!B:B,'VOLCADO '!I:I,'Produccion por productor'!C:C,'VOLCADO '!J:J,'Produccion por productor'!E:E)*370</f>
        <v>0</v>
      </c>
      <c r="M217" s="91" t="e">
        <f t="shared" si="18"/>
        <v>#DIV/0!</v>
      </c>
      <c r="N217" s="88" t="e">
        <f t="shared" si="15"/>
        <v>#DIV/0!</v>
      </c>
    </row>
    <row r="218" spans="6:14" x14ac:dyDescent="0.25">
      <c r="F218" s="1"/>
      <c r="G218" s="114">
        <f t="shared" si="16"/>
        <v>0</v>
      </c>
      <c r="H218" s="37">
        <f t="shared" si="17"/>
        <v>0</v>
      </c>
      <c r="I218">
        <f t="shared" si="19"/>
        <v>0</v>
      </c>
      <c r="J218" s="1">
        <f>+SUMIFS('VOLCADO '!H:H,'VOLCADO '!C:C,'Produccion por productor'!A:A,'VOLCADO '!B:B,'Produccion por productor'!B:B,'VOLCADO '!I:I,'Produccion por productor'!C:C,'VOLCADO '!J:J,'Produccion por productor'!E:E)*370</f>
        <v>0</v>
      </c>
      <c r="M218" s="91" t="e">
        <f t="shared" si="18"/>
        <v>#DIV/0!</v>
      </c>
      <c r="N218" s="88" t="e">
        <f t="shared" si="15"/>
        <v>#DIV/0!</v>
      </c>
    </row>
    <row r="219" spans="6:14" x14ac:dyDescent="0.25">
      <c r="F219" s="1"/>
      <c r="G219" s="114">
        <f t="shared" si="16"/>
        <v>0</v>
      </c>
      <c r="H219" s="37">
        <f t="shared" si="17"/>
        <v>0</v>
      </c>
      <c r="I219">
        <f t="shared" si="19"/>
        <v>0</v>
      </c>
      <c r="J219" s="1">
        <f>+SUMIFS('VOLCADO '!H:H,'VOLCADO '!C:C,'Produccion por productor'!A:A,'VOLCADO '!B:B,'Produccion por productor'!B:B,'VOLCADO '!I:I,'Produccion por productor'!C:C,'VOLCADO '!J:J,'Produccion por productor'!E:E)*370</f>
        <v>0</v>
      </c>
      <c r="M219" s="91" t="e">
        <f t="shared" si="18"/>
        <v>#DIV/0!</v>
      </c>
      <c r="N219" s="88" t="e">
        <f t="shared" si="15"/>
        <v>#DIV/0!</v>
      </c>
    </row>
    <row r="220" spans="6:14" x14ac:dyDescent="0.25">
      <c r="F220" s="1"/>
      <c r="G220" s="114">
        <f t="shared" si="16"/>
        <v>0</v>
      </c>
      <c r="H220" s="37">
        <f t="shared" si="17"/>
        <v>0</v>
      </c>
      <c r="I220">
        <f t="shared" si="19"/>
        <v>0</v>
      </c>
      <c r="J220" s="1">
        <f>+SUMIFS('VOLCADO '!H:H,'VOLCADO '!C:C,'Produccion por productor'!A:A,'VOLCADO '!B:B,'Produccion por productor'!B:B,'VOLCADO '!I:I,'Produccion por productor'!C:C,'VOLCADO '!J:J,'Produccion por productor'!E:E)*370</f>
        <v>0</v>
      </c>
      <c r="M220" s="91" t="e">
        <f t="shared" si="18"/>
        <v>#DIV/0!</v>
      </c>
      <c r="N220" s="88" t="e">
        <f t="shared" si="15"/>
        <v>#DIV/0!</v>
      </c>
    </row>
    <row r="221" spans="6:14" x14ac:dyDescent="0.25">
      <c r="F221" s="1"/>
      <c r="G221" s="114">
        <f t="shared" si="16"/>
        <v>0</v>
      </c>
      <c r="H221" s="37">
        <f t="shared" si="17"/>
        <v>0</v>
      </c>
      <c r="I221">
        <f t="shared" si="19"/>
        <v>0</v>
      </c>
      <c r="J221" s="1">
        <f>+SUMIFS('VOLCADO '!H:H,'VOLCADO '!C:C,'Produccion por productor'!A:A,'VOLCADO '!B:B,'Produccion por productor'!B:B,'VOLCADO '!I:I,'Produccion por productor'!C:C,'VOLCADO '!J:J,'Produccion por productor'!E:E)*370</f>
        <v>0</v>
      </c>
      <c r="M221" s="91" t="e">
        <f t="shared" si="18"/>
        <v>#DIV/0!</v>
      </c>
      <c r="N221" s="88" t="e">
        <f t="shared" si="15"/>
        <v>#DIV/0!</v>
      </c>
    </row>
    <row r="222" spans="6:14" x14ac:dyDescent="0.25">
      <c r="F222" s="1"/>
      <c r="G222" s="114">
        <f t="shared" si="16"/>
        <v>0</v>
      </c>
      <c r="H222" s="37">
        <f t="shared" si="17"/>
        <v>0</v>
      </c>
      <c r="I222">
        <f t="shared" si="19"/>
        <v>0</v>
      </c>
      <c r="J222" s="1">
        <f>+SUMIFS('VOLCADO '!H:H,'VOLCADO '!C:C,'Produccion por productor'!A:A,'VOLCADO '!B:B,'Produccion por productor'!B:B,'VOLCADO '!I:I,'Produccion por productor'!C:C,'VOLCADO '!J:J,'Produccion por productor'!E:E)*370</f>
        <v>0</v>
      </c>
      <c r="M222" s="91" t="e">
        <f t="shared" si="18"/>
        <v>#DIV/0!</v>
      </c>
      <c r="N222" s="88" t="e">
        <f t="shared" si="15"/>
        <v>#DIV/0!</v>
      </c>
    </row>
    <row r="223" spans="6:14" x14ac:dyDescent="0.25">
      <c r="F223" s="1"/>
      <c r="G223" s="114">
        <f t="shared" si="16"/>
        <v>0</v>
      </c>
      <c r="H223" s="37">
        <f t="shared" si="17"/>
        <v>0</v>
      </c>
      <c r="I223">
        <f t="shared" si="19"/>
        <v>0</v>
      </c>
      <c r="J223" s="1">
        <f>+SUMIFS('VOLCADO '!H:H,'VOLCADO '!C:C,'Produccion por productor'!A:A,'VOLCADO '!B:B,'Produccion por productor'!B:B,'VOLCADO '!I:I,'Produccion por productor'!C:C,'VOLCADO '!J:J,'Produccion por productor'!E:E)*370</f>
        <v>0</v>
      </c>
      <c r="M223" s="91" t="e">
        <f t="shared" si="18"/>
        <v>#DIV/0!</v>
      </c>
      <c r="N223" s="88" t="e">
        <f t="shared" si="15"/>
        <v>#DIV/0!</v>
      </c>
    </row>
    <row r="224" spans="6:14" x14ac:dyDescent="0.25">
      <c r="F224" s="1"/>
      <c r="G224" s="114">
        <f t="shared" si="16"/>
        <v>0</v>
      </c>
      <c r="H224" s="37">
        <f t="shared" si="17"/>
        <v>0</v>
      </c>
      <c r="I224">
        <f t="shared" si="19"/>
        <v>0</v>
      </c>
      <c r="J224" s="1">
        <f>+SUMIFS('VOLCADO '!H:H,'VOLCADO '!C:C,'Produccion por productor'!A:A,'VOLCADO '!B:B,'Produccion por productor'!B:B,'VOLCADO '!I:I,'Produccion por productor'!C:C,'VOLCADO '!J:J,'Produccion por productor'!E:E)*370</f>
        <v>0</v>
      </c>
      <c r="M224" s="91" t="e">
        <f t="shared" si="18"/>
        <v>#DIV/0!</v>
      </c>
      <c r="N224" s="88" t="e">
        <f t="shared" si="15"/>
        <v>#DIV/0!</v>
      </c>
    </row>
    <row r="225" spans="6:14" x14ac:dyDescent="0.25">
      <c r="F225" s="1"/>
      <c r="G225" s="114">
        <f t="shared" si="16"/>
        <v>0</v>
      </c>
      <c r="H225" s="37">
        <f t="shared" si="17"/>
        <v>0</v>
      </c>
      <c r="I225">
        <f t="shared" si="19"/>
        <v>0</v>
      </c>
      <c r="J225" s="1">
        <f>+SUMIFS('VOLCADO '!H:H,'VOLCADO '!C:C,'Produccion por productor'!A:A,'VOLCADO '!B:B,'Produccion por productor'!B:B,'VOLCADO '!I:I,'Produccion por productor'!C:C,'VOLCADO '!J:J,'Produccion por productor'!E:E)*370</f>
        <v>0</v>
      </c>
      <c r="M225" s="91" t="e">
        <f t="shared" si="18"/>
        <v>#DIV/0!</v>
      </c>
      <c r="N225" s="88" t="e">
        <f t="shared" si="15"/>
        <v>#DIV/0!</v>
      </c>
    </row>
    <row r="226" spans="6:14" x14ac:dyDescent="0.25">
      <c r="F226" s="1"/>
      <c r="G226" s="114">
        <f t="shared" si="16"/>
        <v>0</v>
      </c>
      <c r="H226" s="37">
        <f t="shared" si="17"/>
        <v>0</v>
      </c>
      <c r="I226">
        <f t="shared" si="19"/>
        <v>0</v>
      </c>
      <c r="J226" s="1">
        <f>+SUMIFS('VOLCADO '!H:H,'VOLCADO '!C:C,'Produccion por productor'!A:A,'VOLCADO '!B:B,'Produccion por productor'!B:B,'VOLCADO '!I:I,'Produccion por productor'!C:C,'VOLCADO '!J:J,'Produccion por productor'!E:E)*370</f>
        <v>0</v>
      </c>
      <c r="M226" s="91" t="e">
        <f t="shared" si="18"/>
        <v>#DIV/0!</v>
      </c>
      <c r="N226" s="88" t="e">
        <f t="shared" si="15"/>
        <v>#DIV/0!</v>
      </c>
    </row>
    <row r="227" spans="6:14" x14ac:dyDescent="0.25">
      <c r="F227" s="1"/>
      <c r="G227" s="114">
        <f t="shared" si="16"/>
        <v>0</v>
      </c>
      <c r="H227" s="37">
        <f t="shared" si="17"/>
        <v>0</v>
      </c>
      <c r="I227">
        <f t="shared" si="19"/>
        <v>0</v>
      </c>
      <c r="J227" s="1">
        <f>+SUMIFS('VOLCADO '!H:H,'VOLCADO '!C:C,'Produccion por productor'!A:A,'VOLCADO '!B:B,'Produccion por productor'!B:B,'VOLCADO '!I:I,'Produccion por productor'!C:C,'VOLCADO '!J:J,'Produccion por productor'!E:E)*370</f>
        <v>0</v>
      </c>
      <c r="M227" s="91" t="e">
        <f t="shared" si="18"/>
        <v>#DIV/0!</v>
      </c>
      <c r="N227" s="88" t="e">
        <f t="shared" si="15"/>
        <v>#DIV/0!</v>
      </c>
    </row>
    <row r="228" spans="6:14" x14ac:dyDescent="0.25">
      <c r="F228" s="1"/>
      <c r="G228" s="114">
        <f t="shared" si="16"/>
        <v>0</v>
      </c>
      <c r="H228" s="37">
        <f t="shared" si="17"/>
        <v>0</v>
      </c>
      <c r="I228">
        <f t="shared" si="19"/>
        <v>0</v>
      </c>
      <c r="J228" s="1">
        <f>+SUMIFS('VOLCADO '!H:H,'VOLCADO '!C:C,'Produccion por productor'!A:A,'VOLCADO '!B:B,'Produccion por productor'!B:B,'VOLCADO '!I:I,'Produccion por productor'!C:C,'VOLCADO '!J:J,'Produccion por productor'!E:E)*370</f>
        <v>0</v>
      </c>
      <c r="M228" s="91" t="e">
        <f t="shared" si="18"/>
        <v>#DIV/0!</v>
      </c>
      <c r="N228" s="88" t="e">
        <f t="shared" si="15"/>
        <v>#DIV/0!</v>
      </c>
    </row>
    <row r="229" spans="6:14" x14ac:dyDescent="0.25">
      <c r="F229" s="1"/>
      <c r="G229" s="114">
        <f t="shared" si="16"/>
        <v>0</v>
      </c>
      <c r="H229" s="37">
        <f t="shared" si="17"/>
        <v>0</v>
      </c>
      <c r="I229">
        <f t="shared" si="19"/>
        <v>0</v>
      </c>
      <c r="J229" s="1">
        <f>+SUMIFS('VOLCADO '!H:H,'VOLCADO '!C:C,'Produccion por productor'!A:A,'VOLCADO '!B:B,'Produccion por productor'!B:B,'VOLCADO '!I:I,'Produccion por productor'!C:C,'VOLCADO '!J:J,'Produccion por productor'!E:E)*370</f>
        <v>0</v>
      </c>
      <c r="M229" s="91" t="e">
        <f t="shared" si="18"/>
        <v>#DIV/0!</v>
      </c>
      <c r="N229" s="88" t="e">
        <f t="shared" si="15"/>
        <v>#DIV/0!</v>
      </c>
    </row>
    <row r="230" spans="6:14" x14ac:dyDescent="0.25">
      <c r="F230" s="1"/>
      <c r="G230" s="114">
        <f t="shared" si="16"/>
        <v>0</v>
      </c>
      <c r="H230" s="37">
        <f t="shared" si="17"/>
        <v>0</v>
      </c>
      <c r="I230">
        <f t="shared" si="19"/>
        <v>0</v>
      </c>
      <c r="J230" s="1">
        <f>+SUMIFS('VOLCADO '!H:H,'VOLCADO '!C:C,'Produccion por productor'!A:A,'VOLCADO '!B:B,'Produccion por productor'!B:B,'VOLCADO '!I:I,'Produccion por productor'!C:C,'VOLCADO '!J:J,'Produccion por productor'!E:E)*370</f>
        <v>0</v>
      </c>
      <c r="M230" s="91" t="e">
        <f t="shared" si="18"/>
        <v>#DIV/0!</v>
      </c>
      <c r="N230" s="88" t="e">
        <f t="shared" si="15"/>
        <v>#DIV/0!</v>
      </c>
    </row>
    <row r="231" spans="6:14" x14ac:dyDescent="0.25">
      <c r="F231" s="1"/>
      <c r="G231" s="114">
        <f t="shared" si="16"/>
        <v>0</v>
      </c>
      <c r="H231" s="37">
        <f t="shared" si="17"/>
        <v>0</v>
      </c>
      <c r="I231">
        <f t="shared" si="19"/>
        <v>0</v>
      </c>
      <c r="J231" s="1">
        <f>+SUMIFS('VOLCADO '!H:H,'VOLCADO '!C:C,'Produccion por productor'!A:A,'VOLCADO '!B:B,'Produccion por productor'!B:B,'VOLCADO '!I:I,'Produccion por productor'!C:C,'VOLCADO '!J:J,'Produccion por productor'!E:E)*370</f>
        <v>0</v>
      </c>
      <c r="M231" s="91" t="e">
        <f t="shared" si="18"/>
        <v>#DIV/0!</v>
      </c>
      <c r="N231" s="88" t="e">
        <f t="shared" si="15"/>
        <v>#DIV/0!</v>
      </c>
    </row>
    <row r="232" spans="6:14" x14ac:dyDescent="0.25">
      <c r="F232" s="1"/>
      <c r="G232" s="114">
        <f t="shared" si="16"/>
        <v>0</v>
      </c>
      <c r="H232" s="37">
        <f t="shared" si="17"/>
        <v>0</v>
      </c>
      <c r="I232">
        <f t="shared" si="19"/>
        <v>0</v>
      </c>
      <c r="J232" s="1">
        <f>+SUMIFS('VOLCADO '!H:H,'VOLCADO '!C:C,'Produccion por productor'!A:A,'VOLCADO '!B:B,'Produccion por productor'!B:B,'VOLCADO '!I:I,'Produccion por productor'!C:C,'VOLCADO '!J:J,'Produccion por productor'!E:E)*370</f>
        <v>0</v>
      </c>
      <c r="M232" s="91" t="e">
        <f t="shared" si="18"/>
        <v>#DIV/0!</v>
      </c>
      <c r="N232" s="88" t="e">
        <f t="shared" si="15"/>
        <v>#DIV/0!</v>
      </c>
    </row>
    <row r="233" spans="6:14" x14ac:dyDescent="0.25">
      <c r="F233" s="1"/>
      <c r="G233" s="114">
        <f t="shared" si="16"/>
        <v>0</v>
      </c>
      <c r="H233" s="37">
        <f t="shared" si="17"/>
        <v>0</v>
      </c>
      <c r="I233">
        <f t="shared" si="19"/>
        <v>0</v>
      </c>
      <c r="J233" s="1">
        <f>+SUMIFS('VOLCADO '!H:H,'VOLCADO '!C:C,'Produccion por productor'!A:A,'VOLCADO '!B:B,'Produccion por productor'!B:B,'VOLCADO '!I:I,'Produccion por productor'!C:C,'VOLCADO '!J:J,'Produccion por productor'!E:E)*370</f>
        <v>0</v>
      </c>
      <c r="M233" s="91" t="e">
        <f t="shared" si="18"/>
        <v>#DIV/0!</v>
      </c>
      <c r="N233" s="88" t="e">
        <f t="shared" si="15"/>
        <v>#DIV/0!</v>
      </c>
    </row>
    <row r="234" spans="6:14" x14ac:dyDescent="0.25">
      <c r="F234" s="1"/>
      <c r="G234" s="114">
        <f t="shared" si="16"/>
        <v>0</v>
      </c>
      <c r="H234" s="37">
        <f t="shared" si="17"/>
        <v>0</v>
      </c>
      <c r="I234">
        <f t="shared" si="19"/>
        <v>0</v>
      </c>
      <c r="J234" s="1">
        <f>+SUMIFS('VOLCADO '!H:H,'VOLCADO '!C:C,'Produccion por productor'!A:A,'VOLCADO '!B:B,'Produccion por productor'!B:B,'VOLCADO '!I:I,'Produccion por productor'!C:C,'VOLCADO '!J:J,'Produccion por productor'!E:E)*370</f>
        <v>0</v>
      </c>
      <c r="M234" s="91" t="e">
        <f t="shared" si="18"/>
        <v>#DIV/0!</v>
      </c>
      <c r="N234" s="88" t="e">
        <f t="shared" si="15"/>
        <v>#DIV/0!</v>
      </c>
    </row>
    <row r="235" spans="6:14" x14ac:dyDescent="0.25">
      <c r="F235" s="1"/>
      <c r="G235" s="114">
        <f t="shared" si="16"/>
        <v>0</v>
      </c>
      <c r="H235" s="37">
        <f t="shared" si="17"/>
        <v>0</v>
      </c>
      <c r="I235">
        <f t="shared" si="19"/>
        <v>0</v>
      </c>
      <c r="J235" s="1">
        <f>+SUMIFS('VOLCADO '!H:H,'VOLCADO '!C:C,'Produccion por productor'!A:A,'VOLCADO '!B:B,'Produccion por productor'!B:B,'VOLCADO '!I:I,'Produccion por productor'!C:C,'VOLCADO '!J:J,'Produccion por productor'!E:E)*370</f>
        <v>0</v>
      </c>
      <c r="M235" s="91" t="e">
        <f t="shared" si="18"/>
        <v>#DIV/0!</v>
      </c>
      <c r="N235" s="88" t="e">
        <f t="shared" si="15"/>
        <v>#DIV/0!</v>
      </c>
    </row>
    <row r="236" spans="6:14" x14ac:dyDescent="0.25">
      <c r="F236" s="1"/>
      <c r="G236" s="114">
        <f t="shared" si="16"/>
        <v>0</v>
      </c>
      <c r="H236" s="37">
        <f t="shared" si="17"/>
        <v>0</v>
      </c>
      <c r="I236">
        <f t="shared" si="19"/>
        <v>0</v>
      </c>
      <c r="J236" s="1">
        <f>+SUMIFS('VOLCADO '!H:H,'VOLCADO '!C:C,'Produccion por productor'!A:A,'VOLCADO '!B:B,'Produccion por productor'!B:B,'VOLCADO '!I:I,'Produccion por productor'!C:C,'VOLCADO '!J:J,'Produccion por productor'!E:E)*370</f>
        <v>0</v>
      </c>
      <c r="M236" s="91" t="e">
        <f t="shared" si="18"/>
        <v>#DIV/0!</v>
      </c>
      <c r="N236" s="88" t="e">
        <f t="shared" si="15"/>
        <v>#DIV/0!</v>
      </c>
    </row>
    <row r="237" spans="6:14" x14ac:dyDescent="0.25">
      <c r="F237" s="1"/>
      <c r="G237" s="114">
        <f t="shared" si="16"/>
        <v>0</v>
      </c>
      <c r="H237" s="37">
        <f t="shared" si="17"/>
        <v>0</v>
      </c>
      <c r="I237">
        <f t="shared" si="19"/>
        <v>0</v>
      </c>
      <c r="J237" s="1">
        <f>+SUMIFS('VOLCADO '!H:H,'VOLCADO '!C:C,'Produccion por productor'!A:A,'VOLCADO '!B:B,'Produccion por productor'!B:B,'VOLCADO '!I:I,'Produccion por productor'!C:C,'VOLCADO '!J:J,'Produccion por productor'!E:E)*370</f>
        <v>0</v>
      </c>
      <c r="M237" s="91" t="e">
        <f t="shared" si="18"/>
        <v>#DIV/0!</v>
      </c>
      <c r="N237" s="88" t="e">
        <f t="shared" si="15"/>
        <v>#DIV/0!</v>
      </c>
    </row>
    <row r="238" spans="6:14" x14ac:dyDescent="0.25">
      <c r="F238" s="1"/>
      <c r="G238" s="114">
        <f t="shared" si="16"/>
        <v>0</v>
      </c>
      <c r="H238" s="37">
        <f t="shared" si="17"/>
        <v>0</v>
      </c>
      <c r="I238">
        <f t="shared" si="19"/>
        <v>0</v>
      </c>
      <c r="J238" s="1">
        <f>+SUMIFS('VOLCADO '!H:H,'VOLCADO '!C:C,'Produccion por productor'!A:A,'VOLCADO '!B:B,'Produccion por productor'!B:B,'VOLCADO '!I:I,'Produccion por productor'!C:C,'VOLCADO '!J:J,'Produccion por productor'!E:E)*370</f>
        <v>0</v>
      </c>
      <c r="M238" s="91" t="e">
        <f t="shared" si="18"/>
        <v>#DIV/0!</v>
      </c>
      <c r="N238" s="88" t="e">
        <f t="shared" si="15"/>
        <v>#DIV/0!</v>
      </c>
    </row>
    <row r="239" spans="6:14" x14ac:dyDescent="0.25">
      <c r="F239" s="1"/>
      <c r="G239" s="114">
        <f t="shared" si="16"/>
        <v>0</v>
      </c>
      <c r="H239" s="37">
        <f t="shared" si="17"/>
        <v>0</v>
      </c>
      <c r="I239">
        <f t="shared" si="19"/>
        <v>0</v>
      </c>
      <c r="J239" s="1">
        <f>+SUMIFS('VOLCADO '!H:H,'VOLCADO '!C:C,'Produccion por productor'!A:A,'VOLCADO '!B:B,'Produccion por productor'!B:B,'VOLCADO '!I:I,'Produccion por productor'!C:C,'VOLCADO '!J:J,'Produccion por productor'!E:E)*370</f>
        <v>0</v>
      </c>
      <c r="M239" s="91" t="e">
        <f t="shared" si="18"/>
        <v>#DIV/0!</v>
      </c>
      <c r="N239" s="88" t="e">
        <f t="shared" si="15"/>
        <v>#DIV/0!</v>
      </c>
    </row>
    <row r="240" spans="6:14" x14ac:dyDescent="0.25">
      <c r="F240" s="1"/>
      <c r="G240" s="114">
        <f t="shared" si="16"/>
        <v>0</v>
      </c>
      <c r="H240" s="37">
        <f t="shared" si="17"/>
        <v>0</v>
      </c>
      <c r="I240">
        <f t="shared" si="19"/>
        <v>0</v>
      </c>
      <c r="J240" s="1">
        <f>+SUMIFS('VOLCADO '!H:H,'VOLCADO '!C:C,'Produccion por productor'!A:A,'VOLCADO '!B:B,'Produccion por productor'!B:B,'VOLCADO '!I:I,'Produccion por productor'!C:C,'VOLCADO '!J:J,'Produccion por productor'!E:E)*370</f>
        <v>0</v>
      </c>
      <c r="M240" s="91" t="e">
        <f t="shared" si="18"/>
        <v>#DIV/0!</v>
      </c>
      <c r="N240" s="88" t="e">
        <f t="shared" si="15"/>
        <v>#DIV/0!</v>
      </c>
    </row>
    <row r="241" spans="6:14" x14ac:dyDescent="0.25">
      <c r="F241" s="1"/>
      <c r="G241" s="114">
        <f t="shared" si="16"/>
        <v>0</v>
      </c>
      <c r="H241" s="37">
        <f t="shared" si="17"/>
        <v>0</v>
      </c>
      <c r="I241">
        <f t="shared" si="19"/>
        <v>0</v>
      </c>
      <c r="J241" s="1">
        <f>+SUMIFS('VOLCADO '!H:H,'VOLCADO '!C:C,'Produccion por productor'!A:A,'VOLCADO '!B:B,'Produccion por productor'!B:B,'VOLCADO '!I:I,'Produccion por productor'!C:C,'VOLCADO '!J:J,'Produccion por productor'!E:E)*370</f>
        <v>0</v>
      </c>
      <c r="M241" s="91" t="e">
        <f t="shared" si="18"/>
        <v>#DIV/0!</v>
      </c>
      <c r="N241" s="88" t="e">
        <f t="shared" si="15"/>
        <v>#DIV/0!</v>
      </c>
    </row>
    <row r="242" spans="6:14" x14ac:dyDescent="0.25">
      <c r="F242" s="1"/>
      <c r="G242" s="114">
        <f t="shared" si="16"/>
        <v>0</v>
      </c>
      <c r="H242" s="37">
        <f t="shared" si="17"/>
        <v>0</v>
      </c>
      <c r="I242">
        <f t="shared" si="19"/>
        <v>0</v>
      </c>
      <c r="J242" s="1">
        <f>+SUMIFS('VOLCADO '!H:H,'VOLCADO '!C:C,'Produccion por productor'!A:A,'VOLCADO '!B:B,'Produccion por productor'!B:B,'VOLCADO '!I:I,'Produccion por productor'!C:C,'VOLCADO '!J:J,'Produccion por productor'!E:E)*370</f>
        <v>0</v>
      </c>
      <c r="M242" s="91" t="e">
        <f t="shared" si="18"/>
        <v>#DIV/0!</v>
      </c>
      <c r="N242" s="88" t="e">
        <f t="shared" si="15"/>
        <v>#DIV/0!</v>
      </c>
    </row>
    <row r="243" spans="6:14" x14ac:dyDescent="0.25">
      <c r="F243" s="1"/>
      <c r="G243" s="114">
        <f t="shared" si="16"/>
        <v>0</v>
      </c>
      <c r="H243" s="37">
        <f t="shared" si="17"/>
        <v>0</v>
      </c>
      <c r="I243">
        <f t="shared" si="19"/>
        <v>0</v>
      </c>
      <c r="J243" s="1">
        <f>+SUMIFS('VOLCADO '!H:H,'VOLCADO '!C:C,'Produccion por productor'!A:A,'VOLCADO '!B:B,'Produccion por productor'!B:B,'VOLCADO '!I:I,'Produccion por productor'!C:C,'VOLCADO '!J:J,'Produccion por productor'!E:E)*370</f>
        <v>0</v>
      </c>
      <c r="M243" s="91" t="e">
        <f t="shared" si="18"/>
        <v>#DIV/0!</v>
      </c>
      <c r="N243" s="88" t="e">
        <f t="shared" si="15"/>
        <v>#DIV/0!</v>
      </c>
    </row>
    <row r="244" spans="6:14" x14ac:dyDescent="0.25">
      <c r="F244" s="1"/>
      <c r="G244" s="114">
        <f t="shared" si="16"/>
        <v>0</v>
      </c>
      <c r="H244" s="37">
        <f t="shared" si="17"/>
        <v>0</v>
      </c>
      <c r="I244">
        <f t="shared" si="19"/>
        <v>0</v>
      </c>
      <c r="J244" s="1">
        <f>+SUMIFS('VOLCADO '!H:H,'VOLCADO '!C:C,'Produccion por productor'!A:A,'VOLCADO '!B:B,'Produccion por productor'!B:B,'VOLCADO '!I:I,'Produccion por productor'!C:C,'VOLCADO '!J:J,'Produccion por productor'!E:E)*370</f>
        <v>0</v>
      </c>
      <c r="M244" s="91" t="e">
        <f t="shared" si="18"/>
        <v>#DIV/0!</v>
      </c>
      <c r="N244" s="88" t="e">
        <f t="shared" si="15"/>
        <v>#DIV/0!</v>
      </c>
    </row>
    <row r="245" spans="6:14" x14ac:dyDescent="0.25">
      <c r="F245" s="1"/>
      <c r="G245" s="114">
        <f t="shared" si="16"/>
        <v>0</v>
      </c>
      <c r="H245" s="37">
        <f t="shared" si="17"/>
        <v>0</v>
      </c>
      <c r="I245">
        <f t="shared" si="19"/>
        <v>0</v>
      </c>
      <c r="J245" s="1">
        <f>+SUMIFS('VOLCADO '!H:H,'VOLCADO '!C:C,'Produccion por productor'!A:A,'VOLCADO '!B:B,'Produccion por productor'!B:B,'VOLCADO '!I:I,'Produccion por productor'!C:C,'VOLCADO '!J:J,'Produccion por productor'!E:E)*370</f>
        <v>0</v>
      </c>
      <c r="M245" s="91" t="e">
        <f t="shared" si="18"/>
        <v>#DIV/0!</v>
      </c>
      <c r="N245" s="88" t="e">
        <f t="shared" si="15"/>
        <v>#DIV/0!</v>
      </c>
    </row>
    <row r="246" spans="6:14" x14ac:dyDescent="0.25">
      <c r="F246" s="1"/>
      <c r="G246" s="114">
        <f t="shared" si="16"/>
        <v>0</v>
      </c>
      <c r="H246" s="37">
        <f t="shared" si="17"/>
        <v>0</v>
      </c>
      <c r="I246">
        <f t="shared" si="19"/>
        <v>0</v>
      </c>
      <c r="J246" s="1">
        <f>+SUMIFS('VOLCADO '!H:H,'VOLCADO '!C:C,'Produccion por productor'!A:A,'VOLCADO '!B:B,'Produccion por productor'!B:B,'VOLCADO '!I:I,'Produccion por productor'!C:C,'VOLCADO '!J:J,'Produccion por productor'!E:E)*370</f>
        <v>0</v>
      </c>
      <c r="M246" s="91" t="e">
        <f t="shared" si="18"/>
        <v>#DIV/0!</v>
      </c>
      <c r="N246" s="88" t="e">
        <f t="shared" si="15"/>
        <v>#DIV/0!</v>
      </c>
    </row>
    <row r="247" spans="6:14" x14ac:dyDescent="0.25">
      <c r="F247" s="1"/>
      <c r="G247" s="114">
        <f t="shared" si="16"/>
        <v>0</v>
      </c>
      <c r="H247" s="37">
        <f t="shared" si="17"/>
        <v>0</v>
      </c>
      <c r="I247">
        <f t="shared" si="19"/>
        <v>0</v>
      </c>
      <c r="J247" s="1">
        <f>+SUMIFS('VOLCADO '!H:H,'VOLCADO '!C:C,'Produccion por productor'!A:A,'VOLCADO '!B:B,'Produccion por productor'!B:B,'VOLCADO '!I:I,'Produccion por productor'!C:C,'VOLCADO '!J:J,'Produccion por productor'!E:E)*370</f>
        <v>0</v>
      </c>
      <c r="M247" s="91" t="e">
        <f t="shared" si="18"/>
        <v>#DIV/0!</v>
      </c>
      <c r="N247" s="88" t="e">
        <f t="shared" si="15"/>
        <v>#DIV/0!</v>
      </c>
    </row>
    <row r="248" spans="6:14" x14ac:dyDescent="0.25">
      <c r="F248" s="1"/>
      <c r="G248" s="114">
        <f t="shared" si="16"/>
        <v>0</v>
      </c>
      <c r="H248" s="37">
        <f t="shared" si="17"/>
        <v>0</v>
      </c>
      <c r="I248">
        <f t="shared" si="19"/>
        <v>0</v>
      </c>
      <c r="J248" s="1">
        <f>+SUMIFS('VOLCADO '!H:H,'VOLCADO '!C:C,'Produccion por productor'!A:A,'VOLCADO '!B:B,'Produccion por productor'!B:B,'VOLCADO '!I:I,'Produccion por productor'!C:C,'VOLCADO '!J:J,'Produccion por productor'!E:E)*370</f>
        <v>0</v>
      </c>
      <c r="M248" s="91" t="e">
        <f t="shared" si="18"/>
        <v>#DIV/0!</v>
      </c>
      <c r="N248" s="88" t="e">
        <f t="shared" si="15"/>
        <v>#DIV/0!</v>
      </c>
    </row>
    <row r="249" spans="6:14" x14ac:dyDescent="0.25">
      <c r="F249" s="1"/>
      <c r="G249" s="114">
        <f t="shared" si="16"/>
        <v>0</v>
      </c>
      <c r="H249" s="37">
        <f t="shared" si="17"/>
        <v>0</v>
      </c>
      <c r="I249">
        <f t="shared" si="19"/>
        <v>0</v>
      </c>
      <c r="J249" s="1">
        <f>+SUMIFS('VOLCADO '!H:H,'VOLCADO '!C:C,'Produccion por productor'!A:A,'VOLCADO '!B:B,'Produccion por productor'!B:B,'VOLCADO '!I:I,'Produccion por productor'!C:C,'VOLCADO '!J:J,'Produccion por productor'!E:E)*370</f>
        <v>0</v>
      </c>
      <c r="M249" s="91" t="e">
        <f t="shared" si="18"/>
        <v>#DIV/0!</v>
      </c>
      <c r="N249" s="88" t="e">
        <f t="shared" si="15"/>
        <v>#DIV/0!</v>
      </c>
    </row>
    <row r="250" spans="6:14" x14ac:dyDescent="0.25">
      <c r="F250" s="1"/>
      <c r="G250" s="114">
        <f t="shared" si="16"/>
        <v>0</v>
      </c>
      <c r="H250" s="37">
        <f t="shared" si="17"/>
        <v>0</v>
      </c>
      <c r="I250">
        <f t="shared" si="19"/>
        <v>0</v>
      </c>
      <c r="J250" s="1">
        <f>+SUMIFS('VOLCADO '!H:H,'VOLCADO '!C:C,'Produccion por productor'!A:A,'VOLCADO '!B:B,'Produccion por productor'!B:B,'VOLCADO '!I:I,'Produccion por productor'!C:C,'VOLCADO '!J:J,'Produccion por productor'!E:E)*370</f>
        <v>0</v>
      </c>
      <c r="M250" s="91" t="e">
        <f t="shared" si="18"/>
        <v>#DIV/0!</v>
      </c>
      <c r="N250" s="88" t="e">
        <f t="shared" si="15"/>
        <v>#DIV/0!</v>
      </c>
    </row>
    <row r="251" spans="6:14" x14ac:dyDescent="0.25">
      <c r="F251" s="1"/>
      <c r="G251" s="114">
        <f t="shared" si="16"/>
        <v>0</v>
      </c>
      <c r="H251" s="37">
        <f t="shared" si="17"/>
        <v>0</v>
      </c>
      <c r="I251">
        <f t="shared" si="19"/>
        <v>0</v>
      </c>
      <c r="J251" s="1">
        <f>+SUMIFS('VOLCADO '!H:H,'VOLCADO '!C:C,'Produccion por productor'!A:A,'VOLCADO '!B:B,'Produccion por productor'!B:B,'VOLCADO '!I:I,'Produccion por productor'!C:C,'VOLCADO '!J:J,'Produccion por productor'!E:E)*370</f>
        <v>0</v>
      </c>
      <c r="M251" s="91" t="e">
        <f t="shared" si="18"/>
        <v>#DIV/0!</v>
      </c>
      <c r="N251" s="88" t="e">
        <f t="shared" si="15"/>
        <v>#DIV/0!</v>
      </c>
    </row>
    <row r="252" spans="6:14" x14ac:dyDescent="0.25">
      <c r="F252" s="1"/>
      <c r="G252" s="114">
        <f t="shared" si="16"/>
        <v>0</v>
      </c>
      <c r="H252" s="37">
        <f t="shared" si="17"/>
        <v>0</v>
      </c>
      <c r="I252">
        <f t="shared" si="19"/>
        <v>0</v>
      </c>
      <c r="J252" s="1">
        <f>+SUMIFS('VOLCADO '!H:H,'VOLCADO '!C:C,'Produccion por productor'!A:A,'VOLCADO '!B:B,'Produccion por productor'!B:B,'VOLCADO '!I:I,'Produccion por productor'!C:C,'VOLCADO '!J:J,'Produccion por productor'!E:E)*370</f>
        <v>0</v>
      </c>
      <c r="M252" s="91" t="e">
        <f t="shared" si="18"/>
        <v>#DIV/0!</v>
      </c>
      <c r="N252" s="88" t="e">
        <f t="shared" si="15"/>
        <v>#DIV/0!</v>
      </c>
    </row>
    <row r="253" spans="6:14" x14ac:dyDescent="0.25">
      <c r="F253" s="1"/>
      <c r="G253" s="114">
        <f t="shared" si="16"/>
        <v>0</v>
      </c>
      <c r="H253" s="37">
        <f t="shared" si="17"/>
        <v>0</v>
      </c>
      <c r="I253">
        <f t="shared" si="19"/>
        <v>0</v>
      </c>
      <c r="J253" s="1">
        <f>+SUMIFS('VOLCADO '!H:H,'VOLCADO '!C:C,'Produccion por productor'!A:A,'VOLCADO '!B:B,'Produccion por productor'!B:B,'VOLCADO '!I:I,'Produccion por productor'!C:C,'VOLCADO '!J:J,'Produccion por productor'!E:E)*370</f>
        <v>0</v>
      </c>
      <c r="M253" s="91" t="e">
        <f t="shared" si="18"/>
        <v>#DIV/0!</v>
      </c>
      <c r="N253" s="88" t="e">
        <f t="shared" si="15"/>
        <v>#DIV/0!</v>
      </c>
    </row>
    <row r="254" spans="6:14" x14ac:dyDescent="0.25">
      <c r="F254" s="1"/>
      <c r="G254" s="114">
        <f t="shared" si="16"/>
        <v>0</v>
      </c>
      <c r="H254" s="37">
        <f t="shared" si="17"/>
        <v>0</v>
      </c>
      <c r="I254">
        <f t="shared" si="19"/>
        <v>0</v>
      </c>
      <c r="J254" s="1">
        <f>+SUMIFS('VOLCADO '!H:H,'VOLCADO '!C:C,'Produccion por productor'!A:A,'VOLCADO '!B:B,'Produccion por productor'!B:B,'VOLCADO '!I:I,'Produccion por productor'!C:C,'VOLCADO '!J:J,'Produccion por productor'!E:E)*370</f>
        <v>0</v>
      </c>
      <c r="M254" s="91" t="e">
        <f t="shared" si="18"/>
        <v>#DIV/0!</v>
      </c>
      <c r="N254" s="88" t="e">
        <f t="shared" si="15"/>
        <v>#DIV/0!</v>
      </c>
    </row>
    <row r="255" spans="6:14" x14ac:dyDescent="0.25">
      <c r="F255" s="1"/>
      <c r="G255" s="114">
        <f t="shared" si="16"/>
        <v>0</v>
      </c>
      <c r="H255" s="37">
        <f t="shared" si="17"/>
        <v>0</v>
      </c>
      <c r="I255">
        <f t="shared" si="19"/>
        <v>0</v>
      </c>
      <c r="J255" s="1">
        <f>+SUMIFS('VOLCADO '!H:H,'VOLCADO '!C:C,'Produccion por productor'!A:A,'VOLCADO '!B:B,'Produccion por productor'!B:B,'VOLCADO '!I:I,'Produccion por productor'!C:C,'VOLCADO '!J:J,'Produccion por productor'!E:E)*370</f>
        <v>0</v>
      </c>
      <c r="M255" s="91" t="e">
        <f t="shared" si="18"/>
        <v>#DIV/0!</v>
      </c>
      <c r="N255" s="88" t="e">
        <f t="shared" si="15"/>
        <v>#DIV/0!</v>
      </c>
    </row>
    <row r="256" spans="6:14" x14ac:dyDescent="0.25">
      <c r="F256" s="1"/>
      <c r="G256" s="114">
        <f t="shared" si="16"/>
        <v>0</v>
      </c>
      <c r="H256" s="37">
        <f t="shared" si="17"/>
        <v>0</v>
      </c>
      <c r="I256">
        <f t="shared" si="19"/>
        <v>0</v>
      </c>
      <c r="J256" s="1">
        <f>+SUMIFS('VOLCADO '!H:H,'VOLCADO '!C:C,'Produccion por productor'!A:A,'VOLCADO '!B:B,'Produccion por productor'!B:B,'VOLCADO '!I:I,'Produccion por productor'!C:C,'VOLCADO '!J:J,'Produccion por productor'!E:E)*370</f>
        <v>0</v>
      </c>
      <c r="M256" s="91" t="e">
        <f t="shared" si="18"/>
        <v>#DIV/0!</v>
      </c>
      <c r="N256" s="88" t="e">
        <f t="shared" si="15"/>
        <v>#DIV/0!</v>
      </c>
    </row>
    <row r="257" spans="6:14" x14ac:dyDescent="0.25">
      <c r="F257" s="1"/>
      <c r="G257" s="114">
        <f t="shared" si="16"/>
        <v>0</v>
      </c>
      <c r="H257" s="37">
        <f t="shared" si="17"/>
        <v>0</v>
      </c>
      <c r="I257">
        <f t="shared" si="19"/>
        <v>0</v>
      </c>
      <c r="J257" s="1">
        <f>+SUMIFS('VOLCADO '!H:H,'VOLCADO '!C:C,'Produccion por productor'!A:A,'VOLCADO '!B:B,'Produccion por productor'!B:B,'VOLCADO '!I:I,'Produccion por productor'!C:C,'VOLCADO '!J:J,'Produccion por productor'!E:E)*370</f>
        <v>0</v>
      </c>
      <c r="M257" s="91" t="e">
        <f t="shared" si="18"/>
        <v>#DIV/0!</v>
      </c>
      <c r="N257" s="88" t="e">
        <f t="shared" ref="N257:N320" si="20">+((F257+I257)/J257)*100</f>
        <v>#DIV/0!</v>
      </c>
    </row>
    <row r="258" spans="6:14" x14ac:dyDescent="0.25">
      <c r="F258" s="1"/>
      <c r="G258" s="114">
        <f t="shared" ref="G258:G321" si="21">+F258+I258</f>
        <v>0</v>
      </c>
      <c r="H258" s="37">
        <f t="shared" ref="H258:H321" si="22">+(F258*0.05)+F258</f>
        <v>0</v>
      </c>
      <c r="I258">
        <f t="shared" si="19"/>
        <v>0</v>
      </c>
      <c r="J258" s="1">
        <f>+SUMIFS('VOLCADO '!H:H,'VOLCADO '!C:C,'Produccion por productor'!A:A,'VOLCADO '!B:B,'Produccion por productor'!B:B,'VOLCADO '!I:I,'Produccion por productor'!C:C,'VOLCADO '!J:J,'Produccion por productor'!E:E)*370</f>
        <v>0</v>
      </c>
      <c r="M258" s="91" t="e">
        <f t="shared" si="18"/>
        <v>#DIV/0!</v>
      </c>
      <c r="N258" s="88" t="e">
        <f t="shared" si="20"/>
        <v>#DIV/0!</v>
      </c>
    </row>
    <row r="259" spans="6:14" x14ac:dyDescent="0.25">
      <c r="F259" s="1"/>
      <c r="G259" s="114">
        <f t="shared" si="21"/>
        <v>0</v>
      </c>
      <c r="H259" s="37">
        <f t="shared" si="22"/>
        <v>0</v>
      </c>
      <c r="I259">
        <f t="shared" si="19"/>
        <v>0</v>
      </c>
      <c r="J259" s="1">
        <f>+SUMIFS('VOLCADO '!H:H,'VOLCADO '!C:C,'Produccion por productor'!A:A,'VOLCADO '!B:B,'Produccion por productor'!B:B,'VOLCADO '!I:I,'Produccion por productor'!C:C,'VOLCADO '!J:J,'Produccion por productor'!E:E)*370</f>
        <v>0</v>
      </c>
      <c r="M259" s="91" t="e">
        <f t="shared" ref="M259:M322" si="23">+((H259+I259)/J259)*100</f>
        <v>#DIV/0!</v>
      </c>
      <c r="N259" s="88" t="e">
        <f t="shared" si="20"/>
        <v>#DIV/0!</v>
      </c>
    </row>
    <row r="260" spans="6:14" x14ac:dyDescent="0.25">
      <c r="F260" s="1"/>
      <c r="G260" s="114">
        <f t="shared" si="21"/>
        <v>0</v>
      </c>
      <c r="H260" s="37">
        <f t="shared" si="22"/>
        <v>0</v>
      </c>
      <c r="I260">
        <f t="shared" si="19"/>
        <v>0</v>
      </c>
      <c r="J260" s="1">
        <f>+SUMIFS('VOLCADO '!H:H,'VOLCADO '!C:C,'Produccion por productor'!A:A,'VOLCADO '!B:B,'Produccion por productor'!B:B,'VOLCADO '!I:I,'Produccion por productor'!C:C,'VOLCADO '!J:J,'Produccion por productor'!E:E)*370</f>
        <v>0</v>
      </c>
      <c r="M260" s="91" t="e">
        <f t="shared" si="23"/>
        <v>#DIV/0!</v>
      </c>
      <c r="N260" s="88" t="e">
        <f t="shared" si="20"/>
        <v>#DIV/0!</v>
      </c>
    </row>
    <row r="261" spans="6:14" x14ac:dyDescent="0.25">
      <c r="F261" s="1"/>
      <c r="G261" s="114">
        <f t="shared" si="21"/>
        <v>0</v>
      </c>
      <c r="H261" s="37">
        <f t="shared" si="22"/>
        <v>0</v>
      </c>
      <c r="I261">
        <f t="shared" si="19"/>
        <v>0</v>
      </c>
      <c r="J261" s="1">
        <f>+SUMIFS('VOLCADO '!H:H,'VOLCADO '!C:C,'Produccion por productor'!A:A,'VOLCADO '!B:B,'Produccion por productor'!B:B,'VOLCADO '!I:I,'Produccion por productor'!C:C,'VOLCADO '!J:J,'Produccion por productor'!E:E)*370</f>
        <v>0</v>
      </c>
      <c r="M261" s="91" t="e">
        <f t="shared" si="23"/>
        <v>#DIV/0!</v>
      </c>
      <c r="N261" s="88" t="e">
        <f t="shared" si="20"/>
        <v>#DIV/0!</v>
      </c>
    </row>
    <row r="262" spans="6:14" x14ac:dyDescent="0.25">
      <c r="F262" s="1"/>
      <c r="G262" s="114">
        <f t="shared" si="21"/>
        <v>0</v>
      </c>
      <c r="H262" s="37">
        <f t="shared" si="22"/>
        <v>0</v>
      </c>
      <c r="I262">
        <f t="shared" si="19"/>
        <v>0</v>
      </c>
      <c r="J262" s="1">
        <f>+SUMIFS('VOLCADO '!H:H,'VOLCADO '!C:C,'Produccion por productor'!A:A,'VOLCADO '!B:B,'Produccion por productor'!B:B,'VOLCADO '!I:I,'Produccion por productor'!C:C,'VOLCADO '!J:J,'Produccion por productor'!E:E)*370</f>
        <v>0</v>
      </c>
      <c r="M262" s="91" t="e">
        <f t="shared" si="23"/>
        <v>#DIV/0!</v>
      </c>
      <c r="N262" s="88" t="e">
        <f t="shared" si="20"/>
        <v>#DIV/0!</v>
      </c>
    </row>
    <row r="263" spans="6:14" x14ac:dyDescent="0.25">
      <c r="F263" s="1"/>
      <c r="G263" s="114">
        <f t="shared" si="21"/>
        <v>0</v>
      </c>
      <c r="H263" s="37">
        <f t="shared" si="22"/>
        <v>0</v>
      </c>
      <c r="I263">
        <f t="shared" si="19"/>
        <v>0</v>
      </c>
      <c r="J263" s="1">
        <f>+SUMIFS('VOLCADO '!H:H,'VOLCADO '!C:C,'Produccion por productor'!A:A,'VOLCADO '!B:B,'Produccion por productor'!B:B,'VOLCADO '!I:I,'Produccion por productor'!C:C,'VOLCADO '!J:J,'Produccion por productor'!E:E)*370</f>
        <v>0</v>
      </c>
      <c r="M263" s="91" t="e">
        <f t="shared" si="23"/>
        <v>#DIV/0!</v>
      </c>
      <c r="N263" s="88" t="e">
        <f t="shared" si="20"/>
        <v>#DIV/0!</v>
      </c>
    </row>
    <row r="264" spans="6:14" x14ac:dyDescent="0.25">
      <c r="F264" s="1"/>
      <c r="G264" s="114">
        <f t="shared" si="21"/>
        <v>0</v>
      </c>
      <c r="H264" s="37">
        <f t="shared" si="22"/>
        <v>0</v>
      </c>
      <c r="I264">
        <f t="shared" si="19"/>
        <v>0</v>
      </c>
      <c r="J264" s="1">
        <f>+SUMIFS('VOLCADO '!H:H,'VOLCADO '!C:C,'Produccion por productor'!A:A,'VOLCADO '!B:B,'Produccion por productor'!B:B,'VOLCADO '!I:I,'Produccion por productor'!C:C,'VOLCADO '!J:J,'Produccion por productor'!E:E)*370</f>
        <v>0</v>
      </c>
      <c r="M264" s="91" t="e">
        <f t="shared" si="23"/>
        <v>#DIV/0!</v>
      </c>
      <c r="N264" s="88" t="e">
        <f t="shared" si="20"/>
        <v>#DIV/0!</v>
      </c>
    </row>
    <row r="265" spans="6:14" x14ac:dyDescent="0.25">
      <c r="F265" s="1"/>
      <c r="G265" s="114">
        <f t="shared" si="21"/>
        <v>0</v>
      </c>
      <c r="H265" s="37">
        <f t="shared" si="22"/>
        <v>0</v>
      </c>
      <c r="I265">
        <f t="shared" si="19"/>
        <v>0</v>
      </c>
      <c r="J265" s="1">
        <f>+SUMIFS('VOLCADO '!H:H,'VOLCADO '!C:C,'Produccion por productor'!A:A,'VOLCADO '!B:B,'Produccion por productor'!B:B,'VOLCADO '!I:I,'Produccion por productor'!C:C,'VOLCADO '!J:J,'Produccion por productor'!E:E)*370</f>
        <v>0</v>
      </c>
      <c r="M265" s="91" t="e">
        <f t="shared" si="23"/>
        <v>#DIV/0!</v>
      </c>
      <c r="N265" s="88" t="e">
        <f t="shared" si="20"/>
        <v>#DIV/0!</v>
      </c>
    </row>
    <row r="266" spans="6:14" x14ac:dyDescent="0.25">
      <c r="F266" s="1"/>
      <c r="G266" s="114">
        <f t="shared" si="21"/>
        <v>0</v>
      </c>
      <c r="H266" s="37">
        <f t="shared" si="22"/>
        <v>0</v>
      </c>
      <c r="I266">
        <f t="shared" si="19"/>
        <v>0</v>
      </c>
      <c r="J266" s="1">
        <f>+SUMIFS('VOLCADO '!H:H,'VOLCADO '!C:C,'Produccion por productor'!A:A,'VOLCADO '!B:B,'Produccion por productor'!B:B,'VOLCADO '!I:I,'Produccion por productor'!C:C,'VOLCADO '!J:J,'Produccion por productor'!E:E)*370</f>
        <v>0</v>
      </c>
      <c r="M266" s="91" t="e">
        <f t="shared" si="23"/>
        <v>#DIV/0!</v>
      </c>
      <c r="N266" s="88" t="e">
        <f t="shared" si="20"/>
        <v>#DIV/0!</v>
      </c>
    </row>
    <row r="267" spans="6:14" x14ac:dyDescent="0.25">
      <c r="F267" s="1"/>
      <c r="G267" s="114">
        <f t="shared" si="21"/>
        <v>0</v>
      </c>
      <c r="H267" s="37">
        <f t="shared" si="22"/>
        <v>0</v>
      </c>
      <c r="I267">
        <f t="shared" si="19"/>
        <v>0</v>
      </c>
      <c r="J267" s="1">
        <f>+SUMIFS('VOLCADO '!H:H,'VOLCADO '!C:C,'Produccion por productor'!A:A,'VOLCADO '!B:B,'Produccion por productor'!B:B,'VOLCADO '!I:I,'Produccion por productor'!C:C,'VOLCADO '!J:J,'Produccion por productor'!E:E)*370</f>
        <v>0</v>
      </c>
      <c r="M267" s="91" t="e">
        <f t="shared" si="23"/>
        <v>#DIV/0!</v>
      </c>
      <c r="N267" s="88" t="e">
        <f t="shared" si="20"/>
        <v>#DIV/0!</v>
      </c>
    </row>
    <row r="268" spans="6:14" x14ac:dyDescent="0.25">
      <c r="F268" s="1"/>
      <c r="G268" s="114">
        <f t="shared" si="21"/>
        <v>0</v>
      </c>
      <c r="H268" s="37">
        <f t="shared" si="22"/>
        <v>0</v>
      </c>
      <c r="I268">
        <f t="shared" si="19"/>
        <v>0</v>
      </c>
      <c r="J268" s="1">
        <f>+SUMIFS('VOLCADO '!H:H,'VOLCADO '!C:C,'Produccion por productor'!A:A,'VOLCADO '!B:B,'Produccion por productor'!B:B,'VOLCADO '!I:I,'Produccion por productor'!C:C,'VOLCADO '!J:J,'Produccion por productor'!E:E)*370</f>
        <v>0</v>
      </c>
      <c r="M268" s="91" t="e">
        <f t="shared" si="23"/>
        <v>#DIV/0!</v>
      </c>
      <c r="N268" s="88" t="e">
        <f t="shared" si="20"/>
        <v>#DIV/0!</v>
      </c>
    </row>
    <row r="269" spans="6:14" x14ac:dyDescent="0.25">
      <c r="F269" s="1"/>
      <c r="G269" s="114">
        <f t="shared" si="21"/>
        <v>0</v>
      </c>
      <c r="H269" s="37">
        <f t="shared" si="22"/>
        <v>0</v>
      </c>
      <c r="I269">
        <f t="shared" si="19"/>
        <v>0</v>
      </c>
      <c r="J269" s="1">
        <f>+SUMIFS('VOLCADO '!H:H,'VOLCADO '!C:C,'Produccion por productor'!A:A,'VOLCADO '!B:B,'Produccion por productor'!B:B,'VOLCADO '!I:I,'Produccion por productor'!C:C,'VOLCADO '!J:J,'Produccion por productor'!E:E)*370</f>
        <v>0</v>
      </c>
      <c r="M269" s="91" t="e">
        <f t="shared" si="23"/>
        <v>#DIV/0!</v>
      </c>
      <c r="N269" s="88" t="e">
        <f t="shared" si="20"/>
        <v>#DIV/0!</v>
      </c>
    </row>
    <row r="270" spans="6:14" x14ac:dyDescent="0.25">
      <c r="F270" s="1"/>
      <c r="G270" s="114">
        <f t="shared" si="21"/>
        <v>0</v>
      </c>
      <c r="H270" s="37">
        <f t="shared" si="22"/>
        <v>0</v>
      </c>
      <c r="I270">
        <f t="shared" ref="I270:I333" si="24">+L270-K270</f>
        <v>0</v>
      </c>
      <c r="J270" s="1">
        <f>+SUMIFS('VOLCADO '!H:H,'VOLCADO '!C:C,'Produccion por productor'!A:A,'VOLCADO '!B:B,'Produccion por productor'!B:B,'VOLCADO '!I:I,'Produccion por productor'!C:C,'VOLCADO '!J:J,'Produccion por productor'!E:E)*370</f>
        <v>0</v>
      </c>
      <c r="M270" s="91" t="e">
        <f t="shared" si="23"/>
        <v>#DIV/0!</v>
      </c>
      <c r="N270" s="88" t="e">
        <f t="shared" si="20"/>
        <v>#DIV/0!</v>
      </c>
    </row>
    <row r="271" spans="6:14" x14ac:dyDescent="0.25">
      <c r="F271" s="1"/>
      <c r="G271" s="114">
        <f t="shared" si="21"/>
        <v>0</v>
      </c>
      <c r="H271" s="37">
        <f t="shared" si="22"/>
        <v>0</v>
      </c>
      <c r="I271">
        <f t="shared" si="24"/>
        <v>0</v>
      </c>
      <c r="J271" s="1">
        <f>+SUMIFS('VOLCADO '!H:H,'VOLCADO '!C:C,'Produccion por productor'!A:A,'VOLCADO '!B:B,'Produccion por productor'!B:B,'VOLCADO '!I:I,'Produccion por productor'!C:C,'VOLCADO '!J:J,'Produccion por productor'!E:E)*370</f>
        <v>0</v>
      </c>
      <c r="M271" s="91" t="e">
        <f t="shared" si="23"/>
        <v>#DIV/0!</v>
      </c>
      <c r="N271" s="88" t="e">
        <f t="shared" si="20"/>
        <v>#DIV/0!</v>
      </c>
    </row>
    <row r="272" spans="6:14" x14ac:dyDescent="0.25">
      <c r="F272" s="1"/>
      <c r="G272" s="114">
        <f t="shared" si="21"/>
        <v>0</v>
      </c>
      <c r="H272" s="37">
        <f t="shared" si="22"/>
        <v>0</v>
      </c>
      <c r="I272">
        <f t="shared" si="24"/>
        <v>0</v>
      </c>
      <c r="J272" s="1">
        <f>+SUMIFS('VOLCADO '!H:H,'VOLCADO '!C:C,'Produccion por productor'!A:A,'VOLCADO '!B:B,'Produccion por productor'!B:B,'VOLCADO '!I:I,'Produccion por productor'!C:C,'VOLCADO '!J:J,'Produccion por productor'!E:E)*370</f>
        <v>0</v>
      </c>
      <c r="M272" s="91" t="e">
        <f t="shared" si="23"/>
        <v>#DIV/0!</v>
      </c>
      <c r="N272" s="88" t="e">
        <f t="shared" si="20"/>
        <v>#DIV/0!</v>
      </c>
    </row>
    <row r="273" spans="6:14" x14ac:dyDescent="0.25">
      <c r="F273" s="1"/>
      <c r="G273" s="114">
        <f t="shared" si="21"/>
        <v>0</v>
      </c>
      <c r="H273" s="37">
        <f t="shared" si="22"/>
        <v>0</v>
      </c>
      <c r="I273">
        <f t="shared" si="24"/>
        <v>0</v>
      </c>
      <c r="J273" s="1">
        <f>+SUMIFS('VOLCADO '!H:H,'VOLCADO '!C:C,'Produccion por productor'!A:A,'VOLCADO '!B:B,'Produccion por productor'!B:B,'VOLCADO '!I:I,'Produccion por productor'!C:C,'VOLCADO '!J:J,'Produccion por productor'!E:E)*370</f>
        <v>0</v>
      </c>
      <c r="M273" s="91" t="e">
        <f t="shared" si="23"/>
        <v>#DIV/0!</v>
      </c>
      <c r="N273" s="88" t="e">
        <f t="shared" si="20"/>
        <v>#DIV/0!</v>
      </c>
    </row>
    <row r="274" spans="6:14" x14ac:dyDescent="0.25">
      <c r="F274" s="1"/>
      <c r="G274" s="114">
        <f t="shared" si="21"/>
        <v>0</v>
      </c>
      <c r="H274" s="37">
        <f t="shared" si="22"/>
        <v>0</v>
      </c>
      <c r="I274">
        <f t="shared" si="24"/>
        <v>0</v>
      </c>
      <c r="J274" s="1">
        <f>+SUMIFS('VOLCADO '!H:H,'VOLCADO '!C:C,'Produccion por productor'!A:A,'VOLCADO '!B:B,'Produccion por productor'!B:B,'VOLCADO '!I:I,'Produccion por productor'!C:C,'VOLCADO '!J:J,'Produccion por productor'!E:E)*370</f>
        <v>0</v>
      </c>
      <c r="M274" s="91" t="e">
        <f t="shared" si="23"/>
        <v>#DIV/0!</v>
      </c>
      <c r="N274" s="88" t="e">
        <f t="shared" si="20"/>
        <v>#DIV/0!</v>
      </c>
    </row>
    <row r="275" spans="6:14" x14ac:dyDescent="0.25">
      <c r="F275" s="1"/>
      <c r="G275" s="114">
        <f t="shared" si="21"/>
        <v>0</v>
      </c>
      <c r="H275" s="37">
        <f t="shared" si="22"/>
        <v>0</v>
      </c>
      <c r="I275">
        <f t="shared" si="24"/>
        <v>0</v>
      </c>
      <c r="J275" s="1">
        <f>+SUMIFS('VOLCADO '!H:H,'VOLCADO '!C:C,'Produccion por productor'!A:A,'VOLCADO '!B:B,'Produccion por productor'!B:B,'VOLCADO '!I:I,'Produccion por productor'!C:C,'VOLCADO '!J:J,'Produccion por productor'!E:E)*370</f>
        <v>0</v>
      </c>
      <c r="M275" s="91" t="e">
        <f t="shared" si="23"/>
        <v>#DIV/0!</v>
      </c>
      <c r="N275" s="88" t="e">
        <f t="shared" si="20"/>
        <v>#DIV/0!</v>
      </c>
    </row>
    <row r="276" spans="6:14" x14ac:dyDescent="0.25">
      <c r="F276" s="1"/>
      <c r="G276" s="114">
        <f t="shared" si="21"/>
        <v>0</v>
      </c>
      <c r="H276" s="37">
        <f t="shared" si="22"/>
        <v>0</v>
      </c>
      <c r="I276">
        <f t="shared" si="24"/>
        <v>0</v>
      </c>
      <c r="J276" s="1">
        <f>+SUMIFS('VOLCADO '!H:H,'VOLCADO '!C:C,'Produccion por productor'!A:A,'VOLCADO '!B:B,'Produccion por productor'!B:B,'VOLCADO '!I:I,'Produccion por productor'!C:C,'VOLCADO '!J:J,'Produccion por productor'!E:E)*370</f>
        <v>0</v>
      </c>
      <c r="M276" s="91" t="e">
        <f t="shared" si="23"/>
        <v>#DIV/0!</v>
      </c>
      <c r="N276" s="88" t="e">
        <f t="shared" si="20"/>
        <v>#DIV/0!</v>
      </c>
    </row>
    <row r="277" spans="6:14" x14ac:dyDescent="0.25">
      <c r="F277" s="1"/>
      <c r="G277" s="114">
        <f t="shared" si="21"/>
        <v>0</v>
      </c>
      <c r="H277" s="37">
        <f t="shared" si="22"/>
        <v>0</v>
      </c>
      <c r="I277">
        <f t="shared" si="24"/>
        <v>0</v>
      </c>
      <c r="J277" s="1">
        <f>+SUMIFS('VOLCADO '!H:H,'VOLCADO '!C:C,'Produccion por productor'!A:A,'VOLCADO '!B:B,'Produccion por productor'!B:B,'VOLCADO '!I:I,'Produccion por productor'!C:C,'VOLCADO '!J:J,'Produccion por productor'!E:E)*370</f>
        <v>0</v>
      </c>
      <c r="M277" s="91" t="e">
        <f t="shared" si="23"/>
        <v>#DIV/0!</v>
      </c>
      <c r="N277" s="88" t="e">
        <f t="shared" si="20"/>
        <v>#DIV/0!</v>
      </c>
    </row>
    <row r="278" spans="6:14" x14ac:dyDescent="0.25">
      <c r="F278" s="1"/>
      <c r="G278" s="114">
        <f t="shared" si="21"/>
        <v>0</v>
      </c>
      <c r="H278" s="37">
        <f t="shared" si="22"/>
        <v>0</v>
      </c>
      <c r="I278">
        <f t="shared" si="24"/>
        <v>0</v>
      </c>
      <c r="J278" s="1">
        <f>+SUMIFS('VOLCADO '!H:H,'VOLCADO '!C:C,'Produccion por productor'!A:A,'VOLCADO '!B:B,'Produccion por productor'!B:B,'VOLCADO '!I:I,'Produccion por productor'!C:C,'VOLCADO '!J:J,'Produccion por productor'!E:E)*370</f>
        <v>0</v>
      </c>
      <c r="M278" s="91" t="e">
        <f t="shared" si="23"/>
        <v>#DIV/0!</v>
      </c>
      <c r="N278" s="88" t="e">
        <f t="shared" si="20"/>
        <v>#DIV/0!</v>
      </c>
    </row>
    <row r="279" spans="6:14" x14ac:dyDescent="0.25">
      <c r="F279" s="1"/>
      <c r="G279" s="114">
        <f t="shared" si="21"/>
        <v>0</v>
      </c>
      <c r="H279" s="37">
        <f t="shared" si="22"/>
        <v>0</v>
      </c>
      <c r="I279">
        <f t="shared" si="24"/>
        <v>0</v>
      </c>
      <c r="J279" s="1">
        <f>+SUMIFS('VOLCADO '!H:H,'VOLCADO '!C:C,'Produccion por productor'!A:A,'VOLCADO '!B:B,'Produccion por productor'!B:B,'VOLCADO '!I:I,'Produccion por productor'!C:C,'VOLCADO '!J:J,'Produccion por productor'!E:E)*370</f>
        <v>0</v>
      </c>
      <c r="M279" s="91" t="e">
        <f t="shared" si="23"/>
        <v>#DIV/0!</v>
      </c>
      <c r="N279" s="88" t="e">
        <f t="shared" si="20"/>
        <v>#DIV/0!</v>
      </c>
    </row>
    <row r="280" spans="6:14" x14ac:dyDescent="0.25">
      <c r="F280" s="1"/>
      <c r="G280" s="114">
        <f t="shared" si="21"/>
        <v>0</v>
      </c>
      <c r="H280" s="37">
        <f t="shared" si="22"/>
        <v>0</v>
      </c>
      <c r="I280">
        <f t="shared" si="24"/>
        <v>0</v>
      </c>
      <c r="J280" s="1">
        <f>+SUMIFS('VOLCADO '!H:H,'VOLCADO '!C:C,'Produccion por productor'!A:A,'VOLCADO '!B:B,'Produccion por productor'!B:B,'VOLCADO '!I:I,'Produccion por productor'!C:C,'VOLCADO '!J:J,'Produccion por productor'!E:E)*370</f>
        <v>0</v>
      </c>
      <c r="M280" s="91" t="e">
        <f t="shared" si="23"/>
        <v>#DIV/0!</v>
      </c>
      <c r="N280" s="88" t="e">
        <f t="shared" si="20"/>
        <v>#DIV/0!</v>
      </c>
    </row>
    <row r="281" spans="6:14" x14ac:dyDescent="0.25">
      <c r="F281" s="1"/>
      <c r="G281" s="114">
        <f t="shared" si="21"/>
        <v>0</v>
      </c>
      <c r="H281" s="37">
        <f t="shared" si="22"/>
        <v>0</v>
      </c>
      <c r="I281">
        <f t="shared" si="24"/>
        <v>0</v>
      </c>
      <c r="J281" s="1">
        <f>+SUMIFS('VOLCADO '!H:H,'VOLCADO '!C:C,'Produccion por productor'!A:A,'VOLCADO '!B:B,'Produccion por productor'!B:B,'VOLCADO '!I:I,'Produccion por productor'!C:C,'VOLCADO '!J:J,'Produccion por productor'!E:E)*370</f>
        <v>0</v>
      </c>
      <c r="M281" s="91" t="e">
        <f t="shared" si="23"/>
        <v>#DIV/0!</v>
      </c>
      <c r="N281" s="88" t="e">
        <f t="shared" si="20"/>
        <v>#DIV/0!</v>
      </c>
    </row>
    <row r="282" spans="6:14" x14ac:dyDescent="0.25">
      <c r="F282" s="1"/>
      <c r="G282" s="114">
        <f t="shared" si="21"/>
        <v>0</v>
      </c>
      <c r="H282" s="37">
        <f t="shared" si="22"/>
        <v>0</v>
      </c>
      <c r="I282">
        <f t="shared" si="24"/>
        <v>0</v>
      </c>
      <c r="J282" s="1">
        <f>+SUMIFS('VOLCADO '!H:H,'VOLCADO '!C:C,'Produccion por productor'!A:A,'VOLCADO '!B:B,'Produccion por productor'!B:B,'VOLCADO '!I:I,'Produccion por productor'!C:C,'VOLCADO '!J:J,'Produccion por productor'!E:E)*370</f>
        <v>0</v>
      </c>
      <c r="M282" s="91" t="e">
        <f t="shared" si="23"/>
        <v>#DIV/0!</v>
      </c>
      <c r="N282" s="88" t="e">
        <f t="shared" si="20"/>
        <v>#DIV/0!</v>
      </c>
    </row>
    <row r="283" spans="6:14" x14ac:dyDescent="0.25">
      <c r="F283" s="1"/>
      <c r="G283" s="114">
        <f t="shared" si="21"/>
        <v>0</v>
      </c>
      <c r="H283" s="37">
        <f t="shared" si="22"/>
        <v>0</v>
      </c>
      <c r="I283">
        <f t="shared" si="24"/>
        <v>0</v>
      </c>
      <c r="J283" s="1">
        <f>+SUMIFS('VOLCADO '!H:H,'VOLCADO '!C:C,'Produccion por productor'!A:A,'VOLCADO '!B:B,'Produccion por productor'!B:B,'VOLCADO '!I:I,'Produccion por productor'!C:C,'VOLCADO '!J:J,'Produccion por productor'!E:E)*370</f>
        <v>0</v>
      </c>
      <c r="M283" s="91" t="e">
        <f t="shared" si="23"/>
        <v>#DIV/0!</v>
      </c>
      <c r="N283" s="88" t="e">
        <f t="shared" si="20"/>
        <v>#DIV/0!</v>
      </c>
    </row>
    <row r="284" spans="6:14" x14ac:dyDescent="0.25">
      <c r="F284" s="1"/>
      <c r="G284" s="114">
        <f t="shared" si="21"/>
        <v>0</v>
      </c>
      <c r="H284" s="37">
        <f t="shared" si="22"/>
        <v>0</v>
      </c>
      <c r="I284">
        <f t="shared" si="24"/>
        <v>0</v>
      </c>
      <c r="J284" s="1">
        <f>+SUMIFS('VOLCADO '!H:H,'VOLCADO '!C:C,'Produccion por productor'!A:A,'VOLCADO '!B:B,'Produccion por productor'!B:B,'VOLCADO '!I:I,'Produccion por productor'!C:C,'VOLCADO '!J:J,'Produccion por productor'!E:E)*370</f>
        <v>0</v>
      </c>
      <c r="M284" s="91" t="e">
        <f t="shared" si="23"/>
        <v>#DIV/0!</v>
      </c>
      <c r="N284" s="88" t="e">
        <f t="shared" si="20"/>
        <v>#DIV/0!</v>
      </c>
    </row>
    <row r="285" spans="6:14" x14ac:dyDescent="0.25">
      <c r="F285" s="1"/>
      <c r="G285" s="114">
        <f t="shared" si="21"/>
        <v>0</v>
      </c>
      <c r="H285" s="37">
        <f t="shared" si="22"/>
        <v>0</v>
      </c>
      <c r="I285">
        <f t="shared" si="24"/>
        <v>0</v>
      </c>
      <c r="J285" s="1">
        <f>+SUMIFS('VOLCADO '!H:H,'VOLCADO '!C:C,'Produccion por productor'!A:A,'VOLCADO '!B:B,'Produccion por productor'!B:B,'VOLCADO '!I:I,'Produccion por productor'!C:C,'VOLCADO '!J:J,'Produccion por productor'!E:E)*370</f>
        <v>0</v>
      </c>
      <c r="M285" s="91" t="e">
        <f t="shared" si="23"/>
        <v>#DIV/0!</v>
      </c>
      <c r="N285" s="88" t="e">
        <f t="shared" si="20"/>
        <v>#DIV/0!</v>
      </c>
    </row>
    <row r="286" spans="6:14" x14ac:dyDescent="0.25">
      <c r="F286" s="1"/>
      <c r="G286" s="114">
        <f t="shared" si="21"/>
        <v>0</v>
      </c>
      <c r="H286" s="37">
        <f t="shared" si="22"/>
        <v>0</v>
      </c>
      <c r="I286">
        <f t="shared" si="24"/>
        <v>0</v>
      </c>
      <c r="J286" s="1">
        <f>+SUMIFS('VOLCADO '!H:H,'VOLCADO '!C:C,'Produccion por productor'!A:A,'VOLCADO '!B:B,'Produccion por productor'!B:B,'VOLCADO '!I:I,'Produccion por productor'!C:C,'VOLCADO '!J:J,'Produccion por productor'!E:E)*370</f>
        <v>0</v>
      </c>
      <c r="M286" s="91" t="e">
        <f t="shared" si="23"/>
        <v>#DIV/0!</v>
      </c>
      <c r="N286" s="88" t="e">
        <f t="shared" si="20"/>
        <v>#DIV/0!</v>
      </c>
    </row>
    <row r="287" spans="6:14" x14ac:dyDescent="0.25">
      <c r="F287" s="1"/>
      <c r="G287" s="114">
        <f t="shared" si="21"/>
        <v>0</v>
      </c>
      <c r="H287" s="37">
        <f t="shared" si="22"/>
        <v>0</v>
      </c>
      <c r="I287">
        <f t="shared" si="24"/>
        <v>0</v>
      </c>
      <c r="J287" s="1">
        <f>+SUMIFS('VOLCADO '!H:H,'VOLCADO '!C:C,'Produccion por productor'!A:A,'VOLCADO '!B:B,'Produccion por productor'!B:B,'VOLCADO '!I:I,'Produccion por productor'!C:C,'VOLCADO '!J:J,'Produccion por productor'!E:E)*370</f>
        <v>0</v>
      </c>
      <c r="M287" s="91" t="e">
        <f t="shared" si="23"/>
        <v>#DIV/0!</v>
      </c>
      <c r="N287" s="88" t="e">
        <f t="shared" si="20"/>
        <v>#DIV/0!</v>
      </c>
    </row>
    <row r="288" spans="6:14" x14ac:dyDescent="0.25">
      <c r="F288" s="1"/>
      <c r="G288" s="114">
        <f t="shared" si="21"/>
        <v>0</v>
      </c>
      <c r="H288" s="37">
        <f t="shared" si="22"/>
        <v>0</v>
      </c>
      <c r="I288">
        <f t="shared" si="24"/>
        <v>0</v>
      </c>
      <c r="J288" s="1">
        <f>+SUMIFS('VOLCADO '!H:H,'VOLCADO '!C:C,'Produccion por productor'!A:A,'VOLCADO '!B:B,'Produccion por productor'!B:B,'VOLCADO '!I:I,'Produccion por productor'!C:C,'VOLCADO '!J:J,'Produccion por productor'!E:E)*370</f>
        <v>0</v>
      </c>
      <c r="M288" s="91" t="e">
        <f t="shared" si="23"/>
        <v>#DIV/0!</v>
      </c>
      <c r="N288" s="88" t="e">
        <f t="shared" si="20"/>
        <v>#DIV/0!</v>
      </c>
    </row>
    <row r="289" spans="6:14" x14ac:dyDescent="0.25">
      <c r="F289" s="1"/>
      <c r="G289" s="114">
        <f t="shared" si="21"/>
        <v>0</v>
      </c>
      <c r="H289" s="37">
        <f t="shared" si="22"/>
        <v>0</v>
      </c>
      <c r="I289">
        <f t="shared" si="24"/>
        <v>0</v>
      </c>
      <c r="J289" s="1">
        <f>+SUMIFS('VOLCADO '!H:H,'VOLCADO '!C:C,'Produccion por productor'!A:A,'VOLCADO '!B:B,'Produccion por productor'!B:B,'VOLCADO '!I:I,'Produccion por productor'!C:C,'VOLCADO '!J:J,'Produccion por productor'!E:E)*370</f>
        <v>0</v>
      </c>
      <c r="M289" s="91" t="e">
        <f t="shared" si="23"/>
        <v>#DIV/0!</v>
      </c>
      <c r="N289" s="88" t="e">
        <f t="shared" si="20"/>
        <v>#DIV/0!</v>
      </c>
    </row>
    <row r="290" spans="6:14" x14ac:dyDescent="0.25">
      <c r="F290" s="1"/>
      <c r="G290" s="114">
        <f t="shared" si="21"/>
        <v>0</v>
      </c>
      <c r="H290" s="37">
        <f t="shared" si="22"/>
        <v>0</v>
      </c>
      <c r="I290">
        <f t="shared" si="24"/>
        <v>0</v>
      </c>
      <c r="J290" s="1">
        <f>+SUMIFS('VOLCADO '!H:H,'VOLCADO '!C:C,'Produccion por productor'!A:A,'VOLCADO '!B:B,'Produccion por productor'!B:B,'VOLCADO '!I:I,'Produccion por productor'!C:C,'VOLCADO '!J:J,'Produccion por productor'!E:E)*370</f>
        <v>0</v>
      </c>
      <c r="M290" s="91" t="e">
        <f t="shared" si="23"/>
        <v>#DIV/0!</v>
      </c>
      <c r="N290" s="88" t="e">
        <f t="shared" si="20"/>
        <v>#DIV/0!</v>
      </c>
    </row>
    <row r="291" spans="6:14" x14ac:dyDescent="0.25">
      <c r="F291" s="1"/>
      <c r="G291" s="114">
        <f t="shared" si="21"/>
        <v>0</v>
      </c>
      <c r="H291" s="37">
        <f t="shared" si="22"/>
        <v>0</v>
      </c>
      <c r="I291">
        <f t="shared" si="24"/>
        <v>0</v>
      </c>
      <c r="J291" s="1">
        <f>+SUMIFS('VOLCADO '!H:H,'VOLCADO '!C:C,'Produccion por productor'!A:A,'VOLCADO '!B:B,'Produccion por productor'!B:B,'VOLCADO '!I:I,'Produccion por productor'!C:C,'VOLCADO '!J:J,'Produccion por productor'!E:E)*370</f>
        <v>0</v>
      </c>
      <c r="M291" s="91" t="e">
        <f t="shared" si="23"/>
        <v>#DIV/0!</v>
      </c>
      <c r="N291" s="88" t="e">
        <f t="shared" si="20"/>
        <v>#DIV/0!</v>
      </c>
    </row>
    <row r="292" spans="6:14" x14ac:dyDescent="0.25">
      <c r="F292" s="1"/>
      <c r="G292" s="114">
        <f t="shared" si="21"/>
        <v>0</v>
      </c>
      <c r="H292" s="37">
        <f t="shared" si="22"/>
        <v>0</v>
      </c>
      <c r="I292">
        <f t="shared" si="24"/>
        <v>0</v>
      </c>
      <c r="J292" s="1">
        <f>+SUMIFS('VOLCADO '!H:H,'VOLCADO '!C:C,'Produccion por productor'!A:A,'VOLCADO '!B:B,'Produccion por productor'!B:B,'VOLCADO '!I:I,'Produccion por productor'!C:C,'VOLCADO '!J:J,'Produccion por productor'!E:E)*370</f>
        <v>0</v>
      </c>
      <c r="M292" s="91" t="e">
        <f t="shared" si="23"/>
        <v>#DIV/0!</v>
      </c>
      <c r="N292" s="88" t="e">
        <f t="shared" si="20"/>
        <v>#DIV/0!</v>
      </c>
    </row>
    <row r="293" spans="6:14" x14ac:dyDescent="0.25">
      <c r="F293" s="1"/>
      <c r="G293" s="114">
        <f t="shared" si="21"/>
        <v>0</v>
      </c>
      <c r="H293" s="37">
        <f t="shared" si="22"/>
        <v>0</v>
      </c>
      <c r="I293">
        <f t="shared" si="24"/>
        <v>0</v>
      </c>
      <c r="J293" s="1">
        <f>+SUMIFS('VOLCADO '!H:H,'VOLCADO '!C:C,'Produccion por productor'!A:A,'VOLCADO '!B:B,'Produccion por productor'!B:B,'VOLCADO '!I:I,'Produccion por productor'!C:C,'VOLCADO '!J:J,'Produccion por productor'!E:E)*370</f>
        <v>0</v>
      </c>
      <c r="M293" s="91" t="e">
        <f t="shared" si="23"/>
        <v>#DIV/0!</v>
      </c>
      <c r="N293" s="88" t="e">
        <f t="shared" si="20"/>
        <v>#DIV/0!</v>
      </c>
    </row>
    <row r="294" spans="6:14" x14ac:dyDescent="0.25">
      <c r="F294" s="1"/>
      <c r="G294" s="114">
        <f t="shared" si="21"/>
        <v>0</v>
      </c>
      <c r="H294" s="37">
        <f t="shared" si="22"/>
        <v>0</v>
      </c>
      <c r="I294">
        <f t="shared" si="24"/>
        <v>0</v>
      </c>
      <c r="J294" s="1">
        <f>+SUMIFS('VOLCADO '!H:H,'VOLCADO '!C:C,'Produccion por productor'!A:A,'VOLCADO '!B:B,'Produccion por productor'!B:B,'VOLCADO '!I:I,'Produccion por productor'!C:C,'VOLCADO '!J:J,'Produccion por productor'!E:E)*370</f>
        <v>0</v>
      </c>
      <c r="M294" s="91" t="e">
        <f t="shared" si="23"/>
        <v>#DIV/0!</v>
      </c>
      <c r="N294" s="88" t="e">
        <f t="shared" si="20"/>
        <v>#DIV/0!</v>
      </c>
    </row>
    <row r="295" spans="6:14" x14ac:dyDescent="0.25">
      <c r="F295" s="1"/>
      <c r="G295" s="114">
        <f t="shared" si="21"/>
        <v>0</v>
      </c>
      <c r="H295" s="37">
        <f t="shared" si="22"/>
        <v>0</v>
      </c>
      <c r="I295">
        <f t="shared" si="24"/>
        <v>0</v>
      </c>
      <c r="J295" s="1">
        <f>+SUMIFS('VOLCADO '!H:H,'VOLCADO '!C:C,'Produccion por productor'!A:A,'VOLCADO '!B:B,'Produccion por productor'!B:B,'VOLCADO '!I:I,'Produccion por productor'!C:C,'VOLCADO '!J:J,'Produccion por productor'!E:E)*370</f>
        <v>0</v>
      </c>
      <c r="M295" s="91" t="e">
        <f t="shared" si="23"/>
        <v>#DIV/0!</v>
      </c>
      <c r="N295" s="88" t="e">
        <f t="shared" si="20"/>
        <v>#DIV/0!</v>
      </c>
    </row>
    <row r="296" spans="6:14" x14ac:dyDescent="0.25">
      <c r="F296" s="1"/>
      <c r="G296" s="114">
        <f t="shared" si="21"/>
        <v>0</v>
      </c>
      <c r="H296" s="37">
        <f t="shared" si="22"/>
        <v>0</v>
      </c>
      <c r="I296">
        <f t="shared" si="24"/>
        <v>0</v>
      </c>
      <c r="J296" s="1">
        <f>+SUMIFS('VOLCADO '!H:H,'VOLCADO '!C:C,'Produccion por productor'!A:A,'VOLCADO '!B:B,'Produccion por productor'!B:B,'VOLCADO '!I:I,'Produccion por productor'!C:C,'VOLCADO '!J:J,'Produccion por productor'!E:E)*370</f>
        <v>0</v>
      </c>
      <c r="M296" s="91" t="e">
        <f t="shared" si="23"/>
        <v>#DIV/0!</v>
      </c>
      <c r="N296" s="88" t="e">
        <f t="shared" si="20"/>
        <v>#DIV/0!</v>
      </c>
    </row>
    <row r="297" spans="6:14" x14ac:dyDescent="0.25">
      <c r="F297" s="1"/>
      <c r="G297" s="114">
        <f t="shared" si="21"/>
        <v>0</v>
      </c>
      <c r="H297" s="37">
        <f t="shared" si="22"/>
        <v>0</v>
      </c>
      <c r="I297">
        <f t="shared" si="24"/>
        <v>0</v>
      </c>
      <c r="J297" s="1">
        <f>+SUMIFS('VOLCADO '!H:H,'VOLCADO '!C:C,'Produccion por productor'!A:A,'VOLCADO '!B:B,'Produccion por productor'!B:B,'VOLCADO '!I:I,'Produccion por productor'!C:C,'VOLCADO '!J:J,'Produccion por productor'!E:E)*370</f>
        <v>0</v>
      </c>
      <c r="M297" s="91" t="e">
        <f t="shared" si="23"/>
        <v>#DIV/0!</v>
      </c>
      <c r="N297" s="88" t="e">
        <f t="shared" si="20"/>
        <v>#DIV/0!</v>
      </c>
    </row>
    <row r="298" spans="6:14" x14ac:dyDescent="0.25">
      <c r="F298" s="1"/>
      <c r="G298" s="114">
        <f t="shared" si="21"/>
        <v>0</v>
      </c>
      <c r="H298" s="37">
        <f t="shared" si="22"/>
        <v>0</v>
      </c>
      <c r="I298">
        <f t="shared" si="24"/>
        <v>0</v>
      </c>
      <c r="J298" s="1">
        <f>+SUMIFS('VOLCADO '!H:H,'VOLCADO '!C:C,'Produccion por productor'!A:A,'VOLCADO '!B:B,'Produccion por productor'!B:B,'VOLCADO '!I:I,'Produccion por productor'!C:C,'VOLCADO '!J:J,'Produccion por productor'!E:E)*370</f>
        <v>0</v>
      </c>
      <c r="M298" s="91" t="e">
        <f t="shared" si="23"/>
        <v>#DIV/0!</v>
      </c>
      <c r="N298" s="88" t="e">
        <f t="shared" si="20"/>
        <v>#DIV/0!</v>
      </c>
    </row>
    <row r="299" spans="6:14" x14ac:dyDescent="0.25">
      <c r="F299" s="1"/>
      <c r="G299" s="114">
        <f t="shared" si="21"/>
        <v>0</v>
      </c>
      <c r="H299" s="37">
        <f t="shared" si="22"/>
        <v>0</v>
      </c>
      <c r="I299">
        <f t="shared" si="24"/>
        <v>0</v>
      </c>
      <c r="J299" s="1">
        <f>+SUMIFS('VOLCADO '!H:H,'VOLCADO '!C:C,'Produccion por productor'!A:A,'VOLCADO '!B:B,'Produccion por productor'!B:B,'VOLCADO '!I:I,'Produccion por productor'!C:C,'VOLCADO '!J:J,'Produccion por productor'!E:E)*370</f>
        <v>0</v>
      </c>
      <c r="M299" s="91" t="e">
        <f t="shared" si="23"/>
        <v>#DIV/0!</v>
      </c>
      <c r="N299" s="88" t="e">
        <f t="shared" si="20"/>
        <v>#DIV/0!</v>
      </c>
    </row>
    <row r="300" spans="6:14" x14ac:dyDescent="0.25">
      <c r="F300" s="1"/>
      <c r="G300" s="114">
        <f t="shared" si="21"/>
        <v>0</v>
      </c>
      <c r="H300" s="37">
        <f t="shared" si="22"/>
        <v>0</v>
      </c>
      <c r="I300">
        <f t="shared" si="24"/>
        <v>0</v>
      </c>
      <c r="J300" s="1">
        <f>+SUMIFS('VOLCADO '!H:H,'VOLCADO '!C:C,'Produccion por productor'!A:A,'VOLCADO '!B:B,'Produccion por productor'!B:B,'VOLCADO '!I:I,'Produccion por productor'!C:C,'VOLCADO '!J:J,'Produccion por productor'!E:E)*370</f>
        <v>0</v>
      </c>
      <c r="M300" s="91" t="e">
        <f t="shared" si="23"/>
        <v>#DIV/0!</v>
      </c>
      <c r="N300" s="88" t="e">
        <f t="shared" si="20"/>
        <v>#DIV/0!</v>
      </c>
    </row>
    <row r="301" spans="6:14" x14ac:dyDescent="0.25">
      <c r="F301" s="1"/>
      <c r="G301" s="114">
        <f t="shared" si="21"/>
        <v>0</v>
      </c>
      <c r="H301" s="37">
        <f t="shared" si="22"/>
        <v>0</v>
      </c>
      <c r="I301">
        <f t="shared" si="24"/>
        <v>0</v>
      </c>
      <c r="J301" s="1">
        <f>+SUMIFS('VOLCADO '!H:H,'VOLCADO '!C:C,'Produccion por productor'!A:A,'VOLCADO '!B:B,'Produccion por productor'!B:B,'VOLCADO '!I:I,'Produccion por productor'!C:C,'VOLCADO '!J:J,'Produccion por productor'!E:E)*370</f>
        <v>0</v>
      </c>
      <c r="M301" s="91" t="e">
        <f t="shared" si="23"/>
        <v>#DIV/0!</v>
      </c>
      <c r="N301" s="88" t="e">
        <f t="shared" si="20"/>
        <v>#DIV/0!</v>
      </c>
    </row>
    <row r="302" spans="6:14" x14ac:dyDescent="0.25">
      <c r="F302" s="1"/>
      <c r="G302" s="114">
        <f t="shared" si="21"/>
        <v>0</v>
      </c>
      <c r="H302" s="37">
        <f t="shared" si="22"/>
        <v>0</v>
      </c>
      <c r="I302">
        <f t="shared" si="24"/>
        <v>0</v>
      </c>
      <c r="J302" s="1">
        <f>+SUMIFS('VOLCADO '!H:H,'VOLCADO '!C:C,'Produccion por productor'!A:A,'VOLCADO '!B:B,'Produccion por productor'!B:B,'VOLCADO '!I:I,'Produccion por productor'!C:C,'VOLCADO '!J:J,'Produccion por productor'!E:E)*370</f>
        <v>0</v>
      </c>
      <c r="M302" s="91" t="e">
        <f t="shared" si="23"/>
        <v>#DIV/0!</v>
      </c>
      <c r="N302" s="88" t="e">
        <f t="shared" si="20"/>
        <v>#DIV/0!</v>
      </c>
    </row>
    <row r="303" spans="6:14" x14ac:dyDescent="0.25">
      <c r="F303" s="1"/>
      <c r="G303" s="114">
        <f t="shared" si="21"/>
        <v>0</v>
      </c>
      <c r="H303" s="37">
        <f t="shared" si="22"/>
        <v>0</v>
      </c>
      <c r="I303">
        <f t="shared" si="24"/>
        <v>0</v>
      </c>
      <c r="J303" s="1">
        <f>+SUMIFS('VOLCADO '!H:H,'VOLCADO '!C:C,'Produccion por productor'!A:A,'VOLCADO '!B:B,'Produccion por productor'!B:B,'VOLCADO '!I:I,'Produccion por productor'!C:C,'VOLCADO '!J:J,'Produccion por productor'!E:E)*370</f>
        <v>0</v>
      </c>
      <c r="M303" s="91" t="e">
        <f t="shared" si="23"/>
        <v>#DIV/0!</v>
      </c>
      <c r="N303" s="88" t="e">
        <f t="shared" si="20"/>
        <v>#DIV/0!</v>
      </c>
    </row>
    <row r="304" spans="6:14" x14ac:dyDescent="0.25">
      <c r="F304" s="1"/>
      <c r="G304" s="114">
        <f t="shared" si="21"/>
        <v>0</v>
      </c>
      <c r="H304" s="37">
        <f t="shared" si="22"/>
        <v>0</v>
      </c>
      <c r="I304">
        <f t="shared" si="24"/>
        <v>0</v>
      </c>
      <c r="J304" s="1">
        <f>+SUMIFS('VOLCADO '!H:H,'VOLCADO '!C:C,'Produccion por productor'!A:A,'VOLCADO '!B:B,'Produccion por productor'!B:B,'VOLCADO '!I:I,'Produccion por productor'!C:C,'VOLCADO '!J:J,'Produccion por productor'!E:E)*370</f>
        <v>0</v>
      </c>
      <c r="M304" s="91" t="e">
        <f t="shared" si="23"/>
        <v>#DIV/0!</v>
      </c>
      <c r="N304" s="88" t="e">
        <f t="shared" si="20"/>
        <v>#DIV/0!</v>
      </c>
    </row>
    <row r="305" spans="6:14" x14ac:dyDescent="0.25">
      <c r="F305" s="1"/>
      <c r="G305" s="114">
        <f t="shared" si="21"/>
        <v>0</v>
      </c>
      <c r="H305" s="37">
        <f t="shared" si="22"/>
        <v>0</v>
      </c>
      <c r="I305">
        <f t="shared" si="24"/>
        <v>0</v>
      </c>
      <c r="J305" s="1">
        <f>+SUMIFS('VOLCADO '!H:H,'VOLCADO '!C:C,'Produccion por productor'!A:A,'VOLCADO '!B:B,'Produccion por productor'!B:B,'VOLCADO '!I:I,'Produccion por productor'!C:C,'VOLCADO '!J:J,'Produccion por productor'!E:E)*370</f>
        <v>0</v>
      </c>
      <c r="M305" s="91" t="e">
        <f t="shared" si="23"/>
        <v>#DIV/0!</v>
      </c>
      <c r="N305" s="88" t="e">
        <f t="shared" si="20"/>
        <v>#DIV/0!</v>
      </c>
    </row>
    <row r="306" spans="6:14" x14ac:dyDescent="0.25">
      <c r="F306" s="1"/>
      <c r="G306" s="114">
        <f t="shared" si="21"/>
        <v>0</v>
      </c>
      <c r="H306" s="37">
        <f t="shared" si="22"/>
        <v>0</v>
      </c>
      <c r="I306">
        <f t="shared" si="24"/>
        <v>0</v>
      </c>
      <c r="J306" s="1">
        <f>+SUMIFS('VOLCADO '!H:H,'VOLCADO '!C:C,'Produccion por productor'!A:A,'VOLCADO '!B:B,'Produccion por productor'!B:B,'VOLCADO '!I:I,'Produccion por productor'!C:C,'VOLCADO '!J:J,'Produccion por productor'!E:E)*370</f>
        <v>0</v>
      </c>
      <c r="M306" s="91" t="e">
        <f t="shared" si="23"/>
        <v>#DIV/0!</v>
      </c>
      <c r="N306" s="88" t="e">
        <f t="shared" si="20"/>
        <v>#DIV/0!</v>
      </c>
    </row>
    <row r="307" spans="6:14" x14ac:dyDescent="0.25">
      <c r="F307" s="1"/>
      <c r="G307" s="114">
        <f t="shared" si="21"/>
        <v>0</v>
      </c>
      <c r="H307" s="37">
        <f t="shared" si="22"/>
        <v>0</v>
      </c>
      <c r="I307">
        <f t="shared" si="24"/>
        <v>0</v>
      </c>
      <c r="J307" s="1">
        <f>+SUMIFS('VOLCADO '!H:H,'VOLCADO '!C:C,'Produccion por productor'!A:A,'VOLCADO '!B:B,'Produccion por productor'!B:B,'VOLCADO '!I:I,'Produccion por productor'!C:C,'VOLCADO '!J:J,'Produccion por productor'!E:E)*370</f>
        <v>0</v>
      </c>
      <c r="M307" s="91" t="e">
        <f t="shared" si="23"/>
        <v>#DIV/0!</v>
      </c>
      <c r="N307" s="88" t="e">
        <f t="shared" si="20"/>
        <v>#DIV/0!</v>
      </c>
    </row>
    <row r="308" spans="6:14" x14ac:dyDescent="0.25">
      <c r="F308" s="1"/>
      <c r="G308" s="114">
        <f t="shared" si="21"/>
        <v>0</v>
      </c>
      <c r="H308" s="37">
        <f t="shared" si="22"/>
        <v>0</v>
      </c>
      <c r="I308">
        <f t="shared" si="24"/>
        <v>0</v>
      </c>
      <c r="J308" s="1">
        <f>+SUMIFS('VOLCADO '!H:H,'VOLCADO '!C:C,'Produccion por productor'!A:A,'VOLCADO '!B:B,'Produccion por productor'!B:B,'VOLCADO '!I:I,'Produccion por productor'!C:C,'VOLCADO '!J:J,'Produccion por productor'!E:E)*370</f>
        <v>0</v>
      </c>
      <c r="M308" s="91" t="e">
        <f t="shared" si="23"/>
        <v>#DIV/0!</v>
      </c>
      <c r="N308" s="88" t="e">
        <f t="shared" si="20"/>
        <v>#DIV/0!</v>
      </c>
    </row>
    <row r="309" spans="6:14" x14ac:dyDescent="0.25">
      <c r="F309" s="1"/>
      <c r="G309" s="114">
        <f t="shared" si="21"/>
        <v>0</v>
      </c>
      <c r="H309" s="37">
        <f t="shared" si="22"/>
        <v>0</v>
      </c>
      <c r="I309">
        <f t="shared" si="24"/>
        <v>0</v>
      </c>
      <c r="J309" s="1">
        <f>+SUMIFS('VOLCADO '!H:H,'VOLCADO '!C:C,'Produccion por productor'!A:A,'VOLCADO '!B:B,'Produccion por productor'!B:B,'VOLCADO '!I:I,'Produccion por productor'!C:C,'VOLCADO '!J:J,'Produccion por productor'!E:E)*370</f>
        <v>0</v>
      </c>
      <c r="M309" s="91" t="e">
        <f t="shared" si="23"/>
        <v>#DIV/0!</v>
      </c>
      <c r="N309" s="88" t="e">
        <f t="shared" si="20"/>
        <v>#DIV/0!</v>
      </c>
    </row>
    <row r="310" spans="6:14" x14ac:dyDescent="0.25">
      <c r="F310" s="1"/>
      <c r="G310" s="114">
        <f t="shared" si="21"/>
        <v>0</v>
      </c>
      <c r="H310" s="37">
        <f t="shared" si="22"/>
        <v>0</v>
      </c>
      <c r="I310">
        <f t="shared" si="24"/>
        <v>0</v>
      </c>
      <c r="J310" s="1">
        <f>+SUMIFS('VOLCADO '!H:H,'VOLCADO '!C:C,'Produccion por productor'!A:A,'VOLCADO '!B:B,'Produccion por productor'!B:B,'VOLCADO '!I:I,'Produccion por productor'!C:C,'VOLCADO '!J:J,'Produccion por productor'!E:E)*370</f>
        <v>0</v>
      </c>
      <c r="M310" s="91" t="e">
        <f t="shared" si="23"/>
        <v>#DIV/0!</v>
      </c>
      <c r="N310" s="88" t="e">
        <f t="shared" si="20"/>
        <v>#DIV/0!</v>
      </c>
    </row>
    <row r="311" spans="6:14" x14ac:dyDescent="0.25">
      <c r="F311" s="1"/>
      <c r="G311" s="114">
        <f t="shared" si="21"/>
        <v>0</v>
      </c>
      <c r="H311" s="37">
        <f t="shared" si="22"/>
        <v>0</v>
      </c>
      <c r="I311">
        <f t="shared" si="24"/>
        <v>0</v>
      </c>
      <c r="J311" s="1">
        <f>+SUMIFS('VOLCADO '!H:H,'VOLCADO '!C:C,'Produccion por productor'!A:A,'VOLCADO '!B:B,'Produccion por productor'!B:B,'VOLCADO '!I:I,'Produccion por productor'!C:C,'VOLCADO '!J:J,'Produccion por productor'!E:E)*370</f>
        <v>0</v>
      </c>
      <c r="M311" s="91" t="e">
        <f t="shared" si="23"/>
        <v>#DIV/0!</v>
      </c>
      <c r="N311" s="88" t="e">
        <f t="shared" si="20"/>
        <v>#DIV/0!</v>
      </c>
    </row>
    <row r="312" spans="6:14" x14ac:dyDescent="0.25">
      <c r="F312" s="1"/>
      <c r="G312" s="114">
        <f t="shared" si="21"/>
        <v>0</v>
      </c>
      <c r="H312" s="37">
        <f t="shared" si="22"/>
        <v>0</v>
      </c>
      <c r="I312">
        <f t="shared" si="24"/>
        <v>0</v>
      </c>
      <c r="J312" s="1">
        <f>+SUMIFS('VOLCADO '!H:H,'VOLCADO '!C:C,'Produccion por productor'!A:A,'VOLCADO '!B:B,'Produccion por productor'!B:B,'VOLCADO '!I:I,'Produccion por productor'!C:C,'VOLCADO '!J:J,'Produccion por productor'!E:E)*370</f>
        <v>0</v>
      </c>
      <c r="M312" s="91" t="e">
        <f t="shared" si="23"/>
        <v>#DIV/0!</v>
      </c>
      <c r="N312" s="88" t="e">
        <f t="shared" si="20"/>
        <v>#DIV/0!</v>
      </c>
    </row>
    <row r="313" spans="6:14" x14ac:dyDescent="0.25">
      <c r="F313" s="1"/>
      <c r="G313" s="114">
        <f t="shared" si="21"/>
        <v>0</v>
      </c>
      <c r="H313" s="37">
        <f t="shared" si="22"/>
        <v>0</v>
      </c>
      <c r="I313">
        <f t="shared" si="24"/>
        <v>0</v>
      </c>
      <c r="J313" s="1">
        <f>+SUMIFS('VOLCADO '!H:H,'VOLCADO '!C:C,'Produccion por productor'!A:A,'VOLCADO '!B:B,'Produccion por productor'!B:B,'VOLCADO '!I:I,'Produccion por productor'!C:C,'VOLCADO '!J:J,'Produccion por productor'!E:E)*370</f>
        <v>0</v>
      </c>
      <c r="M313" s="91" t="e">
        <f t="shared" si="23"/>
        <v>#DIV/0!</v>
      </c>
      <c r="N313" s="88" t="e">
        <f t="shared" si="20"/>
        <v>#DIV/0!</v>
      </c>
    </row>
    <row r="314" spans="6:14" x14ac:dyDescent="0.25">
      <c r="F314" s="1"/>
      <c r="G314" s="114">
        <f t="shared" si="21"/>
        <v>0</v>
      </c>
      <c r="H314" s="37">
        <f t="shared" si="22"/>
        <v>0</v>
      </c>
      <c r="I314">
        <f t="shared" si="24"/>
        <v>0</v>
      </c>
      <c r="J314" s="1">
        <f>+SUMIFS('VOLCADO '!H:H,'VOLCADO '!C:C,'Produccion por productor'!A:A,'VOLCADO '!B:B,'Produccion por productor'!B:B,'VOLCADO '!I:I,'Produccion por productor'!C:C,'VOLCADO '!J:J,'Produccion por productor'!E:E)*370</f>
        <v>0</v>
      </c>
      <c r="M314" s="91" t="e">
        <f t="shared" si="23"/>
        <v>#DIV/0!</v>
      </c>
      <c r="N314" s="88" t="e">
        <f t="shared" si="20"/>
        <v>#DIV/0!</v>
      </c>
    </row>
    <row r="315" spans="6:14" x14ac:dyDescent="0.25">
      <c r="F315" s="1"/>
      <c r="G315" s="114">
        <f t="shared" si="21"/>
        <v>0</v>
      </c>
      <c r="H315" s="37">
        <f t="shared" si="22"/>
        <v>0</v>
      </c>
      <c r="I315">
        <f t="shared" si="24"/>
        <v>0</v>
      </c>
      <c r="J315" s="1">
        <f>+SUMIFS('VOLCADO '!H:H,'VOLCADO '!C:C,'Produccion por productor'!A:A,'VOLCADO '!B:B,'Produccion por productor'!B:B,'VOLCADO '!I:I,'Produccion por productor'!C:C,'VOLCADO '!J:J,'Produccion por productor'!E:E)*370</f>
        <v>0</v>
      </c>
      <c r="M315" s="91" t="e">
        <f t="shared" si="23"/>
        <v>#DIV/0!</v>
      </c>
      <c r="N315" s="88" t="e">
        <f t="shared" si="20"/>
        <v>#DIV/0!</v>
      </c>
    </row>
    <row r="316" spans="6:14" x14ac:dyDescent="0.25">
      <c r="F316" s="1"/>
      <c r="G316" s="114">
        <f t="shared" si="21"/>
        <v>0</v>
      </c>
      <c r="H316" s="37">
        <f t="shared" si="22"/>
        <v>0</v>
      </c>
      <c r="I316">
        <f t="shared" si="24"/>
        <v>0</v>
      </c>
      <c r="J316" s="1">
        <f>+SUMIFS('VOLCADO '!H:H,'VOLCADO '!C:C,'Produccion por productor'!A:A,'VOLCADO '!B:B,'Produccion por productor'!B:B,'VOLCADO '!I:I,'Produccion por productor'!C:C,'VOLCADO '!J:J,'Produccion por productor'!E:E)*370</f>
        <v>0</v>
      </c>
      <c r="M316" s="91" t="e">
        <f t="shared" si="23"/>
        <v>#DIV/0!</v>
      </c>
      <c r="N316" s="88" t="e">
        <f t="shared" si="20"/>
        <v>#DIV/0!</v>
      </c>
    </row>
    <row r="317" spans="6:14" x14ac:dyDescent="0.25">
      <c r="F317" s="1"/>
      <c r="G317" s="114">
        <f t="shared" si="21"/>
        <v>0</v>
      </c>
      <c r="H317" s="37">
        <f t="shared" si="22"/>
        <v>0</v>
      </c>
      <c r="I317">
        <f t="shared" si="24"/>
        <v>0</v>
      </c>
      <c r="J317" s="1">
        <f>+SUMIFS('VOLCADO '!H:H,'VOLCADO '!C:C,'Produccion por productor'!A:A,'VOLCADO '!B:B,'Produccion por productor'!B:B,'VOLCADO '!I:I,'Produccion por productor'!C:C,'VOLCADO '!J:J,'Produccion por productor'!E:E)*370</f>
        <v>0</v>
      </c>
      <c r="M317" s="91" t="e">
        <f t="shared" si="23"/>
        <v>#DIV/0!</v>
      </c>
      <c r="N317" s="88" t="e">
        <f t="shared" si="20"/>
        <v>#DIV/0!</v>
      </c>
    </row>
    <row r="318" spans="6:14" x14ac:dyDescent="0.25">
      <c r="F318" s="1"/>
      <c r="G318" s="114">
        <f t="shared" si="21"/>
        <v>0</v>
      </c>
      <c r="H318" s="37">
        <f t="shared" si="22"/>
        <v>0</v>
      </c>
      <c r="I318">
        <f t="shared" si="24"/>
        <v>0</v>
      </c>
      <c r="J318" s="1">
        <f>+SUMIFS('VOLCADO '!H:H,'VOLCADO '!C:C,'Produccion por productor'!A:A,'VOLCADO '!B:B,'Produccion por productor'!B:B,'VOLCADO '!I:I,'Produccion por productor'!C:C,'VOLCADO '!J:J,'Produccion por productor'!E:E)*370</f>
        <v>0</v>
      </c>
      <c r="M318" s="91" t="e">
        <f t="shared" si="23"/>
        <v>#DIV/0!</v>
      </c>
      <c r="N318" s="88" t="e">
        <f t="shared" si="20"/>
        <v>#DIV/0!</v>
      </c>
    </row>
    <row r="319" spans="6:14" x14ac:dyDescent="0.25">
      <c r="F319" s="1"/>
      <c r="G319" s="114">
        <f t="shared" si="21"/>
        <v>0</v>
      </c>
      <c r="H319" s="37">
        <f t="shared" si="22"/>
        <v>0</v>
      </c>
      <c r="I319">
        <f t="shared" si="24"/>
        <v>0</v>
      </c>
      <c r="J319" s="1">
        <f>+SUMIFS('VOLCADO '!H:H,'VOLCADO '!C:C,'Produccion por productor'!A:A,'VOLCADO '!B:B,'Produccion por productor'!B:B,'VOLCADO '!I:I,'Produccion por productor'!C:C,'VOLCADO '!J:J,'Produccion por productor'!E:E)*370</f>
        <v>0</v>
      </c>
      <c r="M319" s="91" t="e">
        <f t="shared" si="23"/>
        <v>#DIV/0!</v>
      </c>
      <c r="N319" s="88" t="e">
        <f t="shared" si="20"/>
        <v>#DIV/0!</v>
      </c>
    </row>
    <row r="320" spans="6:14" x14ac:dyDescent="0.25">
      <c r="F320" s="1"/>
      <c r="G320" s="114">
        <f t="shared" si="21"/>
        <v>0</v>
      </c>
      <c r="H320" s="37">
        <f t="shared" si="22"/>
        <v>0</v>
      </c>
      <c r="I320">
        <f t="shared" si="24"/>
        <v>0</v>
      </c>
      <c r="J320" s="1">
        <f>+SUMIFS('VOLCADO '!H:H,'VOLCADO '!C:C,'Produccion por productor'!A:A,'VOLCADO '!B:B,'Produccion por productor'!B:B,'VOLCADO '!I:I,'Produccion por productor'!C:C,'VOLCADO '!J:J,'Produccion por productor'!E:E)*370</f>
        <v>0</v>
      </c>
      <c r="M320" s="91" t="e">
        <f t="shared" si="23"/>
        <v>#DIV/0!</v>
      </c>
      <c r="N320" s="88" t="e">
        <f t="shared" si="20"/>
        <v>#DIV/0!</v>
      </c>
    </row>
    <row r="321" spans="6:14" x14ac:dyDescent="0.25">
      <c r="F321" s="1"/>
      <c r="G321" s="114">
        <f t="shared" si="21"/>
        <v>0</v>
      </c>
      <c r="H321" s="37">
        <f t="shared" si="22"/>
        <v>0</v>
      </c>
      <c r="I321">
        <f t="shared" si="24"/>
        <v>0</v>
      </c>
      <c r="J321" s="1">
        <f>+SUMIFS('VOLCADO '!H:H,'VOLCADO '!C:C,'Produccion por productor'!A:A,'VOLCADO '!B:B,'Produccion por productor'!B:B,'VOLCADO '!I:I,'Produccion por productor'!C:C,'VOLCADO '!J:J,'Produccion por productor'!E:E)*370</f>
        <v>0</v>
      </c>
      <c r="M321" s="91" t="e">
        <f t="shared" si="23"/>
        <v>#DIV/0!</v>
      </c>
      <c r="N321" s="88" t="e">
        <f t="shared" ref="N321:N384" si="25">+((F321+I321)/J321)*100</f>
        <v>#DIV/0!</v>
      </c>
    </row>
    <row r="322" spans="6:14" x14ac:dyDescent="0.25">
      <c r="F322" s="1"/>
      <c r="G322" s="114">
        <f t="shared" ref="G322:G385" si="26">+F322+I322</f>
        <v>0</v>
      </c>
      <c r="H322" s="37">
        <f t="shared" ref="H322:H385" si="27">+(F322*0.05)+F322</f>
        <v>0</v>
      </c>
      <c r="I322">
        <f t="shared" si="24"/>
        <v>0</v>
      </c>
      <c r="J322" s="1">
        <f>+SUMIFS('VOLCADO '!H:H,'VOLCADO '!C:C,'Produccion por productor'!A:A,'VOLCADO '!B:B,'Produccion por productor'!B:B,'VOLCADO '!I:I,'Produccion por productor'!C:C,'VOLCADO '!J:J,'Produccion por productor'!E:E)*370</f>
        <v>0</v>
      </c>
      <c r="M322" s="91" t="e">
        <f t="shared" si="23"/>
        <v>#DIV/0!</v>
      </c>
      <c r="N322" s="88" t="e">
        <f t="shared" si="25"/>
        <v>#DIV/0!</v>
      </c>
    </row>
    <row r="323" spans="6:14" x14ac:dyDescent="0.25">
      <c r="F323" s="1"/>
      <c r="G323" s="114">
        <f t="shared" si="26"/>
        <v>0</v>
      </c>
      <c r="H323" s="37">
        <f t="shared" si="27"/>
        <v>0</v>
      </c>
      <c r="I323">
        <f t="shared" si="24"/>
        <v>0</v>
      </c>
      <c r="J323" s="1">
        <f>+SUMIFS('VOLCADO '!H:H,'VOLCADO '!C:C,'Produccion por productor'!A:A,'VOLCADO '!B:B,'Produccion por productor'!B:B,'VOLCADO '!I:I,'Produccion por productor'!C:C,'VOLCADO '!J:J,'Produccion por productor'!E:E)*370</f>
        <v>0</v>
      </c>
      <c r="M323" s="91" t="e">
        <f t="shared" ref="M323:M386" si="28">+((H323+I323)/J323)*100</f>
        <v>#DIV/0!</v>
      </c>
      <c r="N323" s="88" t="e">
        <f t="shared" si="25"/>
        <v>#DIV/0!</v>
      </c>
    </row>
    <row r="324" spans="6:14" x14ac:dyDescent="0.25">
      <c r="F324" s="1"/>
      <c r="G324" s="114">
        <f t="shared" si="26"/>
        <v>0</v>
      </c>
      <c r="H324" s="37">
        <f t="shared" si="27"/>
        <v>0</v>
      </c>
      <c r="I324">
        <f t="shared" si="24"/>
        <v>0</v>
      </c>
      <c r="J324" s="1">
        <f>+SUMIFS('VOLCADO '!H:H,'VOLCADO '!C:C,'Produccion por productor'!A:A,'VOLCADO '!B:B,'Produccion por productor'!B:B,'VOLCADO '!I:I,'Produccion por productor'!C:C,'VOLCADO '!J:J,'Produccion por productor'!E:E)*370</f>
        <v>0</v>
      </c>
      <c r="M324" s="91" t="e">
        <f t="shared" si="28"/>
        <v>#DIV/0!</v>
      </c>
      <c r="N324" s="88" t="e">
        <f t="shared" si="25"/>
        <v>#DIV/0!</v>
      </c>
    </row>
    <row r="325" spans="6:14" x14ac:dyDescent="0.25">
      <c r="F325" s="1"/>
      <c r="G325" s="114">
        <f t="shared" si="26"/>
        <v>0</v>
      </c>
      <c r="H325" s="37">
        <f t="shared" si="27"/>
        <v>0</v>
      </c>
      <c r="I325">
        <f t="shared" si="24"/>
        <v>0</v>
      </c>
      <c r="J325" s="1">
        <f>+SUMIFS('VOLCADO '!H:H,'VOLCADO '!C:C,'Produccion por productor'!A:A,'VOLCADO '!B:B,'Produccion por productor'!B:B,'VOLCADO '!I:I,'Produccion por productor'!C:C,'VOLCADO '!J:J,'Produccion por productor'!E:E)*370</f>
        <v>0</v>
      </c>
      <c r="M325" s="91" t="e">
        <f t="shared" si="28"/>
        <v>#DIV/0!</v>
      </c>
      <c r="N325" s="88" t="e">
        <f t="shared" si="25"/>
        <v>#DIV/0!</v>
      </c>
    </row>
    <row r="326" spans="6:14" x14ac:dyDescent="0.25">
      <c r="F326" s="1"/>
      <c r="G326" s="114">
        <f t="shared" si="26"/>
        <v>0</v>
      </c>
      <c r="H326" s="37">
        <f t="shared" si="27"/>
        <v>0</v>
      </c>
      <c r="I326">
        <f t="shared" si="24"/>
        <v>0</v>
      </c>
      <c r="J326" s="1">
        <f>+SUMIFS('VOLCADO '!H:H,'VOLCADO '!C:C,'Produccion por productor'!A:A,'VOLCADO '!B:B,'Produccion por productor'!B:B,'VOLCADO '!I:I,'Produccion por productor'!C:C,'VOLCADO '!J:J,'Produccion por productor'!E:E)*370</f>
        <v>0</v>
      </c>
      <c r="M326" s="91" t="e">
        <f t="shared" si="28"/>
        <v>#DIV/0!</v>
      </c>
      <c r="N326" s="88" t="e">
        <f t="shared" si="25"/>
        <v>#DIV/0!</v>
      </c>
    </row>
    <row r="327" spans="6:14" x14ac:dyDescent="0.25">
      <c r="F327" s="1"/>
      <c r="G327" s="114">
        <f t="shared" si="26"/>
        <v>0</v>
      </c>
      <c r="H327" s="37">
        <f t="shared" si="27"/>
        <v>0</v>
      </c>
      <c r="I327">
        <f t="shared" si="24"/>
        <v>0</v>
      </c>
      <c r="J327" s="1">
        <f>+SUMIFS('VOLCADO '!H:H,'VOLCADO '!C:C,'Produccion por productor'!A:A,'VOLCADO '!B:B,'Produccion por productor'!B:B,'VOLCADO '!I:I,'Produccion por productor'!C:C,'VOLCADO '!J:J,'Produccion por productor'!E:E)*370</f>
        <v>0</v>
      </c>
      <c r="M327" s="91" t="e">
        <f t="shared" si="28"/>
        <v>#DIV/0!</v>
      </c>
      <c r="N327" s="88" t="e">
        <f t="shared" si="25"/>
        <v>#DIV/0!</v>
      </c>
    </row>
    <row r="328" spans="6:14" x14ac:dyDescent="0.25">
      <c r="F328" s="1"/>
      <c r="G328" s="114">
        <f t="shared" si="26"/>
        <v>0</v>
      </c>
      <c r="H328" s="37">
        <f t="shared" si="27"/>
        <v>0</v>
      </c>
      <c r="I328">
        <f t="shared" si="24"/>
        <v>0</v>
      </c>
      <c r="J328" s="1">
        <f>+SUMIFS('VOLCADO '!H:H,'VOLCADO '!C:C,'Produccion por productor'!A:A,'VOLCADO '!B:B,'Produccion por productor'!B:B,'VOLCADO '!I:I,'Produccion por productor'!C:C,'VOLCADO '!J:J,'Produccion por productor'!E:E)*370</f>
        <v>0</v>
      </c>
      <c r="M328" s="91" t="e">
        <f t="shared" si="28"/>
        <v>#DIV/0!</v>
      </c>
      <c r="N328" s="88" t="e">
        <f t="shared" si="25"/>
        <v>#DIV/0!</v>
      </c>
    </row>
    <row r="329" spans="6:14" x14ac:dyDescent="0.25">
      <c r="F329" s="1"/>
      <c r="G329" s="114">
        <f t="shared" si="26"/>
        <v>0</v>
      </c>
      <c r="H329" s="37">
        <f t="shared" si="27"/>
        <v>0</v>
      </c>
      <c r="I329">
        <f t="shared" si="24"/>
        <v>0</v>
      </c>
      <c r="J329" s="1">
        <f>+SUMIFS('VOLCADO '!H:H,'VOLCADO '!C:C,'Produccion por productor'!A:A,'VOLCADO '!B:B,'Produccion por productor'!B:B,'VOLCADO '!I:I,'Produccion por productor'!C:C,'VOLCADO '!J:J,'Produccion por productor'!E:E)*370</f>
        <v>0</v>
      </c>
      <c r="M329" s="91" t="e">
        <f t="shared" si="28"/>
        <v>#DIV/0!</v>
      </c>
      <c r="N329" s="88" t="e">
        <f t="shared" si="25"/>
        <v>#DIV/0!</v>
      </c>
    </row>
    <row r="330" spans="6:14" x14ac:dyDescent="0.25">
      <c r="F330" s="1"/>
      <c r="G330" s="114">
        <f t="shared" si="26"/>
        <v>0</v>
      </c>
      <c r="H330" s="37">
        <f t="shared" si="27"/>
        <v>0</v>
      </c>
      <c r="I330">
        <f t="shared" si="24"/>
        <v>0</v>
      </c>
      <c r="J330" s="1">
        <f>+SUMIFS('VOLCADO '!H:H,'VOLCADO '!C:C,'Produccion por productor'!A:A,'VOLCADO '!B:B,'Produccion por productor'!B:B,'VOLCADO '!I:I,'Produccion por productor'!C:C,'VOLCADO '!J:J,'Produccion por productor'!E:E)*370</f>
        <v>0</v>
      </c>
      <c r="M330" s="91" t="e">
        <f t="shared" si="28"/>
        <v>#DIV/0!</v>
      </c>
      <c r="N330" s="88" t="e">
        <f t="shared" si="25"/>
        <v>#DIV/0!</v>
      </c>
    </row>
    <row r="331" spans="6:14" x14ac:dyDescent="0.25">
      <c r="F331" s="1"/>
      <c r="G331" s="114">
        <f t="shared" si="26"/>
        <v>0</v>
      </c>
      <c r="H331" s="37">
        <f t="shared" si="27"/>
        <v>0</v>
      </c>
      <c r="I331">
        <f t="shared" si="24"/>
        <v>0</v>
      </c>
      <c r="J331" s="1">
        <f>+SUMIFS('VOLCADO '!H:H,'VOLCADO '!C:C,'Produccion por productor'!A:A,'VOLCADO '!B:B,'Produccion por productor'!B:B,'VOLCADO '!I:I,'Produccion por productor'!C:C,'VOLCADO '!J:J,'Produccion por productor'!E:E)*370</f>
        <v>0</v>
      </c>
      <c r="M331" s="91" t="e">
        <f t="shared" si="28"/>
        <v>#DIV/0!</v>
      </c>
      <c r="N331" s="88" t="e">
        <f t="shared" si="25"/>
        <v>#DIV/0!</v>
      </c>
    </row>
    <row r="332" spans="6:14" x14ac:dyDescent="0.25">
      <c r="F332" s="1"/>
      <c r="G332" s="114">
        <f t="shared" si="26"/>
        <v>0</v>
      </c>
      <c r="H332" s="37">
        <f t="shared" si="27"/>
        <v>0</v>
      </c>
      <c r="I332">
        <f t="shared" si="24"/>
        <v>0</v>
      </c>
      <c r="J332" s="1">
        <f>+SUMIFS('VOLCADO '!H:H,'VOLCADO '!C:C,'Produccion por productor'!A:A,'VOLCADO '!B:B,'Produccion por productor'!B:B,'VOLCADO '!I:I,'Produccion por productor'!C:C,'VOLCADO '!J:J,'Produccion por productor'!E:E)*370</f>
        <v>0</v>
      </c>
      <c r="M332" s="91" t="e">
        <f t="shared" si="28"/>
        <v>#DIV/0!</v>
      </c>
      <c r="N332" s="88" t="e">
        <f t="shared" si="25"/>
        <v>#DIV/0!</v>
      </c>
    </row>
    <row r="333" spans="6:14" x14ac:dyDescent="0.25">
      <c r="F333" s="1"/>
      <c r="G333" s="114">
        <f t="shared" si="26"/>
        <v>0</v>
      </c>
      <c r="H333" s="37">
        <f t="shared" si="27"/>
        <v>0</v>
      </c>
      <c r="I333">
        <f t="shared" si="24"/>
        <v>0</v>
      </c>
      <c r="J333" s="1">
        <f>+SUMIFS('VOLCADO '!H:H,'VOLCADO '!C:C,'Produccion por productor'!A:A,'VOLCADO '!B:B,'Produccion por productor'!B:B,'VOLCADO '!I:I,'Produccion por productor'!C:C,'VOLCADO '!J:J,'Produccion por productor'!E:E)*370</f>
        <v>0</v>
      </c>
      <c r="M333" s="91" t="e">
        <f t="shared" si="28"/>
        <v>#DIV/0!</v>
      </c>
      <c r="N333" s="88" t="e">
        <f t="shared" si="25"/>
        <v>#DIV/0!</v>
      </c>
    </row>
    <row r="334" spans="6:14" x14ac:dyDescent="0.25">
      <c r="F334" s="1"/>
      <c r="G334" s="114">
        <f t="shared" si="26"/>
        <v>0</v>
      </c>
      <c r="H334" s="37">
        <f t="shared" si="27"/>
        <v>0</v>
      </c>
      <c r="I334">
        <f t="shared" ref="I334:I397" si="29">+L334-K334</f>
        <v>0</v>
      </c>
      <c r="J334" s="1">
        <f>+SUMIFS('VOLCADO '!H:H,'VOLCADO '!C:C,'Produccion por productor'!A:A,'VOLCADO '!B:B,'Produccion por productor'!B:B,'VOLCADO '!I:I,'Produccion por productor'!C:C,'VOLCADO '!J:J,'Produccion por productor'!E:E)*370</f>
        <v>0</v>
      </c>
      <c r="M334" s="91" t="e">
        <f t="shared" si="28"/>
        <v>#DIV/0!</v>
      </c>
      <c r="N334" s="88" t="e">
        <f t="shared" si="25"/>
        <v>#DIV/0!</v>
      </c>
    </row>
    <row r="335" spans="6:14" x14ac:dyDescent="0.25">
      <c r="F335" s="1"/>
      <c r="G335" s="114">
        <f t="shared" si="26"/>
        <v>0</v>
      </c>
      <c r="H335" s="37">
        <f t="shared" si="27"/>
        <v>0</v>
      </c>
      <c r="I335">
        <f t="shared" si="29"/>
        <v>0</v>
      </c>
      <c r="J335" s="1">
        <f>+SUMIFS('VOLCADO '!H:H,'VOLCADO '!C:C,'Produccion por productor'!A:A,'VOLCADO '!B:B,'Produccion por productor'!B:B,'VOLCADO '!I:I,'Produccion por productor'!C:C,'VOLCADO '!J:J,'Produccion por productor'!E:E)*370</f>
        <v>0</v>
      </c>
      <c r="M335" s="91" t="e">
        <f t="shared" si="28"/>
        <v>#DIV/0!</v>
      </c>
      <c r="N335" s="88" t="e">
        <f t="shared" si="25"/>
        <v>#DIV/0!</v>
      </c>
    </row>
    <row r="336" spans="6:14" x14ac:dyDescent="0.25">
      <c r="F336" s="1"/>
      <c r="G336" s="114">
        <f t="shared" si="26"/>
        <v>0</v>
      </c>
      <c r="H336" s="37">
        <f t="shared" si="27"/>
        <v>0</v>
      </c>
      <c r="I336">
        <f t="shared" si="29"/>
        <v>0</v>
      </c>
      <c r="J336" s="1">
        <f>+SUMIFS('VOLCADO '!H:H,'VOLCADO '!C:C,'Produccion por productor'!A:A,'VOLCADO '!B:B,'Produccion por productor'!B:B,'VOLCADO '!I:I,'Produccion por productor'!C:C,'VOLCADO '!J:J,'Produccion por productor'!E:E)*370</f>
        <v>0</v>
      </c>
      <c r="M336" s="91" t="e">
        <f t="shared" si="28"/>
        <v>#DIV/0!</v>
      </c>
      <c r="N336" s="88" t="e">
        <f t="shared" si="25"/>
        <v>#DIV/0!</v>
      </c>
    </row>
    <row r="337" spans="6:14" x14ac:dyDescent="0.25">
      <c r="F337" s="1"/>
      <c r="G337" s="114">
        <f t="shared" si="26"/>
        <v>0</v>
      </c>
      <c r="H337" s="37">
        <f t="shared" si="27"/>
        <v>0</v>
      </c>
      <c r="I337">
        <f t="shared" si="29"/>
        <v>0</v>
      </c>
      <c r="J337" s="1">
        <f>+SUMIFS('VOLCADO '!H:H,'VOLCADO '!C:C,'Produccion por productor'!A:A,'VOLCADO '!B:B,'Produccion por productor'!B:B,'VOLCADO '!I:I,'Produccion por productor'!C:C,'VOLCADO '!J:J,'Produccion por productor'!E:E)*370</f>
        <v>0</v>
      </c>
      <c r="M337" s="91" t="e">
        <f t="shared" si="28"/>
        <v>#DIV/0!</v>
      </c>
      <c r="N337" s="88" t="e">
        <f t="shared" si="25"/>
        <v>#DIV/0!</v>
      </c>
    </row>
    <row r="338" spans="6:14" x14ac:dyDescent="0.25">
      <c r="F338" s="1"/>
      <c r="G338" s="114">
        <f t="shared" si="26"/>
        <v>0</v>
      </c>
      <c r="H338" s="37">
        <f t="shared" si="27"/>
        <v>0</v>
      </c>
      <c r="I338">
        <f t="shared" si="29"/>
        <v>0</v>
      </c>
      <c r="J338" s="1">
        <f>+SUMIFS('VOLCADO '!H:H,'VOLCADO '!C:C,'Produccion por productor'!A:A,'VOLCADO '!B:B,'Produccion por productor'!B:B,'VOLCADO '!I:I,'Produccion por productor'!C:C,'VOLCADO '!J:J,'Produccion por productor'!E:E)*370</f>
        <v>0</v>
      </c>
      <c r="M338" s="91" t="e">
        <f t="shared" si="28"/>
        <v>#DIV/0!</v>
      </c>
      <c r="N338" s="88" t="e">
        <f t="shared" si="25"/>
        <v>#DIV/0!</v>
      </c>
    </row>
    <row r="339" spans="6:14" x14ac:dyDescent="0.25">
      <c r="F339" s="1"/>
      <c r="G339" s="114">
        <f t="shared" si="26"/>
        <v>0</v>
      </c>
      <c r="H339" s="37">
        <f t="shared" si="27"/>
        <v>0</v>
      </c>
      <c r="I339">
        <f t="shared" si="29"/>
        <v>0</v>
      </c>
      <c r="J339" s="1">
        <f>+SUMIFS('VOLCADO '!H:H,'VOLCADO '!C:C,'Produccion por productor'!A:A,'VOLCADO '!B:B,'Produccion por productor'!B:B,'VOLCADO '!I:I,'Produccion por productor'!C:C,'VOLCADO '!J:J,'Produccion por productor'!E:E)*370</f>
        <v>0</v>
      </c>
      <c r="M339" s="91" t="e">
        <f t="shared" si="28"/>
        <v>#DIV/0!</v>
      </c>
      <c r="N339" s="88" t="e">
        <f t="shared" si="25"/>
        <v>#DIV/0!</v>
      </c>
    </row>
    <row r="340" spans="6:14" x14ac:dyDescent="0.25">
      <c r="F340" s="1"/>
      <c r="G340" s="114">
        <f t="shared" si="26"/>
        <v>0</v>
      </c>
      <c r="H340" s="37">
        <f t="shared" si="27"/>
        <v>0</v>
      </c>
      <c r="I340">
        <f t="shared" si="29"/>
        <v>0</v>
      </c>
      <c r="J340" s="1">
        <f>+SUMIFS('VOLCADO '!H:H,'VOLCADO '!C:C,'Produccion por productor'!A:A,'VOLCADO '!B:B,'Produccion por productor'!B:B,'VOLCADO '!I:I,'Produccion por productor'!C:C,'VOLCADO '!J:J,'Produccion por productor'!E:E)*370</f>
        <v>0</v>
      </c>
      <c r="M340" s="91" t="e">
        <f t="shared" si="28"/>
        <v>#DIV/0!</v>
      </c>
      <c r="N340" s="88" t="e">
        <f t="shared" si="25"/>
        <v>#DIV/0!</v>
      </c>
    </row>
    <row r="341" spans="6:14" x14ac:dyDescent="0.25">
      <c r="F341" s="1"/>
      <c r="G341" s="114">
        <f t="shared" si="26"/>
        <v>0</v>
      </c>
      <c r="H341" s="37">
        <f t="shared" si="27"/>
        <v>0</v>
      </c>
      <c r="I341">
        <f t="shared" si="29"/>
        <v>0</v>
      </c>
      <c r="J341" s="1">
        <f>+SUMIFS('VOLCADO '!H:H,'VOLCADO '!C:C,'Produccion por productor'!A:A,'VOLCADO '!B:B,'Produccion por productor'!B:B,'VOLCADO '!I:I,'Produccion por productor'!C:C,'VOLCADO '!J:J,'Produccion por productor'!E:E)*370</f>
        <v>0</v>
      </c>
      <c r="M341" s="91" t="e">
        <f t="shared" si="28"/>
        <v>#DIV/0!</v>
      </c>
      <c r="N341" s="88" t="e">
        <f t="shared" si="25"/>
        <v>#DIV/0!</v>
      </c>
    </row>
    <row r="342" spans="6:14" x14ac:dyDescent="0.25">
      <c r="F342" s="1"/>
      <c r="G342" s="114">
        <f t="shared" si="26"/>
        <v>0</v>
      </c>
      <c r="H342" s="37">
        <f t="shared" si="27"/>
        <v>0</v>
      </c>
      <c r="I342">
        <f t="shared" si="29"/>
        <v>0</v>
      </c>
      <c r="J342" s="1">
        <f>+SUMIFS('VOLCADO '!H:H,'VOLCADO '!C:C,'Produccion por productor'!A:A,'VOLCADO '!B:B,'Produccion por productor'!B:B,'VOLCADO '!I:I,'Produccion por productor'!C:C,'VOLCADO '!J:J,'Produccion por productor'!E:E)*370</f>
        <v>0</v>
      </c>
      <c r="M342" s="91" t="e">
        <f t="shared" si="28"/>
        <v>#DIV/0!</v>
      </c>
      <c r="N342" s="88" t="e">
        <f t="shared" si="25"/>
        <v>#DIV/0!</v>
      </c>
    </row>
    <row r="343" spans="6:14" x14ac:dyDescent="0.25">
      <c r="F343" s="1"/>
      <c r="G343" s="114">
        <f t="shared" si="26"/>
        <v>0</v>
      </c>
      <c r="H343" s="37">
        <f t="shared" si="27"/>
        <v>0</v>
      </c>
      <c r="I343">
        <f t="shared" si="29"/>
        <v>0</v>
      </c>
      <c r="J343" s="1">
        <f>+SUMIFS('VOLCADO '!H:H,'VOLCADO '!C:C,'Produccion por productor'!A:A,'VOLCADO '!B:B,'Produccion por productor'!B:B,'VOLCADO '!I:I,'Produccion por productor'!C:C,'VOLCADO '!J:J,'Produccion por productor'!E:E)*370</f>
        <v>0</v>
      </c>
      <c r="M343" s="91" t="e">
        <f t="shared" si="28"/>
        <v>#DIV/0!</v>
      </c>
      <c r="N343" s="88" t="e">
        <f t="shared" si="25"/>
        <v>#DIV/0!</v>
      </c>
    </row>
    <row r="344" spans="6:14" x14ac:dyDescent="0.25">
      <c r="F344" s="1"/>
      <c r="G344" s="114">
        <f t="shared" si="26"/>
        <v>0</v>
      </c>
      <c r="H344" s="37">
        <f t="shared" si="27"/>
        <v>0</v>
      </c>
      <c r="I344">
        <f t="shared" si="29"/>
        <v>0</v>
      </c>
      <c r="J344" s="1">
        <f>+SUMIFS('VOLCADO '!H:H,'VOLCADO '!C:C,'Produccion por productor'!A:A,'VOLCADO '!B:B,'Produccion por productor'!B:B,'VOLCADO '!I:I,'Produccion por productor'!C:C,'VOLCADO '!J:J,'Produccion por productor'!E:E)*370</f>
        <v>0</v>
      </c>
      <c r="M344" s="91" t="e">
        <f t="shared" si="28"/>
        <v>#DIV/0!</v>
      </c>
      <c r="N344" s="88" t="e">
        <f t="shared" si="25"/>
        <v>#DIV/0!</v>
      </c>
    </row>
    <row r="345" spans="6:14" x14ac:dyDescent="0.25">
      <c r="F345" s="1"/>
      <c r="G345" s="114">
        <f t="shared" si="26"/>
        <v>0</v>
      </c>
      <c r="H345" s="37">
        <f t="shared" si="27"/>
        <v>0</v>
      </c>
      <c r="I345">
        <f t="shared" si="29"/>
        <v>0</v>
      </c>
      <c r="J345" s="1">
        <f>+SUMIFS('VOLCADO '!H:H,'VOLCADO '!C:C,'Produccion por productor'!A:A,'VOLCADO '!B:B,'Produccion por productor'!B:B,'VOLCADO '!I:I,'Produccion por productor'!C:C,'VOLCADO '!J:J,'Produccion por productor'!E:E)*370</f>
        <v>0</v>
      </c>
      <c r="M345" s="91" t="e">
        <f t="shared" si="28"/>
        <v>#DIV/0!</v>
      </c>
      <c r="N345" s="88" t="e">
        <f t="shared" si="25"/>
        <v>#DIV/0!</v>
      </c>
    </row>
    <row r="346" spans="6:14" x14ac:dyDescent="0.25">
      <c r="F346" s="1"/>
      <c r="G346" s="114">
        <f t="shared" si="26"/>
        <v>0</v>
      </c>
      <c r="H346" s="37">
        <f t="shared" si="27"/>
        <v>0</v>
      </c>
      <c r="I346">
        <f t="shared" si="29"/>
        <v>0</v>
      </c>
      <c r="J346" s="1">
        <f>+SUMIFS('VOLCADO '!H:H,'VOLCADO '!C:C,'Produccion por productor'!A:A,'VOLCADO '!B:B,'Produccion por productor'!B:B,'VOLCADO '!I:I,'Produccion por productor'!C:C,'VOLCADO '!J:J,'Produccion por productor'!E:E)*370</f>
        <v>0</v>
      </c>
      <c r="M346" s="91" t="e">
        <f t="shared" si="28"/>
        <v>#DIV/0!</v>
      </c>
      <c r="N346" s="88" t="e">
        <f t="shared" si="25"/>
        <v>#DIV/0!</v>
      </c>
    </row>
    <row r="347" spans="6:14" x14ac:dyDescent="0.25">
      <c r="F347" s="1"/>
      <c r="G347" s="114">
        <f t="shared" si="26"/>
        <v>0</v>
      </c>
      <c r="H347" s="37">
        <f t="shared" si="27"/>
        <v>0</v>
      </c>
      <c r="I347">
        <f t="shared" si="29"/>
        <v>0</v>
      </c>
      <c r="J347" s="1">
        <f>+SUMIFS('VOLCADO '!H:H,'VOLCADO '!C:C,'Produccion por productor'!A:A,'VOLCADO '!B:B,'Produccion por productor'!B:B,'VOLCADO '!I:I,'Produccion por productor'!C:C,'VOLCADO '!J:J,'Produccion por productor'!E:E)*370</f>
        <v>0</v>
      </c>
      <c r="M347" s="91" t="e">
        <f t="shared" si="28"/>
        <v>#DIV/0!</v>
      </c>
      <c r="N347" s="88" t="e">
        <f t="shared" si="25"/>
        <v>#DIV/0!</v>
      </c>
    </row>
    <row r="348" spans="6:14" x14ac:dyDescent="0.25">
      <c r="F348" s="1"/>
      <c r="G348" s="114">
        <f t="shared" si="26"/>
        <v>0</v>
      </c>
      <c r="H348" s="37">
        <f t="shared" si="27"/>
        <v>0</v>
      </c>
      <c r="I348">
        <f t="shared" si="29"/>
        <v>0</v>
      </c>
      <c r="J348" s="1">
        <f>+SUMIFS('VOLCADO '!H:H,'VOLCADO '!C:C,'Produccion por productor'!A:A,'VOLCADO '!B:B,'Produccion por productor'!B:B,'VOLCADO '!I:I,'Produccion por productor'!C:C,'VOLCADO '!J:J,'Produccion por productor'!E:E)*370</f>
        <v>0</v>
      </c>
      <c r="M348" s="91" t="e">
        <f t="shared" si="28"/>
        <v>#DIV/0!</v>
      </c>
      <c r="N348" s="88" t="e">
        <f t="shared" si="25"/>
        <v>#DIV/0!</v>
      </c>
    </row>
    <row r="349" spans="6:14" x14ac:dyDescent="0.25">
      <c r="F349" s="1"/>
      <c r="G349" s="114">
        <f t="shared" si="26"/>
        <v>0</v>
      </c>
      <c r="H349" s="37">
        <f t="shared" si="27"/>
        <v>0</v>
      </c>
      <c r="I349">
        <f t="shared" si="29"/>
        <v>0</v>
      </c>
      <c r="J349" s="1">
        <f>+SUMIFS('VOLCADO '!H:H,'VOLCADO '!C:C,'Produccion por productor'!A:A,'VOLCADO '!B:B,'Produccion por productor'!B:B,'VOLCADO '!I:I,'Produccion por productor'!C:C,'VOLCADO '!J:J,'Produccion por productor'!E:E)*370</f>
        <v>0</v>
      </c>
      <c r="M349" s="91" t="e">
        <f t="shared" si="28"/>
        <v>#DIV/0!</v>
      </c>
      <c r="N349" s="88" t="e">
        <f t="shared" si="25"/>
        <v>#DIV/0!</v>
      </c>
    </row>
    <row r="350" spans="6:14" x14ac:dyDescent="0.25">
      <c r="F350" s="1"/>
      <c r="G350" s="114">
        <f t="shared" si="26"/>
        <v>0</v>
      </c>
      <c r="H350" s="37">
        <f t="shared" si="27"/>
        <v>0</v>
      </c>
      <c r="I350">
        <f t="shared" si="29"/>
        <v>0</v>
      </c>
      <c r="J350" s="1">
        <f>+SUMIFS('VOLCADO '!H:H,'VOLCADO '!C:C,'Produccion por productor'!A:A,'VOLCADO '!B:B,'Produccion por productor'!B:B,'VOLCADO '!I:I,'Produccion por productor'!C:C,'VOLCADO '!J:J,'Produccion por productor'!E:E)*370</f>
        <v>0</v>
      </c>
      <c r="M350" s="91" t="e">
        <f t="shared" si="28"/>
        <v>#DIV/0!</v>
      </c>
      <c r="N350" s="88" t="e">
        <f t="shared" si="25"/>
        <v>#DIV/0!</v>
      </c>
    </row>
    <row r="351" spans="6:14" x14ac:dyDescent="0.25">
      <c r="F351" s="1"/>
      <c r="G351" s="114">
        <f t="shared" si="26"/>
        <v>0</v>
      </c>
      <c r="H351" s="37">
        <f t="shared" si="27"/>
        <v>0</v>
      </c>
      <c r="I351">
        <f t="shared" si="29"/>
        <v>0</v>
      </c>
      <c r="J351" s="1">
        <f>+SUMIFS('VOLCADO '!H:H,'VOLCADO '!C:C,'Produccion por productor'!A:A,'VOLCADO '!B:B,'Produccion por productor'!B:B,'VOLCADO '!I:I,'Produccion por productor'!C:C,'VOLCADO '!J:J,'Produccion por productor'!E:E)*370</f>
        <v>0</v>
      </c>
      <c r="M351" s="91" t="e">
        <f t="shared" si="28"/>
        <v>#DIV/0!</v>
      </c>
      <c r="N351" s="88" t="e">
        <f t="shared" si="25"/>
        <v>#DIV/0!</v>
      </c>
    </row>
    <row r="352" spans="6:14" x14ac:dyDescent="0.25">
      <c r="F352" s="1"/>
      <c r="G352" s="114">
        <f t="shared" si="26"/>
        <v>0</v>
      </c>
      <c r="H352" s="37">
        <f t="shared" si="27"/>
        <v>0</v>
      </c>
      <c r="I352">
        <f t="shared" si="29"/>
        <v>0</v>
      </c>
      <c r="J352" s="1">
        <f>+SUMIFS('VOLCADO '!H:H,'VOLCADO '!C:C,'Produccion por productor'!A:A,'VOLCADO '!B:B,'Produccion por productor'!B:B,'VOLCADO '!I:I,'Produccion por productor'!C:C,'VOLCADO '!J:J,'Produccion por productor'!E:E)*370</f>
        <v>0</v>
      </c>
      <c r="M352" s="91" t="e">
        <f t="shared" si="28"/>
        <v>#DIV/0!</v>
      </c>
      <c r="N352" s="88" t="e">
        <f t="shared" si="25"/>
        <v>#DIV/0!</v>
      </c>
    </row>
    <row r="353" spans="6:14" x14ac:dyDescent="0.25">
      <c r="F353" s="1"/>
      <c r="G353" s="114">
        <f t="shared" si="26"/>
        <v>0</v>
      </c>
      <c r="H353" s="37">
        <f t="shared" si="27"/>
        <v>0</v>
      </c>
      <c r="I353">
        <f t="shared" si="29"/>
        <v>0</v>
      </c>
      <c r="J353" s="1">
        <f>+SUMIFS('VOLCADO '!H:H,'VOLCADO '!C:C,'Produccion por productor'!A:A,'VOLCADO '!B:B,'Produccion por productor'!B:B,'VOLCADO '!I:I,'Produccion por productor'!C:C,'VOLCADO '!J:J,'Produccion por productor'!E:E)*370</f>
        <v>0</v>
      </c>
      <c r="M353" s="91" t="e">
        <f t="shared" si="28"/>
        <v>#DIV/0!</v>
      </c>
      <c r="N353" s="88" t="e">
        <f t="shared" si="25"/>
        <v>#DIV/0!</v>
      </c>
    </row>
    <row r="354" spans="6:14" x14ac:dyDescent="0.25">
      <c r="F354" s="1"/>
      <c r="G354" s="114">
        <f t="shared" si="26"/>
        <v>0</v>
      </c>
      <c r="H354" s="37">
        <f t="shared" si="27"/>
        <v>0</v>
      </c>
      <c r="I354">
        <f t="shared" si="29"/>
        <v>0</v>
      </c>
      <c r="J354" s="1">
        <f>+SUMIFS('VOLCADO '!H:H,'VOLCADO '!C:C,'Produccion por productor'!A:A,'VOLCADO '!B:B,'Produccion por productor'!B:B,'VOLCADO '!I:I,'Produccion por productor'!C:C,'VOLCADO '!J:J,'Produccion por productor'!E:E)*370</f>
        <v>0</v>
      </c>
      <c r="M354" s="91" t="e">
        <f t="shared" si="28"/>
        <v>#DIV/0!</v>
      </c>
      <c r="N354" s="88" t="e">
        <f t="shared" si="25"/>
        <v>#DIV/0!</v>
      </c>
    </row>
    <row r="355" spans="6:14" x14ac:dyDescent="0.25">
      <c r="F355" s="1"/>
      <c r="G355" s="114">
        <f t="shared" si="26"/>
        <v>0</v>
      </c>
      <c r="H355" s="37">
        <f t="shared" si="27"/>
        <v>0</v>
      </c>
      <c r="I355">
        <f t="shared" si="29"/>
        <v>0</v>
      </c>
      <c r="J355" s="1">
        <f>+SUMIFS('VOLCADO '!H:H,'VOLCADO '!C:C,'Produccion por productor'!A:A,'VOLCADO '!B:B,'Produccion por productor'!B:B,'VOLCADO '!I:I,'Produccion por productor'!C:C,'VOLCADO '!J:J,'Produccion por productor'!E:E)*370</f>
        <v>0</v>
      </c>
      <c r="M355" s="91" t="e">
        <f t="shared" si="28"/>
        <v>#DIV/0!</v>
      </c>
      <c r="N355" s="88" t="e">
        <f t="shared" si="25"/>
        <v>#DIV/0!</v>
      </c>
    </row>
    <row r="356" spans="6:14" x14ac:dyDescent="0.25">
      <c r="F356" s="1"/>
      <c r="G356" s="114">
        <f t="shared" si="26"/>
        <v>0</v>
      </c>
      <c r="H356" s="37">
        <f t="shared" si="27"/>
        <v>0</v>
      </c>
      <c r="I356">
        <f t="shared" si="29"/>
        <v>0</v>
      </c>
      <c r="J356" s="1">
        <f>+SUMIFS('VOLCADO '!H:H,'VOLCADO '!C:C,'Produccion por productor'!A:A,'VOLCADO '!B:B,'Produccion por productor'!B:B,'VOLCADO '!I:I,'Produccion por productor'!C:C,'VOLCADO '!J:J,'Produccion por productor'!E:E)*370</f>
        <v>0</v>
      </c>
      <c r="M356" s="91" t="e">
        <f t="shared" si="28"/>
        <v>#DIV/0!</v>
      </c>
      <c r="N356" s="88" t="e">
        <f t="shared" si="25"/>
        <v>#DIV/0!</v>
      </c>
    </row>
    <row r="357" spans="6:14" x14ac:dyDescent="0.25">
      <c r="F357" s="1"/>
      <c r="G357" s="114">
        <f t="shared" si="26"/>
        <v>0</v>
      </c>
      <c r="H357" s="37">
        <f t="shared" si="27"/>
        <v>0</v>
      </c>
      <c r="I357">
        <f t="shared" si="29"/>
        <v>0</v>
      </c>
      <c r="J357" s="1">
        <f>+SUMIFS('VOLCADO '!H:H,'VOLCADO '!C:C,'Produccion por productor'!A:A,'VOLCADO '!B:B,'Produccion por productor'!B:B,'VOLCADO '!I:I,'Produccion por productor'!C:C,'VOLCADO '!J:J,'Produccion por productor'!E:E)*370</f>
        <v>0</v>
      </c>
      <c r="M357" s="91" t="e">
        <f t="shared" si="28"/>
        <v>#DIV/0!</v>
      </c>
      <c r="N357" s="88" t="e">
        <f t="shared" si="25"/>
        <v>#DIV/0!</v>
      </c>
    </row>
    <row r="358" spans="6:14" x14ac:dyDescent="0.25">
      <c r="F358" s="1"/>
      <c r="G358" s="114">
        <f t="shared" si="26"/>
        <v>0</v>
      </c>
      <c r="H358" s="37">
        <f t="shared" si="27"/>
        <v>0</v>
      </c>
      <c r="I358">
        <f t="shared" si="29"/>
        <v>0</v>
      </c>
      <c r="J358" s="1">
        <f>+SUMIFS('VOLCADO '!H:H,'VOLCADO '!C:C,'Produccion por productor'!A:A,'VOLCADO '!B:B,'Produccion por productor'!B:B,'VOLCADO '!I:I,'Produccion por productor'!C:C,'VOLCADO '!J:J,'Produccion por productor'!E:E)*370</f>
        <v>0</v>
      </c>
      <c r="M358" s="91" t="e">
        <f t="shared" si="28"/>
        <v>#DIV/0!</v>
      </c>
      <c r="N358" s="88" t="e">
        <f t="shared" si="25"/>
        <v>#DIV/0!</v>
      </c>
    </row>
    <row r="359" spans="6:14" x14ac:dyDescent="0.25">
      <c r="F359" s="1"/>
      <c r="G359" s="114">
        <f t="shared" si="26"/>
        <v>0</v>
      </c>
      <c r="H359" s="37">
        <f t="shared" si="27"/>
        <v>0</v>
      </c>
      <c r="I359">
        <f t="shared" si="29"/>
        <v>0</v>
      </c>
      <c r="J359" s="1">
        <f>+SUMIFS('VOLCADO '!H:H,'VOLCADO '!C:C,'Produccion por productor'!A:A,'VOLCADO '!B:B,'Produccion por productor'!B:B,'VOLCADO '!I:I,'Produccion por productor'!C:C,'VOLCADO '!J:J,'Produccion por productor'!E:E)*370</f>
        <v>0</v>
      </c>
      <c r="M359" s="91" t="e">
        <f t="shared" si="28"/>
        <v>#DIV/0!</v>
      </c>
      <c r="N359" s="88" t="e">
        <f t="shared" si="25"/>
        <v>#DIV/0!</v>
      </c>
    </row>
    <row r="360" spans="6:14" x14ac:dyDescent="0.25">
      <c r="F360" s="1"/>
      <c r="G360" s="114">
        <f t="shared" si="26"/>
        <v>0</v>
      </c>
      <c r="H360" s="37">
        <f t="shared" si="27"/>
        <v>0</v>
      </c>
      <c r="I360">
        <f t="shared" si="29"/>
        <v>0</v>
      </c>
      <c r="J360" s="1">
        <f>+SUMIFS('VOLCADO '!H:H,'VOLCADO '!C:C,'Produccion por productor'!A:A,'VOLCADO '!B:B,'Produccion por productor'!B:B,'VOLCADO '!I:I,'Produccion por productor'!C:C,'VOLCADO '!J:J,'Produccion por productor'!E:E)*370</f>
        <v>0</v>
      </c>
      <c r="M360" s="91" t="e">
        <f t="shared" si="28"/>
        <v>#DIV/0!</v>
      </c>
      <c r="N360" s="88" t="e">
        <f t="shared" si="25"/>
        <v>#DIV/0!</v>
      </c>
    </row>
    <row r="361" spans="6:14" x14ac:dyDescent="0.25">
      <c r="F361" s="1"/>
      <c r="G361" s="114">
        <f t="shared" si="26"/>
        <v>0</v>
      </c>
      <c r="H361" s="37">
        <f t="shared" si="27"/>
        <v>0</v>
      </c>
      <c r="I361">
        <f t="shared" si="29"/>
        <v>0</v>
      </c>
      <c r="J361" s="1">
        <f>+SUMIFS('VOLCADO '!H:H,'VOLCADO '!C:C,'Produccion por productor'!A:A,'VOLCADO '!B:B,'Produccion por productor'!B:B,'VOLCADO '!I:I,'Produccion por productor'!C:C,'VOLCADO '!J:J,'Produccion por productor'!E:E)*370</f>
        <v>0</v>
      </c>
      <c r="M361" s="91" t="e">
        <f t="shared" si="28"/>
        <v>#DIV/0!</v>
      </c>
      <c r="N361" s="88" t="e">
        <f t="shared" si="25"/>
        <v>#DIV/0!</v>
      </c>
    </row>
    <row r="362" spans="6:14" x14ac:dyDescent="0.25">
      <c r="F362" s="1"/>
      <c r="G362" s="114">
        <f t="shared" si="26"/>
        <v>0</v>
      </c>
      <c r="H362" s="37">
        <f t="shared" si="27"/>
        <v>0</v>
      </c>
      <c r="I362">
        <f t="shared" si="29"/>
        <v>0</v>
      </c>
      <c r="J362" s="1">
        <f>+SUMIFS('VOLCADO '!H:H,'VOLCADO '!C:C,'Produccion por productor'!A:A,'VOLCADO '!B:B,'Produccion por productor'!B:B,'VOLCADO '!I:I,'Produccion por productor'!C:C,'VOLCADO '!J:J,'Produccion por productor'!E:E)*370</f>
        <v>0</v>
      </c>
      <c r="M362" s="91" t="e">
        <f t="shared" si="28"/>
        <v>#DIV/0!</v>
      </c>
      <c r="N362" s="88" t="e">
        <f t="shared" si="25"/>
        <v>#DIV/0!</v>
      </c>
    </row>
    <row r="363" spans="6:14" x14ac:dyDescent="0.25">
      <c r="F363" s="1"/>
      <c r="G363" s="114">
        <f t="shared" si="26"/>
        <v>0</v>
      </c>
      <c r="H363" s="37">
        <f t="shared" si="27"/>
        <v>0</v>
      </c>
      <c r="I363">
        <f t="shared" si="29"/>
        <v>0</v>
      </c>
      <c r="J363" s="1">
        <f>+SUMIFS('VOLCADO '!H:H,'VOLCADO '!C:C,'Produccion por productor'!A:A,'VOLCADO '!B:B,'Produccion por productor'!B:B,'VOLCADO '!I:I,'Produccion por productor'!C:C,'VOLCADO '!J:J,'Produccion por productor'!E:E)*370</f>
        <v>0</v>
      </c>
      <c r="M363" s="91" t="e">
        <f t="shared" si="28"/>
        <v>#DIV/0!</v>
      </c>
      <c r="N363" s="88" t="e">
        <f t="shared" si="25"/>
        <v>#DIV/0!</v>
      </c>
    </row>
    <row r="364" spans="6:14" x14ac:dyDescent="0.25">
      <c r="F364" s="1"/>
      <c r="G364" s="114">
        <f t="shared" si="26"/>
        <v>0</v>
      </c>
      <c r="H364" s="37">
        <f t="shared" si="27"/>
        <v>0</v>
      </c>
      <c r="I364">
        <f t="shared" si="29"/>
        <v>0</v>
      </c>
      <c r="J364" s="1">
        <f>+SUMIFS('VOLCADO '!H:H,'VOLCADO '!C:C,'Produccion por productor'!A:A,'VOLCADO '!B:B,'Produccion por productor'!B:B,'VOLCADO '!I:I,'Produccion por productor'!C:C,'VOLCADO '!J:J,'Produccion por productor'!E:E)*370</f>
        <v>0</v>
      </c>
      <c r="M364" s="91" t="e">
        <f t="shared" si="28"/>
        <v>#DIV/0!</v>
      </c>
      <c r="N364" s="88" t="e">
        <f t="shared" si="25"/>
        <v>#DIV/0!</v>
      </c>
    </row>
    <row r="365" spans="6:14" x14ac:dyDescent="0.25">
      <c r="F365" s="1"/>
      <c r="G365" s="114">
        <f t="shared" si="26"/>
        <v>0</v>
      </c>
      <c r="H365" s="37">
        <f t="shared" si="27"/>
        <v>0</v>
      </c>
      <c r="I365">
        <f t="shared" si="29"/>
        <v>0</v>
      </c>
      <c r="J365" s="1">
        <f>+SUMIFS('VOLCADO '!H:H,'VOLCADO '!C:C,'Produccion por productor'!A:A,'VOLCADO '!B:B,'Produccion por productor'!B:B,'VOLCADO '!I:I,'Produccion por productor'!C:C,'VOLCADO '!J:J,'Produccion por productor'!E:E)*370</f>
        <v>0</v>
      </c>
      <c r="M365" s="91" t="e">
        <f t="shared" si="28"/>
        <v>#DIV/0!</v>
      </c>
      <c r="N365" s="88" t="e">
        <f t="shared" si="25"/>
        <v>#DIV/0!</v>
      </c>
    </row>
    <row r="366" spans="6:14" x14ac:dyDescent="0.25">
      <c r="F366" s="1"/>
      <c r="G366" s="114">
        <f t="shared" si="26"/>
        <v>0</v>
      </c>
      <c r="H366" s="37">
        <f t="shared" si="27"/>
        <v>0</v>
      </c>
      <c r="I366">
        <f t="shared" si="29"/>
        <v>0</v>
      </c>
      <c r="J366" s="1">
        <f>+SUMIFS('VOLCADO '!H:H,'VOLCADO '!C:C,'Produccion por productor'!A:A,'VOLCADO '!B:B,'Produccion por productor'!B:B,'VOLCADO '!I:I,'Produccion por productor'!C:C,'VOLCADO '!J:J,'Produccion por productor'!E:E)*370</f>
        <v>0</v>
      </c>
      <c r="M366" s="91" t="e">
        <f t="shared" si="28"/>
        <v>#DIV/0!</v>
      </c>
      <c r="N366" s="88" t="e">
        <f t="shared" si="25"/>
        <v>#DIV/0!</v>
      </c>
    </row>
    <row r="367" spans="6:14" x14ac:dyDescent="0.25">
      <c r="F367" s="1"/>
      <c r="G367" s="114">
        <f t="shared" si="26"/>
        <v>0</v>
      </c>
      <c r="H367" s="37">
        <f t="shared" si="27"/>
        <v>0</v>
      </c>
      <c r="I367">
        <f t="shared" si="29"/>
        <v>0</v>
      </c>
      <c r="J367" s="1">
        <f>+SUMIFS('VOLCADO '!H:H,'VOLCADO '!C:C,'Produccion por productor'!A:A,'VOLCADO '!B:B,'Produccion por productor'!B:B,'VOLCADO '!I:I,'Produccion por productor'!C:C,'VOLCADO '!J:J,'Produccion por productor'!E:E)*370</f>
        <v>0</v>
      </c>
      <c r="M367" s="91" t="e">
        <f t="shared" si="28"/>
        <v>#DIV/0!</v>
      </c>
      <c r="N367" s="88" t="e">
        <f t="shared" si="25"/>
        <v>#DIV/0!</v>
      </c>
    </row>
    <row r="368" spans="6:14" x14ac:dyDescent="0.25">
      <c r="F368" s="1"/>
      <c r="G368" s="114">
        <f t="shared" si="26"/>
        <v>0</v>
      </c>
      <c r="H368" s="37">
        <f t="shared" si="27"/>
        <v>0</v>
      </c>
      <c r="I368">
        <f t="shared" si="29"/>
        <v>0</v>
      </c>
      <c r="J368" s="1">
        <f>+SUMIFS('VOLCADO '!H:H,'VOLCADO '!C:C,'Produccion por productor'!A:A,'VOLCADO '!B:B,'Produccion por productor'!B:B,'VOLCADO '!I:I,'Produccion por productor'!C:C,'VOLCADO '!J:J,'Produccion por productor'!E:E)*370</f>
        <v>0</v>
      </c>
      <c r="M368" s="91" t="e">
        <f t="shared" si="28"/>
        <v>#DIV/0!</v>
      </c>
      <c r="N368" s="88" t="e">
        <f t="shared" si="25"/>
        <v>#DIV/0!</v>
      </c>
    </row>
    <row r="369" spans="6:14" x14ac:dyDescent="0.25">
      <c r="F369" s="1"/>
      <c r="G369" s="114">
        <f t="shared" si="26"/>
        <v>0</v>
      </c>
      <c r="H369" s="37">
        <f t="shared" si="27"/>
        <v>0</v>
      </c>
      <c r="I369">
        <f t="shared" si="29"/>
        <v>0</v>
      </c>
      <c r="J369" s="1">
        <f>+SUMIFS('VOLCADO '!H:H,'VOLCADO '!C:C,'Produccion por productor'!A:A,'VOLCADO '!B:B,'Produccion por productor'!B:B,'VOLCADO '!I:I,'Produccion por productor'!C:C,'VOLCADO '!J:J,'Produccion por productor'!E:E)*370</f>
        <v>0</v>
      </c>
      <c r="M369" s="91" t="e">
        <f t="shared" si="28"/>
        <v>#DIV/0!</v>
      </c>
      <c r="N369" s="88" t="e">
        <f t="shared" si="25"/>
        <v>#DIV/0!</v>
      </c>
    </row>
    <row r="370" spans="6:14" x14ac:dyDescent="0.25">
      <c r="F370" s="1"/>
      <c r="G370" s="114">
        <f t="shared" si="26"/>
        <v>0</v>
      </c>
      <c r="H370" s="37">
        <f t="shared" si="27"/>
        <v>0</v>
      </c>
      <c r="I370">
        <f t="shared" si="29"/>
        <v>0</v>
      </c>
      <c r="J370" s="1">
        <f>+SUMIFS('VOLCADO '!H:H,'VOLCADO '!C:C,'Produccion por productor'!A:A,'VOLCADO '!B:B,'Produccion por productor'!B:B,'VOLCADO '!I:I,'Produccion por productor'!C:C,'VOLCADO '!J:J,'Produccion por productor'!E:E)*370</f>
        <v>0</v>
      </c>
      <c r="M370" s="91" t="e">
        <f t="shared" si="28"/>
        <v>#DIV/0!</v>
      </c>
      <c r="N370" s="88" t="e">
        <f t="shared" si="25"/>
        <v>#DIV/0!</v>
      </c>
    </row>
    <row r="371" spans="6:14" x14ac:dyDescent="0.25">
      <c r="F371" s="1"/>
      <c r="G371" s="114">
        <f t="shared" si="26"/>
        <v>0</v>
      </c>
      <c r="H371" s="37">
        <f t="shared" si="27"/>
        <v>0</v>
      </c>
      <c r="I371">
        <f t="shared" si="29"/>
        <v>0</v>
      </c>
      <c r="J371" s="1">
        <f>+SUMIFS('VOLCADO '!H:H,'VOLCADO '!C:C,'Produccion por productor'!A:A,'VOLCADO '!B:B,'Produccion por productor'!B:B,'VOLCADO '!I:I,'Produccion por productor'!C:C,'VOLCADO '!J:J,'Produccion por productor'!E:E)*370</f>
        <v>0</v>
      </c>
      <c r="M371" s="91" t="e">
        <f t="shared" si="28"/>
        <v>#DIV/0!</v>
      </c>
      <c r="N371" s="88" t="e">
        <f t="shared" si="25"/>
        <v>#DIV/0!</v>
      </c>
    </row>
    <row r="372" spans="6:14" x14ac:dyDescent="0.25">
      <c r="F372" s="1"/>
      <c r="G372" s="114">
        <f t="shared" si="26"/>
        <v>0</v>
      </c>
      <c r="H372" s="37">
        <f t="shared" si="27"/>
        <v>0</v>
      </c>
      <c r="I372">
        <f t="shared" si="29"/>
        <v>0</v>
      </c>
      <c r="J372" s="1">
        <f>+SUMIFS('VOLCADO '!H:H,'VOLCADO '!C:C,'Produccion por productor'!A:A,'VOLCADO '!B:B,'Produccion por productor'!B:B,'VOLCADO '!I:I,'Produccion por productor'!C:C,'VOLCADO '!J:J,'Produccion por productor'!E:E)*370</f>
        <v>0</v>
      </c>
      <c r="M372" s="91" t="e">
        <f t="shared" si="28"/>
        <v>#DIV/0!</v>
      </c>
      <c r="N372" s="88" t="e">
        <f t="shared" si="25"/>
        <v>#DIV/0!</v>
      </c>
    </row>
    <row r="373" spans="6:14" x14ac:dyDescent="0.25">
      <c r="F373" s="1"/>
      <c r="G373" s="114">
        <f t="shared" si="26"/>
        <v>0</v>
      </c>
      <c r="H373" s="37">
        <f t="shared" si="27"/>
        <v>0</v>
      </c>
      <c r="I373">
        <f t="shared" si="29"/>
        <v>0</v>
      </c>
      <c r="J373" s="1">
        <f>+SUMIFS('VOLCADO '!H:H,'VOLCADO '!C:C,'Produccion por productor'!A:A,'VOLCADO '!B:B,'Produccion por productor'!B:B,'VOLCADO '!I:I,'Produccion por productor'!C:C,'VOLCADO '!J:J,'Produccion por productor'!E:E)*370</f>
        <v>0</v>
      </c>
      <c r="M373" s="91" t="e">
        <f t="shared" si="28"/>
        <v>#DIV/0!</v>
      </c>
      <c r="N373" s="88" t="e">
        <f t="shared" si="25"/>
        <v>#DIV/0!</v>
      </c>
    </row>
    <row r="374" spans="6:14" x14ac:dyDescent="0.25">
      <c r="F374" s="1"/>
      <c r="G374" s="114">
        <f t="shared" si="26"/>
        <v>0</v>
      </c>
      <c r="H374" s="37">
        <f t="shared" si="27"/>
        <v>0</v>
      </c>
      <c r="I374">
        <f t="shared" si="29"/>
        <v>0</v>
      </c>
      <c r="J374" s="1">
        <f>+SUMIFS('VOLCADO '!H:H,'VOLCADO '!C:C,'Produccion por productor'!A:A,'VOLCADO '!B:B,'Produccion por productor'!B:B,'VOLCADO '!I:I,'Produccion por productor'!C:C,'VOLCADO '!J:J,'Produccion por productor'!E:E)*370</f>
        <v>0</v>
      </c>
      <c r="M374" s="91" t="e">
        <f t="shared" si="28"/>
        <v>#DIV/0!</v>
      </c>
      <c r="N374" s="88" t="e">
        <f t="shared" si="25"/>
        <v>#DIV/0!</v>
      </c>
    </row>
    <row r="375" spans="6:14" x14ac:dyDescent="0.25">
      <c r="F375" s="1"/>
      <c r="G375" s="114">
        <f t="shared" si="26"/>
        <v>0</v>
      </c>
      <c r="H375" s="37">
        <f t="shared" si="27"/>
        <v>0</v>
      </c>
      <c r="I375">
        <f t="shared" si="29"/>
        <v>0</v>
      </c>
      <c r="J375" s="1">
        <f>+SUMIFS('VOLCADO '!H:H,'VOLCADO '!C:C,'Produccion por productor'!A:A,'VOLCADO '!B:B,'Produccion por productor'!B:B,'VOLCADO '!I:I,'Produccion por productor'!C:C,'VOLCADO '!J:J,'Produccion por productor'!E:E)*370</f>
        <v>0</v>
      </c>
      <c r="M375" s="91" t="e">
        <f t="shared" si="28"/>
        <v>#DIV/0!</v>
      </c>
      <c r="N375" s="88" t="e">
        <f t="shared" si="25"/>
        <v>#DIV/0!</v>
      </c>
    </row>
    <row r="376" spans="6:14" x14ac:dyDescent="0.25">
      <c r="F376" s="1"/>
      <c r="G376" s="114">
        <f t="shared" si="26"/>
        <v>0</v>
      </c>
      <c r="H376" s="37">
        <f t="shared" si="27"/>
        <v>0</v>
      </c>
      <c r="I376">
        <f t="shared" si="29"/>
        <v>0</v>
      </c>
      <c r="J376" s="1">
        <f>+SUMIFS('VOLCADO '!H:H,'VOLCADO '!C:C,'Produccion por productor'!A:A,'VOLCADO '!B:B,'Produccion por productor'!B:B,'VOLCADO '!I:I,'Produccion por productor'!C:C,'VOLCADO '!J:J,'Produccion por productor'!E:E)*370</f>
        <v>0</v>
      </c>
      <c r="M376" s="91" t="e">
        <f t="shared" si="28"/>
        <v>#DIV/0!</v>
      </c>
      <c r="N376" s="88" t="e">
        <f t="shared" si="25"/>
        <v>#DIV/0!</v>
      </c>
    </row>
    <row r="377" spans="6:14" x14ac:dyDescent="0.25">
      <c r="F377" s="1"/>
      <c r="G377" s="114">
        <f t="shared" si="26"/>
        <v>0</v>
      </c>
      <c r="H377" s="37">
        <f t="shared" si="27"/>
        <v>0</v>
      </c>
      <c r="I377">
        <f t="shared" si="29"/>
        <v>0</v>
      </c>
      <c r="J377" s="1">
        <f>+SUMIFS('VOLCADO '!H:H,'VOLCADO '!C:C,'Produccion por productor'!A:A,'VOLCADO '!B:B,'Produccion por productor'!B:B,'VOLCADO '!I:I,'Produccion por productor'!C:C,'VOLCADO '!J:J,'Produccion por productor'!E:E)*370</f>
        <v>0</v>
      </c>
      <c r="M377" s="91" t="e">
        <f t="shared" si="28"/>
        <v>#DIV/0!</v>
      </c>
      <c r="N377" s="88" t="e">
        <f t="shared" si="25"/>
        <v>#DIV/0!</v>
      </c>
    </row>
    <row r="378" spans="6:14" x14ac:dyDescent="0.25">
      <c r="F378" s="1"/>
      <c r="G378" s="114">
        <f t="shared" si="26"/>
        <v>0</v>
      </c>
      <c r="H378" s="37">
        <f t="shared" si="27"/>
        <v>0</v>
      </c>
      <c r="I378">
        <f t="shared" si="29"/>
        <v>0</v>
      </c>
      <c r="J378" s="1">
        <f>+SUMIFS('VOLCADO '!H:H,'VOLCADO '!C:C,'Produccion por productor'!A:A,'VOLCADO '!B:B,'Produccion por productor'!B:B,'VOLCADO '!I:I,'Produccion por productor'!C:C,'VOLCADO '!J:J,'Produccion por productor'!E:E)*370</f>
        <v>0</v>
      </c>
      <c r="M378" s="91" t="e">
        <f t="shared" si="28"/>
        <v>#DIV/0!</v>
      </c>
      <c r="N378" s="88" t="e">
        <f t="shared" si="25"/>
        <v>#DIV/0!</v>
      </c>
    </row>
    <row r="379" spans="6:14" x14ac:dyDescent="0.25">
      <c r="F379" s="1"/>
      <c r="G379" s="114">
        <f t="shared" si="26"/>
        <v>0</v>
      </c>
      <c r="H379" s="37">
        <f t="shared" si="27"/>
        <v>0</v>
      </c>
      <c r="I379">
        <f t="shared" si="29"/>
        <v>0</v>
      </c>
      <c r="J379" s="1">
        <f>+SUMIFS('VOLCADO '!H:H,'VOLCADO '!C:C,'Produccion por productor'!A:A,'VOLCADO '!B:B,'Produccion por productor'!B:B,'VOLCADO '!I:I,'Produccion por productor'!C:C,'VOLCADO '!J:J,'Produccion por productor'!E:E)*370</f>
        <v>0</v>
      </c>
      <c r="M379" s="91" t="e">
        <f t="shared" si="28"/>
        <v>#DIV/0!</v>
      </c>
      <c r="N379" s="88" t="e">
        <f t="shared" si="25"/>
        <v>#DIV/0!</v>
      </c>
    </row>
    <row r="380" spans="6:14" x14ac:dyDescent="0.25">
      <c r="F380" s="1"/>
      <c r="G380" s="114">
        <f t="shared" si="26"/>
        <v>0</v>
      </c>
      <c r="H380" s="37">
        <f t="shared" si="27"/>
        <v>0</v>
      </c>
      <c r="I380">
        <f t="shared" si="29"/>
        <v>0</v>
      </c>
      <c r="J380" s="1">
        <f>+SUMIFS('VOLCADO '!H:H,'VOLCADO '!C:C,'Produccion por productor'!A:A,'VOLCADO '!B:B,'Produccion por productor'!B:B,'VOLCADO '!I:I,'Produccion por productor'!C:C,'VOLCADO '!J:J,'Produccion por productor'!E:E)*370</f>
        <v>0</v>
      </c>
      <c r="M380" s="91" t="e">
        <f t="shared" si="28"/>
        <v>#DIV/0!</v>
      </c>
      <c r="N380" s="88" t="e">
        <f t="shared" si="25"/>
        <v>#DIV/0!</v>
      </c>
    </row>
    <row r="381" spans="6:14" x14ac:dyDescent="0.25">
      <c r="F381" s="1"/>
      <c r="G381" s="114">
        <f t="shared" si="26"/>
        <v>0</v>
      </c>
      <c r="H381" s="37">
        <f t="shared" si="27"/>
        <v>0</v>
      </c>
      <c r="I381">
        <f t="shared" si="29"/>
        <v>0</v>
      </c>
      <c r="J381" s="1">
        <f>+SUMIFS('VOLCADO '!H:H,'VOLCADO '!C:C,'Produccion por productor'!A:A,'VOLCADO '!B:B,'Produccion por productor'!B:B,'VOLCADO '!I:I,'Produccion por productor'!C:C,'VOLCADO '!J:J,'Produccion por productor'!E:E)*370</f>
        <v>0</v>
      </c>
      <c r="M381" s="91" t="e">
        <f t="shared" si="28"/>
        <v>#DIV/0!</v>
      </c>
      <c r="N381" s="88" t="e">
        <f t="shared" si="25"/>
        <v>#DIV/0!</v>
      </c>
    </row>
    <row r="382" spans="6:14" x14ac:dyDescent="0.25">
      <c r="F382" s="1"/>
      <c r="G382" s="114">
        <f t="shared" si="26"/>
        <v>0</v>
      </c>
      <c r="H382" s="37">
        <f t="shared" si="27"/>
        <v>0</v>
      </c>
      <c r="I382">
        <f t="shared" si="29"/>
        <v>0</v>
      </c>
      <c r="J382" s="1">
        <f>+SUMIFS('VOLCADO '!H:H,'VOLCADO '!C:C,'Produccion por productor'!A:A,'VOLCADO '!B:B,'Produccion por productor'!B:B,'VOLCADO '!I:I,'Produccion por productor'!C:C,'VOLCADO '!J:J,'Produccion por productor'!E:E)*370</f>
        <v>0</v>
      </c>
      <c r="M382" s="91" t="e">
        <f t="shared" si="28"/>
        <v>#DIV/0!</v>
      </c>
      <c r="N382" s="88" t="e">
        <f t="shared" si="25"/>
        <v>#DIV/0!</v>
      </c>
    </row>
    <row r="383" spans="6:14" x14ac:dyDescent="0.25">
      <c r="F383" s="1"/>
      <c r="G383" s="114">
        <f t="shared" si="26"/>
        <v>0</v>
      </c>
      <c r="H383" s="37">
        <f t="shared" si="27"/>
        <v>0</v>
      </c>
      <c r="I383">
        <f t="shared" si="29"/>
        <v>0</v>
      </c>
      <c r="J383" s="1">
        <f>+SUMIFS('VOLCADO '!H:H,'VOLCADO '!C:C,'Produccion por productor'!A:A,'VOLCADO '!B:B,'Produccion por productor'!B:B,'VOLCADO '!I:I,'Produccion por productor'!C:C,'VOLCADO '!J:J,'Produccion por productor'!E:E)*370</f>
        <v>0</v>
      </c>
      <c r="M383" s="91" t="e">
        <f t="shared" si="28"/>
        <v>#DIV/0!</v>
      </c>
      <c r="N383" s="88" t="e">
        <f t="shared" si="25"/>
        <v>#DIV/0!</v>
      </c>
    </row>
    <row r="384" spans="6:14" x14ac:dyDescent="0.25">
      <c r="F384" s="1"/>
      <c r="G384" s="114">
        <f t="shared" si="26"/>
        <v>0</v>
      </c>
      <c r="H384" s="37">
        <f t="shared" si="27"/>
        <v>0</v>
      </c>
      <c r="I384">
        <f t="shared" si="29"/>
        <v>0</v>
      </c>
      <c r="J384" s="1">
        <f>+SUMIFS('VOLCADO '!H:H,'VOLCADO '!C:C,'Produccion por productor'!A:A,'VOLCADO '!B:B,'Produccion por productor'!B:B,'VOLCADO '!I:I,'Produccion por productor'!C:C,'VOLCADO '!J:J,'Produccion por productor'!E:E)*370</f>
        <v>0</v>
      </c>
      <c r="M384" s="91" t="e">
        <f t="shared" si="28"/>
        <v>#DIV/0!</v>
      </c>
      <c r="N384" s="88" t="e">
        <f t="shared" si="25"/>
        <v>#DIV/0!</v>
      </c>
    </row>
    <row r="385" spans="6:14" x14ac:dyDescent="0.25">
      <c r="F385" s="1"/>
      <c r="G385" s="114">
        <f t="shared" si="26"/>
        <v>0</v>
      </c>
      <c r="H385" s="37">
        <f t="shared" si="27"/>
        <v>0</v>
      </c>
      <c r="I385">
        <f t="shared" si="29"/>
        <v>0</v>
      </c>
      <c r="J385" s="1">
        <f>+SUMIFS('VOLCADO '!H:H,'VOLCADO '!C:C,'Produccion por productor'!A:A,'VOLCADO '!B:B,'Produccion por productor'!B:B,'VOLCADO '!I:I,'Produccion por productor'!C:C,'VOLCADO '!J:J,'Produccion por productor'!E:E)*370</f>
        <v>0</v>
      </c>
      <c r="M385" s="91" t="e">
        <f t="shared" si="28"/>
        <v>#DIV/0!</v>
      </c>
      <c r="N385" s="88" t="e">
        <f t="shared" ref="N385:N448" si="30">+((F385+I385)/J385)*100</f>
        <v>#DIV/0!</v>
      </c>
    </row>
    <row r="386" spans="6:14" x14ac:dyDescent="0.25">
      <c r="F386" s="1"/>
      <c r="G386" s="114">
        <f t="shared" ref="G386:G449" si="31">+F386+I386</f>
        <v>0</v>
      </c>
      <c r="H386" s="37">
        <f t="shared" ref="H386:H449" si="32">+(F386*0.05)+F386</f>
        <v>0</v>
      </c>
      <c r="I386">
        <f t="shared" si="29"/>
        <v>0</v>
      </c>
      <c r="J386" s="1">
        <f>+SUMIFS('VOLCADO '!H:H,'VOLCADO '!C:C,'Produccion por productor'!A:A,'VOLCADO '!B:B,'Produccion por productor'!B:B,'VOLCADO '!I:I,'Produccion por productor'!C:C,'VOLCADO '!J:J,'Produccion por productor'!E:E)*370</f>
        <v>0</v>
      </c>
      <c r="M386" s="91" t="e">
        <f t="shared" si="28"/>
        <v>#DIV/0!</v>
      </c>
      <c r="N386" s="88" t="e">
        <f t="shared" si="30"/>
        <v>#DIV/0!</v>
      </c>
    </row>
    <row r="387" spans="6:14" x14ac:dyDescent="0.25">
      <c r="F387" s="1"/>
      <c r="G387" s="114">
        <f t="shared" si="31"/>
        <v>0</v>
      </c>
      <c r="H387" s="37">
        <f t="shared" si="32"/>
        <v>0</v>
      </c>
      <c r="I387">
        <f t="shared" si="29"/>
        <v>0</v>
      </c>
      <c r="J387" s="1">
        <f>+SUMIFS('VOLCADO '!H:H,'VOLCADO '!C:C,'Produccion por productor'!A:A,'VOLCADO '!B:B,'Produccion por productor'!B:B,'VOLCADO '!I:I,'Produccion por productor'!C:C,'VOLCADO '!J:J,'Produccion por productor'!E:E)*370</f>
        <v>0</v>
      </c>
      <c r="M387" s="91" t="e">
        <f t="shared" ref="M387:M450" si="33">+((H387+I387)/J387)*100</f>
        <v>#DIV/0!</v>
      </c>
      <c r="N387" s="88" t="e">
        <f t="shared" si="30"/>
        <v>#DIV/0!</v>
      </c>
    </row>
    <row r="388" spans="6:14" x14ac:dyDescent="0.25">
      <c r="F388" s="1"/>
      <c r="G388" s="114">
        <f t="shared" si="31"/>
        <v>0</v>
      </c>
      <c r="H388" s="37">
        <f t="shared" si="32"/>
        <v>0</v>
      </c>
      <c r="I388">
        <f t="shared" si="29"/>
        <v>0</v>
      </c>
      <c r="J388" s="1">
        <f>+SUMIFS('VOLCADO '!H:H,'VOLCADO '!C:C,'Produccion por productor'!A:A,'VOLCADO '!B:B,'Produccion por productor'!B:B,'VOLCADO '!I:I,'Produccion por productor'!C:C,'VOLCADO '!J:J,'Produccion por productor'!E:E)*370</f>
        <v>0</v>
      </c>
      <c r="M388" s="91" t="e">
        <f t="shared" si="33"/>
        <v>#DIV/0!</v>
      </c>
      <c r="N388" s="88" t="e">
        <f t="shared" si="30"/>
        <v>#DIV/0!</v>
      </c>
    </row>
    <row r="389" spans="6:14" x14ac:dyDescent="0.25">
      <c r="F389" s="1"/>
      <c r="G389" s="114">
        <f t="shared" si="31"/>
        <v>0</v>
      </c>
      <c r="H389" s="37">
        <f t="shared" si="32"/>
        <v>0</v>
      </c>
      <c r="I389">
        <f t="shared" si="29"/>
        <v>0</v>
      </c>
      <c r="J389" s="1">
        <f>+SUMIFS('VOLCADO '!H:H,'VOLCADO '!C:C,'Produccion por productor'!A:A,'VOLCADO '!B:B,'Produccion por productor'!B:B,'VOLCADO '!I:I,'Produccion por productor'!C:C,'VOLCADO '!J:J,'Produccion por productor'!E:E)*370</f>
        <v>0</v>
      </c>
      <c r="M389" s="91" t="e">
        <f t="shared" si="33"/>
        <v>#DIV/0!</v>
      </c>
      <c r="N389" s="88" t="e">
        <f t="shared" si="30"/>
        <v>#DIV/0!</v>
      </c>
    </row>
    <row r="390" spans="6:14" x14ac:dyDescent="0.25">
      <c r="F390" s="1"/>
      <c r="G390" s="114">
        <f t="shared" si="31"/>
        <v>0</v>
      </c>
      <c r="H390" s="37">
        <f t="shared" si="32"/>
        <v>0</v>
      </c>
      <c r="I390">
        <f t="shared" si="29"/>
        <v>0</v>
      </c>
      <c r="J390" s="1">
        <f>+SUMIFS('VOLCADO '!H:H,'VOLCADO '!C:C,'Produccion por productor'!A:A,'VOLCADO '!B:B,'Produccion por productor'!B:B,'VOLCADO '!I:I,'Produccion por productor'!C:C,'VOLCADO '!J:J,'Produccion por productor'!E:E)*370</f>
        <v>0</v>
      </c>
      <c r="M390" s="91" t="e">
        <f t="shared" si="33"/>
        <v>#DIV/0!</v>
      </c>
      <c r="N390" s="88" t="e">
        <f t="shared" si="30"/>
        <v>#DIV/0!</v>
      </c>
    </row>
    <row r="391" spans="6:14" x14ac:dyDescent="0.25">
      <c r="F391" s="1"/>
      <c r="G391" s="114">
        <f t="shared" si="31"/>
        <v>0</v>
      </c>
      <c r="H391" s="37">
        <f t="shared" si="32"/>
        <v>0</v>
      </c>
      <c r="I391">
        <f t="shared" si="29"/>
        <v>0</v>
      </c>
      <c r="J391" s="1">
        <f>+SUMIFS('VOLCADO '!H:H,'VOLCADO '!C:C,'Produccion por productor'!A:A,'VOLCADO '!B:B,'Produccion por productor'!B:B,'VOLCADO '!I:I,'Produccion por productor'!C:C,'VOLCADO '!J:J,'Produccion por productor'!E:E)*370</f>
        <v>0</v>
      </c>
      <c r="M391" s="91" t="e">
        <f t="shared" si="33"/>
        <v>#DIV/0!</v>
      </c>
      <c r="N391" s="88" t="e">
        <f t="shared" si="30"/>
        <v>#DIV/0!</v>
      </c>
    </row>
    <row r="392" spans="6:14" x14ac:dyDescent="0.25">
      <c r="F392" s="1"/>
      <c r="G392" s="114">
        <f t="shared" si="31"/>
        <v>0</v>
      </c>
      <c r="H392" s="37">
        <f t="shared" si="32"/>
        <v>0</v>
      </c>
      <c r="I392">
        <f t="shared" si="29"/>
        <v>0</v>
      </c>
      <c r="J392" s="1">
        <f>+SUMIFS('VOLCADO '!H:H,'VOLCADO '!C:C,'Produccion por productor'!A:A,'VOLCADO '!B:B,'Produccion por productor'!B:B,'VOLCADO '!I:I,'Produccion por productor'!C:C,'VOLCADO '!J:J,'Produccion por productor'!E:E)*370</f>
        <v>0</v>
      </c>
      <c r="M392" s="91" t="e">
        <f t="shared" si="33"/>
        <v>#DIV/0!</v>
      </c>
      <c r="N392" s="88" t="e">
        <f t="shared" si="30"/>
        <v>#DIV/0!</v>
      </c>
    </row>
    <row r="393" spans="6:14" x14ac:dyDescent="0.25">
      <c r="F393" s="1"/>
      <c r="G393" s="114">
        <f t="shared" si="31"/>
        <v>0</v>
      </c>
      <c r="H393" s="37">
        <f t="shared" si="32"/>
        <v>0</v>
      </c>
      <c r="I393">
        <f t="shared" si="29"/>
        <v>0</v>
      </c>
      <c r="J393" s="1">
        <f>+SUMIFS('VOLCADO '!H:H,'VOLCADO '!C:C,'Produccion por productor'!A:A,'VOLCADO '!B:B,'Produccion por productor'!B:B,'VOLCADO '!I:I,'Produccion por productor'!C:C,'VOLCADO '!J:J,'Produccion por productor'!E:E)*370</f>
        <v>0</v>
      </c>
      <c r="M393" s="91" t="e">
        <f t="shared" si="33"/>
        <v>#DIV/0!</v>
      </c>
      <c r="N393" s="88" t="e">
        <f t="shared" si="30"/>
        <v>#DIV/0!</v>
      </c>
    </row>
    <row r="394" spans="6:14" x14ac:dyDescent="0.25">
      <c r="F394" s="1"/>
      <c r="G394" s="114">
        <f t="shared" si="31"/>
        <v>0</v>
      </c>
      <c r="H394" s="37">
        <f t="shared" si="32"/>
        <v>0</v>
      </c>
      <c r="I394">
        <f t="shared" si="29"/>
        <v>0</v>
      </c>
      <c r="J394" s="1">
        <f>+SUMIFS('VOLCADO '!H:H,'VOLCADO '!C:C,'Produccion por productor'!A:A,'VOLCADO '!B:B,'Produccion por productor'!B:B,'VOLCADO '!I:I,'Produccion por productor'!C:C,'VOLCADO '!J:J,'Produccion por productor'!E:E)*370</f>
        <v>0</v>
      </c>
      <c r="M394" s="91" t="e">
        <f t="shared" si="33"/>
        <v>#DIV/0!</v>
      </c>
      <c r="N394" s="88" t="e">
        <f t="shared" si="30"/>
        <v>#DIV/0!</v>
      </c>
    </row>
    <row r="395" spans="6:14" x14ac:dyDescent="0.25">
      <c r="F395" s="1"/>
      <c r="G395" s="114">
        <f t="shared" si="31"/>
        <v>0</v>
      </c>
      <c r="H395" s="37">
        <f t="shared" si="32"/>
        <v>0</v>
      </c>
      <c r="I395">
        <f t="shared" si="29"/>
        <v>0</v>
      </c>
      <c r="J395" s="1">
        <f>+SUMIFS('VOLCADO '!H:H,'VOLCADO '!C:C,'Produccion por productor'!A:A,'VOLCADO '!B:B,'Produccion por productor'!B:B,'VOLCADO '!I:I,'Produccion por productor'!C:C,'VOLCADO '!J:J,'Produccion por productor'!E:E)*370</f>
        <v>0</v>
      </c>
      <c r="M395" s="91" t="e">
        <f t="shared" si="33"/>
        <v>#DIV/0!</v>
      </c>
      <c r="N395" s="88" t="e">
        <f t="shared" si="30"/>
        <v>#DIV/0!</v>
      </c>
    </row>
    <row r="396" spans="6:14" x14ac:dyDescent="0.25">
      <c r="F396" s="1"/>
      <c r="G396" s="114">
        <f t="shared" si="31"/>
        <v>0</v>
      </c>
      <c r="H396" s="37">
        <f t="shared" si="32"/>
        <v>0</v>
      </c>
      <c r="I396">
        <f t="shared" si="29"/>
        <v>0</v>
      </c>
      <c r="J396" s="1">
        <f>+SUMIFS('VOLCADO '!H:H,'VOLCADO '!C:C,'Produccion por productor'!A:A,'VOLCADO '!B:B,'Produccion por productor'!B:B,'VOLCADO '!I:I,'Produccion por productor'!C:C,'VOLCADO '!J:J,'Produccion por productor'!E:E)*370</f>
        <v>0</v>
      </c>
      <c r="M396" s="91" t="e">
        <f t="shared" si="33"/>
        <v>#DIV/0!</v>
      </c>
      <c r="N396" s="88" t="e">
        <f t="shared" si="30"/>
        <v>#DIV/0!</v>
      </c>
    </row>
    <row r="397" spans="6:14" x14ac:dyDescent="0.25">
      <c r="F397" s="1"/>
      <c r="G397" s="114">
        <f t="shared" si="31"/>
        <v>0</v>
      </c>
      <c r="H397" s="37">
        <f t="shared" si="32"/>
        <v>0</v>
      </c>
      <c r="I397">
        <f t="shared" si="29"/>
        <v>0</v>
      </c>
      <c r="J397" s="1">
        <f>+SUMIFS('VOLCADO '!H:H,'VOLCADO '!C:C,'Produccion por productor'!A:A,'VOLCADO '!B:B,'Produccion por productor'!B:B,'VOLCADO '!I:I,'Produccion por productor'!C:C,'VOLCADO '!J:J,'Produccion por productor'!E:E)*370</f>
        <v>0</v>
      </c>
      <c r="M397" s="91" t="e">
        <f t="shared" si="33"/>
        <v>#DIV/0!</v>
      </c>
      <c r="N397" s="88" t="e">
        <f t="shared" si="30"/>
        <v>#DIV/0!</v>
      </c>
    </row>
    <row r="398" spans="6:14" x14ac:dyDescent="0.25">
      <c r="F398" s="1"/>
      <c r="G398" s="114">
        <f t="shared" si="31"/>
        <v>0</v>
      </c>
      <c r="H398" s="37">
        <f t="shared" si="32"/>
        <v>0</v>
      </c>
      <c r="I398">
        <f t="shared" ref="I398:I461" si="34">+L398-K398</f>
        <v>0</v>
      </c>
      <c r="J398" s="1">
        <f>+SUMIFS('VOLCADO '!H:H,'VOLCADO '!C:C,'Produccion por productor'!A:A,'VOLCADO '!B:B,'Produccion por productor'!B:B,'VOLCADO '!I:I,'Produccion por productor'!C:C,'VOLCADO '!J:J,'Produccion por productor'!E:E)*370</f>
        <v>0</v>
      </c>
      <c r="M398" s="91" t="e">
        <f t="shared" si="33"/>
        <v>#DIV/0!</v>
      </c>
      <c r="N398" s="88" t="e">
        <f t="shared" si="30"/>
        <v>#DIV/0!</v>
      </c>
    </row>
    <row r="399" spans="6:14" x14ac:dyDescent="0.25">
      <c r="F399" s="1"/>
      <c r="G399" s="114">
        <f t="shared" si="31"/>
        <v>0</v>
      </c>
      <c r="H399" s="37">
        <f t="shared" si="32"/>
        <v>0</v>
      </c>
      <c r="I399">
        <f t="shared" si="34"/>
        <v>0</v>
      </c>
      <c r="J399" s="1">
        <f>+SUMIFS('VOLCADO '!H:H,'VOLCADO '!C:C,'Produccion por productor'!A:A,'VOLCADO '!B:B,'Produccion por productor'!B:B,'VOLCADO '!I:I,'Produccion por productor'!C:C,'VOLCADO '!J:J,'Produccion por productor'!E:E)*370</f>
        <v>0</v>
      </c>
      <c r="M399" s="91" t="e">
        <f t="shared" si="33"/>
        <v>#DIV/0!</v>
      </c>
      <c r="N399" s="88" t="e">
        <f t="shared" si="30"/>
        <v>#DIV/0!</v>
      </c>
    </row>
    <row r="400" spans="6:14" x14ac:dyDescent="0.25">
      <c r="F400" s="1"/>
      <c r="G400" s="114">
        <f t="shared" si="31"/>
        <v>0</v>
      </c>
      <c r="H400" s="37">
        <f t="shared" si="32"/>
        <v>0</v>
      </c>
      <c r="I400">
        <f t="shared" si="34"/>
        <v>0</v>
      </c>
      <c r="J400" s="1">
        <f>+SUMIFS('VOLCADO '!H:H,'VOLCADO '!C:C,'Produccion por productor'!A:A,'VOLCADO '!B:B,'Produccion por productor'!B:B,'VOLCADO '!I:I,'Produccion por productor'!C:C,'VOLCADO '!J:J,'Produccion por productor'!E:E)*370</f>
        <v>0</v>
      </c>
      <c r="M400" s="91" t="e">
        <f t="shared" si="33"/>
        <v>#DIV/0!</v>
      </c>
      <c r="N400" s="88" t="e">
        <f t="shared" si="30"/>
        <v>#DIV/0!</v>
      </c>
    </row>
    <row r="401" spans="6:14" x14ac:dyDescent="0.25">
      <c r="F401" s="1"/>
      <c r="G401" s="114">
        <f t="shared" si="31"/>
        <v>0</v>
      </c>
      <c r="H401" s="37">
        <f t="shared" si="32"/>
        <v>0</v>
      </c>
      <c r="I401">
        <f t="shared" si="34"/>
        <v>0</v>
      </c>
      <c r="J401" s="1">
        <f>+SUMIFS('VOLCADO '!H:H,'VOLCADO '!C:C,'Produccion por productor'!A:A,'VOLCADO '!B:B,'Produccion por productor'!B:B,'VOLCADO '!I:I,'Produccion por productor'!C:C,'VOLCADO '!J:J,'Produccion por productor'!E:E)*370</f>
        <v>0</v>
      </c>
      <c r="M401" s="91" t="e">
        <f t="shared" si="33"/>
        <v>#DIV/0!</v>
      </c>
      <c r="N401" s="88" t="e">
        <f t="shared" si="30"/>
        <v>#DIV/0!</v>
      </c>
    </row>
    <row r="402" spans="6:14" x14ac:dyDescent="0.25">
      <c r="F402" s="1"/>
      <c r="G402" s="114">
        <f t="shared" si="31"/>
        <v>0</v>
      </c>
      <c r="H402" s="37">
        <f t="shared" si="32"/>
        <v>0</v>
      </c>
      <c r="I402">
        <f t="shared" si="34"/>
        <v>0</v>
      </c>
      <c r="J402" s="1">
        <f>+SUMIFS('VOLCADO '!H:H,'VOLCADO '!C:C,'Produccion por productor'!A:A,'VOLCADO '!B:B,'Produccion por productor'!B:B,'VOLCADO '!I:I,'Produccion por productor'!C:C,'VOLCADO '!J:J,'Produccion por productor'!E:E)*370</f>
        <v>0</v>
      </c>
      <c r="M402" s="91" t="e">
        <f t="shared" si="33"/>
        <v>#DIV/0!</v>
      </c>
      <c r="N402" s="88" t="e">
        <f t="shared" si="30"/>
        <v>#DIV/0!</v>
      </c>
    </row>
    <row r="403" spans="6:14" x14ac:dyDescent="0.25">
      <c r="F403" s="1"/>
      <c r="G403" s="114">
        <f t="shared" si="31"/>
        <v>0</v>
      </c>
      <c r="H403" s="37">
        <f t="shared" si="32"/>
        <v>0</v>
      </c>
      <c r="I403">
        <f t="shared" si="34"/>
        <v>0</v>
      </c>
      <c r="J403" s="1">
        <f>+SUMIFS('VOLCADO '!H:H,'VOLCADO '!C:C,'Produccion por productor'!A:A,'VOLCADO '!B:B,'Produccion por productor'!B:B,'VOLCADO '!I:I,'Produccion por productor'!C:C,'VOLCADO '!J:J,'Produccion por productor'!E:E)*370</f>
        <v>0</v>
      </c>
      <c r="M403" s="91" t="e">
        <f t="shared" si="33"/>
        <v>#DIV/0!</v>
      </c>
      <c r="N403" s="88" t="e">
        <f t="shared" si="30"/>
        <v>#DIV/0!</v>
      </c>
    </row>
    <row r="404" spans="6:14" x14ac:dyDescent="0.25">
      <c r="F404" s="1"/>
      <c r="G404" s="114">
        <f t="shared" si="31"/>
        <v>0</v>
      </c>
      <c r="H404" s="37">
        <f t="shared" si="32"/>
        <v>0</v>
      </c>
      <c r="I404">
        <f t="shared" si="34"/>
        <v>0</v>
      </c>
      <c r="J404" s="1">
        <f>+SUMIFS('VOLCADO '!H:H,'VOLCADO '!C:C,'Produccion por productor'!A:A,'VOLCADO '!B:B,'Produccion por productor'!B:B,'VOLCADO '!I:I,'Produccion por productor'!C:C,'VOLCADO '!J:J,'Produccion por productor'!E:E)*370</f>
        <v>0</v>
      </c>
      <c r="M404" s="91" t="e">
        <f t="shared" si="33"/>
        <v>#DIV/0!</v>
      </c>
      <c r="N404" s="88" t="e">
        <f t="shared" si="30"/>
        <v>#DIV/0!</v>
      </c>
    </row>
    <row r="405" spans="6:14" x14ac:dyDescent="0.25">
      <c r="F405" s="1"/>
      <c r="G405" s="114">
        <f t="shared" si="31"/>
        <v>0</v>
      </c>
      <c r="H405" s="37">
        <f t="shared" si="32"/>
        <v>0</v>
      </c>
      <c r="I405">
        <f t="shared" si="34"/>
        <v>0</v>
      </c>
      <c r="J405" s="1">
        <f>+SUMIFS('VOLCADO '!H:H,'VOLCADO '!C:C,'Produccion por productor'!A:A,'VOLCADO '!B:B,'Produccion por productor'!B:B,'VOLCADO '!I:I,'Produccion por productor'!C:C,'VOLCADO '!J:J,'Produccion por productor'!E:E)*370</f>
        <v>0</v>
      </c>
      <c r="M405" s="91" t="e">
        <f t="shared" si="33"/>
        <v>#DIV/0!</v>
      </c>
      <c r="N405" s="88" t="e">
        <f t="shared" si="30"/>
        <v>#DIV/0!</v>
      </c>
    </row>
    <row r="406" spans="6:14" x14ac:dyDescent="0.25">
      <c r="F406" s="1"/>
      <c r="G406" s="114">
        <f t="shared" si="31"/>
        <v>0</v>
      </c>
      <c r="H406" s="37">
        <f t="shared" si="32"/>
        <v>0</v>
      </c>
      <c r="I406">
        <f t="shared" si="34"/>
        <v>0</v>
      </c>
      <c r="J406" s="1">
        <f>+SUMIFS('VOLCADO '!H:H,'VOLCADO '!C:C,'Produccion por productor'!A:A,'VOLCADO '!B:B,'Produccion por productor'!B:B,'VOLCADO '!I:I,'Produccion por productor'!C:C,'VOLCADO '!J:J,'Produccion por productor'!E:E)*370</f>
        <v>0</v>
      </c>
      <c r="M406" s="91" t="e">
        <f t="shared" si="33"/>
        <v>#DIV/0!</v>
      </c>
      <c r="N406" s="88" t="e">
        <f t="shared" si="30"/>
        <v>#DIV/0!</v>
      </c>
    </row>
    <row r="407" spans="6:14" x14ac:dyDescent="0.25">
      <c r="F407" s="1"/>
      <c r="G407" s="114">
        <f t="shared" si="31"/>
        <v>0</v>
      </c>
      <c r="H407" s="37">
        <f t="shared" si="32"/>
        <v>0</v>
      </c>
      <c r="I407">
        <f t="shared" si="34"/>
        <v>0</v>
      </c>
      <c r="J407" s="1">
        <f>+SUMIFS('VOLCADO '!H:H,'VOLCADO '!C:C,'Produccion por productor'!A:A,'VOLCADO '!B:B,'Produccion por productor'!B:B,'VOLCADO '!I:I,'Produccion por productor'!C:C,'VOLCADO '!J:J,'Produccion por productor'!E:E)*370</f>
        <v>0</v>
      </c>
      <c r="M407" s="91" t="e">
        <f t="shared" si="33"/>
        <v>#DIV/0!</v>
      </c>
      <c r="N407" s="88" t="e">
        <f t="shared" si="30"/>
        <v>#DIV/0!</v>
      </c>
    </row>
    <row r="408" spans="6:14" x14ac:dyDescent="0.25">
      <c r="F408" s="1"/>
      <c r="G408" s="114">
        <f t="shared" si="31"/>
        <v>0</v>
      </c>
      <c r="H408" s="37">
        <f t="shared" si="32"/>
        <v>0</v>
      </c>
      <c r="I408">
        <f t="shared" si="34"/>
        <v>0</v>
      </c>
      <c r="J408" s="1">
        <f>+SUMIFS('VOLCADO '!H:H,'VOLCADO '!C:C,'Produccion por productor'!A:A,'VOLCADO '!B:B,'Produccion por productor'!B:B,'VOLCADO '!I:I,'Produccion por productor'!C:C,'VOLCADO '!J:J,'Produccion por productor'!E:E)*370</f>
        <v>0</v>
      </c>
      <c r="M408" s="91" t="e">
        <f t="shared" si="33"/>
        <v>#DIV/0!</v>
      </c>
      <c r="N408" s="88" t="e">
        <f t="shared" si="30"/>
        <v>#DIV/0!</v>
      </c>
    </row>
    <row r="409" spans="6:14" x14ac:dyDescent="0.25">
      <c r="F409" s="1"/>
      <c r="G409" s="114">
        <f t="shared" si="31"/>
        <v>0</v>
      </c>
      <c r="H409" s="37">
        <f t="shared" si="32"/>
        <v>0</v>
      </c>
      <c r="I409">
        <f t="shared" si="34"/>
        <v>0</v>
      </c>
      <c r="J409" s="1">
        <f>+SUMIFS('VOLCADO '!H:H,'VOLCADO '!C:C,'Produccion por productor'!A:A,'VOLCADO '!B:B,'Produccion por productor'!B:B,'VOLCADO '!I:I,'Produccion por productor'!C:C,'VOLCADO '!J:J,'Produccion por productor'!E:E)*370</f>
        <v>0</v>
      </c>
      <c r="M409" s="91" t="e">
        <f t="shared" si="33"/>
        <v>#DIV/0!</v>
      </c>
      <c r="N409" s="88" t="e">
        <f t="shared" si="30"/>
        <v>#DIV/0!</v>
      </c>
    </row>
    <row r="410" spans="6:14" x14ac:dyDescent="0.25">
      <c r="F410" s="1"/>
      <c r="G410" s="114">
        <f t="shared" si="31"/>
        <v>0</v>
      </c>
      <c r="H410" s="37">
        <f t="shared" si="32"/>
        <v>0</v>
      </c>
      <c r="I410">
        <f t="shared" si="34"/>
        <v>0</v>
      </c>
      <c r="J410" s="1">
        <f>+SUMIFS('VOLCADO '!H:H,'VOLCADO '!C:C,'Produccion por productor'!A:A,'VOLCADO '!B:B,'Produccion por productor'!B:B,'VOLCADO '!I:I,'Produccion por productor'!C:C,'VOLCADO '!J:J,'Produccion por productor'!E:E)*370</f>
        <v>0</v>
      </c>
      <c r="M410" s="91" t="e">
        <f t="shared" si="33"/>
        <v>#DIV/0!</v>
      </c>
      <c r="N410" s="88" t="e">
        <f t="shared" si="30"/>
        <v>#DIV/0!</v>
      </c>
    </row>
    <row r="411" spans="6:14" x14ac:dyDescent="0.25">
      <c r="F411" s="1"/>
      <c r="G411" s="114">
        <f t="shared" si="31"/>
        <v>0</v>
      </c>
      <c r="H411" s="37">
        <f t="shared" si="32"/>
        <v>0</v>
      </c>
      <c r="I411">
        <f t="shared" si="34"/>
        <v>0</v>
      </c>
      <c r="J411" s="1">
        <f>+SUMIFS('VOLCADO '!H:H,'VOLCADO '!C:C,'Produccion por productor'!A:A,'VOLCADO '!B:B,'Produccion por productor'!B:B,'VOLCADO '!I:I,'Produccion por productor'!C:C,'VOLCADO '!J:J,'Produccion por productor'!E:E)*370</f>
        <v>0</v>
      </c>
      <c r="M411" s="91" t="e">
        <f t="shared" si="33"/>
        <v>#DIV/0!</v>
      </c>
      <c r="N411" s="88" t="e">
        <f t="shared" si="30"/>
        <v>#DIV/0!</v>
      </c>
    </row>
    <row r="412" spans="6:14" x14ac:dyDescent="0.25">
      <c r="F412" s="1"/>
      <c r="G412" s="114">
        <f t="shared" si="31"/>
        <v>0</v>
      </c>
      <c r="H412" s="37">
        <f t="shared" si="32"/>
        <v>0</v>
      </c>
      <c r="I412">
        <f t="shared" si="34"/>
        <v>0</v>
      </c>
      <c r="J412" s="1">
        <f>+SUMIFS('VOLCADO '!H:H,'VOLCADO '!C:C,'Produccion por productor'!A:A,'VOLCADO '!B:B,'Produccion por productor'!B:B,'VOLCADO '!I:I,'Produccion por productor'!C:C,'VOLCADO '!J:J,'Produccion por productor'!E:E)*370</f>
        <v>0</v>
      </c>
      <c r="M412" s="91" t="e">
        <f t="shared" si="33"/>
        <v>#DIV/0!</v>
      </c>
      <c r="N412" s="88" t="e">
        <f t="shared" si="30"/>
        <v>#DIV/0!</v>
      </c>
    </row>
    <row r="413" spans="6:14" x14ac:dyDescent="0.25">
      <c r="F413" s="1"/>
      <c r="G413" s="114">
        <f t="shared" si="31"/>
        <v>0</v>
      </c>
      <c r="H413" s="37">
        <f t="shared" si="32"/>
        <v>0</v>
      </c>
      <c r="I413">
        <f t="shared" si="34"/>
        <v>0</v>
      </c>
      <c r="J413" s="1">
        <f>+SUMIFS('VOLCADO '!H:H,'VOLCADO '!C:C,'Produccion por productor'!A:A,'VOLCADO '!B:B,'Produccion por productor'!B:B,'VOLCADO '!I:I,'Produccion por productor'!C:C,'VOLCADO '!J:J,'Produccion por productor'!E:E)*370</f>
        <v>0</v>
      </c>
      <c r="M413" s="91" t="e">
        <f t="shared" si="33"/>
        <v>#DIV/0!</v>
      </c>
      <c r="N413" s="88" t="e">
        <f t="shared" si="30"/>
        <v>#DIV/0!</v>
      </c>
    </row>
    <row r="414" spans="6:14" x14ac:dyDescent="0.25">
      <c r="F414" s="1"/>
      <c r="G414" s="114">
        <f t="shared" si="31"/>
        <v>0</v>
      </c>
      <c r="H414" s="37">
        <f t="shared" si="32"/>
        <v>0</v>
      </c>
      <c r="I414">
        <f t="shared" si="34"/>
        <v>0</v>
      </c>
      <c r="J414" s="1">
        <f>+SUMIFS('VOLCADO '!H:H,'VOLCADO '!C:C,'Produccion por productor'!A:A,'VOLCADO '!B:B,'Produccion por productor'!B:B,'VOLCADO '!I:I,'Produccion por productor'!C:C,'VOLCADO '!J:J,'Produccion por productor'!E:E)*370</f>
        <v>0</v>
      </c>
      <c r="M414" s="91" t="e">
        <f t="shared" si="33"/>
        <v>#DIV/0!</v>
      </c>
      <c r="N414" s="88" t="e">
        <f t="shared" si="30"/>
        <v>#DIV/0!</v>
      </c>
    </row>
    <row r="415" spans="6:14" x14ac:dyDescent="0.25">
      <c r="F415" s="1"/>
      <c r="G415" s="114">
        <f t="shared" si="31"/>
        <v>0</v>
      </c>
      <c r="H415" s="37">
        <f t="shared" si="32"/>
        <v>0</v>
      </c>
      <c r="I415">
        <f t="shared" si="34"/>
        <v>0</v>
      </c>
      <c r="J415" s="1">
        <f>+SUMIFS('VOLCADO '!H:H,'VOLCADO '!C:C,'Produccion por productor'!A:A,'VOLCADO '!B:B,'Produccion por productor'!B:B,'VOLCADO '!I:I,'Produccion por productor'!C:C,'VOLCADO '!J:J,'Produccion por productor'!E:E)*370</f>
        <v>0</v>
      </c>
      <c r="M415" s="91" t="e">
        <f t="shared" si="33"/>
        <v>#DIV/0!</v>
      </c>
      <c r="N415" s="88" t="e">
        <f t="shared" si="30"/>
        <v>#DIV/0!</v>
      </c>
    </row>
    <row r="416" spans="6:14" x14ac:dyDescent="0.25">
      <c r="F416" s="1"/>
      <c r="G416" s="114">
        <f t="shared" si="31"/>
        <v>0</v>
      </c>
      <c r="H416" s="37">
        <f t="shared" si="32"/>
        <v>0</v>
      </c>
      <c r="I416">
        <f t="shared" si="34"/>
        <v>0</v>
      </c>
      <c r="J416" s="1">
        <f>+SUMIFS('VOLCADO '!H:H,'VOLCADO '!C:C,'Produccion por productor'!A:A,'VOLCADO '!B:B,'Produccion por productor'!B:B,'VOLCADO '!I:I,'Produccion por productor'!C:C,'VOLCADO '!J:J,'Produccion por productor'!E:E)*370</f>
        <v>0</v>
      </c>
      <c r="M416" s="91" t="e">
        <f t="shared" si="33"/>
        <v>#DIV/0!</v>
      </c>
      <c r="N416" s="88" t="e">
        <f t="shared" si="30"/>
        <v>#DIV/0!</v>
      </c>
    </row>
    <row r="417" spans="6:14" x14ac:dyDescent="0.25">
      <c r="F417" s="1"/>
      <c r="G417" s="114">
        <f t="shared" si="31"/>
        <v>0</v>
      </c>
      <c r="H417" s="37">
        <f t="shared" si="32"/>
        <v>0</v>
      </c>
      <c r="I417">
        <f t="shared" si="34"/>
        <v>0</v>
      </c>
      <c r="J417" s="1">
        <f>+SUMIFS('VOLCADO '!H:H,'VOLCADO '!C:C,'Produccion por productor'!A:A,'VOLCADO '!B:B,'Produccion por productor'!B:B,'VOLCADO '!I:I,'Produccion por productor'!C:C,'VOLCADO '!J:J,'Produccion por productor'!E:E)*370</f>
        <v>0</v>
      </c>
      <c r="M417" s="91" t="e">
        <f t="shared" si="33"/>
        <v>#DIV/0!</v>
      </c>
      <c r="N417" s="88" t="e">
        <f t="shared" si="30"/>
        <v>#DIV/0!</v>
      </c>
    </row>
    <row r="418" spans="6:14" x14ac:dyDescent="0.25">
      <c r="F418" s="1"/>
      <c r="G418" s="114">
        <f t="shared" si="31"/>
        <v>0</v>
      </c>
      <c r="H418" s="37">
        <f t="shared" si="32"/>
        <v>0</v>
      </c>
      <c r="I418">
        <f t="shared" si="34"/>
        <v>0</v>
      </c>
      <c r="J418" s="1">
        <f>+SUMIFS('VOLCADO '!H:H,'VOLCADO '!C:C,'Produccion por productor'!A:A,'VOLCADO '!B:B,'Produccion por productor'!B:B,'VOLCADO '!I:I,'Produccion por productor'!C:C,'VOLCADO '!J:J,'Produccion por productor'!E:E)*370</f>
        <v>0</v>
      </c>
      <c r="M418" s="91" t="e">
        <f t="shared" si="33"/>
        <v>#DIV/0!</v>
      </c>
      <c r="N418" s="88" t="e">
        <f t="shared" si="30"/>
        <v>#DIV/0!</v>
      </c>
    </row>
    <row r="419" spans="6:14" x14ac:dyDescent="0.25">
      <c r="F419" s="1"/>
      <c r="G419" s="114">
        <f t="shared" si="31"/>
        <v>0</v>
      </c>
      <c r="H419" s="37">
        <f t="shared" si="32"/>
        <v>0</v>
      </c>
      <c r="I419">
        <f t="shared" si="34"/>
        <v>0</v>
      </c>
      <c r="J419" s="1">
        <f>+SUMIFS('VOLCADO '!H:H,'VOLCADO '!C:C,'Produccion por productor'!A:A,'VOLCADO '!B:B,'Produccion por productor'!B:B,'VOLCADO '!I:I,'Produccion por productor'!C:C,'VOLCADO '!J:J,'Produccion por productor'!E:E)*370</f>
        <v>0</v>
      </c>
      <c r="M419" s="91" t="e">
        <f t="shared" si="33"/>
        <v>#DIV/0!</v>
      </c>
      <c r="N419" s="88" t="e">
        <f t="shared" si="30"/>
        <v>#DIV/0!</v>
      </c>
    </row>
    <row r="420" spans="6:14" x14ac:dyDescent="0.25">
      <c r="F420" s="1"/>
      <c r="G420" s="114">
        <f t="shared" si="31"/>
        <v>0</v>
      </c>
      <c r="H420" s="37">
        <f t="shared" si="32"/>
        <v>0</v>
      </c>
      <c r="I420">
        <f t="shared" si="34"/>
        <v>0</v>
      </c>
      <c r="J420" s="1">
        <f>+SUMIFS('VOLCADO '!H:H,'VOLCADO '!C:C,'Produccion por productor'!A:A,'VOLCADO '!B:B,'Produccion por productor'!B:B,'VOLCADO '!I:I,'Produccion por productor'!C:C,'VOLCADO '!J:J,'Produccion por productor'!E:E)*370</f>
        <v>0</v>
      </c>
      <c r="M420" s="91" t="e">
        <f t="shared" si="33"/>
        <v>#DIV/0!</v>
      </c>
      <c r="N420" s="88" t="e">
        <f t="shared" si="30"/>
        <v>#DIV/0!</v>
      </c>
    </row>
    <row r="421" spans="6:14" x14ac:dyDescent="0.25">
      <c r="F421" s="1"/>
      <c r="G421" s="114">
        <f t="shared" si="31"/>
        <v>0</v>
      </c>
      <c r="H421" s="37">
        <f t="shared" si="32"/>
        <v>0</v>
      </c>
      <c r="I421">
        <f t="shared" si="34"/>
        <v>0</v>
      </c>
      <c r="J421" s="1">
        <f>+SUMIFS('VOLCADO '!H:H,'VOLCADO '!C:C,'Produccion por productor'!A:A,'VOLCADO '!B:B,'Produccion por productor'!B:B,'VOLCADO '!I:I,'Produccion por productor'!C:C,'VOLCADO '!J:J,'Produccion por productor'!E:E)*370</f>
        <v>0</v>
      </c>
      <c r="M421" s="91" t="e">
        <f t="shared" si="33"/>
        <v>#DIV/0!</v>
      </c>
      <c r="N421" s="88" t="e">
        <f t="shared" si="30"/>
        <v>#DIV/0!</v>
      </c>
    </row>
    <row r="422" spans="6:14" x14ac:dyDescent="0.25">
      <c r="F422" s="1"/>
      <c r="G422" s="114">
        <f t="shared" si="31"/>
        <v>0</v>
      </c>
      <c r="H422" s="37">
        <f t="shared" si="32"/>
        <v>0</v>
      </c>
      <c r="I422">
        <f t="shared" si="34"/>
        <v>0</v>
      </c>
      <c r="J422" s="1">
        <f>+SUMIFS('VOLCADO '!H:H,'VOLCADO '!C:C,'Produccion por productor'!A:A,'VOLCADO '!B:B,'Produccion por productor'!B:B,'VOLCADO '!I:I,'Produccion por productor'!C:C,'VOLCADO '!J:J,'Produccion por productor'!E:E)*370</f>
        <v>0</v>
      </c>
      <c r="M422" s="91" t="e">
        <f t="shared" si="33"/>
        <v>#DIV/0!</v>
      </c>
      <c r="N422" s="88" t="e">
        <f t="shared" si="30"/>
        <v>#DIV/0!</v>
      </c>
    </row>
    <row r="423" spans="6:14" x14ac:dyDescent="0.25">
      <c r="F423" s="1"/>
      <c r="G423" s="114">
        <f t="shared" si="31"/>
        <v>0</v>
      </c>
      <c r="H423" s="37">
        <f t="shared" si="32"/>
        <v>0</v>
      </c>
      <c r="I423">
        <f t="shared" si="34"/>
        <v>0</v>
      </c>
      <c r="J423" s="1">
        <f>+SUMIFS('VOLCADO '!H:H,'VOLCADO '!C:C,'Produccion por productor'!A:A,'VOLCADO '!B:B,'Produccion por productor'!B:B,'VOLCADO '!I:I,'Produccion por productor'!C:C,'VOLCADO '!J:J,'Produccion por productor'!E:E)*370</f>
        <v>0</v>
      </c>
      <c r="M423" s="91" t="e">
        <f t="shared" si="33"/>
        <v>#DIV/0!</v>
      </c>
      <c r="N423" s="88" t="e">
        <f t="shared" si="30"/>
        <v>#DIV/0!</v>
      </c>
    </row>
    <row r="424" spans="6:14" x14ac:dyDescent="0.25">
      <c r="F424" s="1"/>
      <c r="G424" s="114">
        <f t="shared" si="31"/>
        <v>0</v>
      </c>
      <c r="H424" s="37">
        <f t="shared" si="32"/>
        <v>0</v>
      </c>
      <c r="I424">
        <f t="shared" si="34"/>
        <v>0</v>
      </c>
      <c r="J424" s="1">
        <f>+SUMIFS('VOLCADO '!H:H,'VOLCADO '!C:C,'Produccion por productor'!A:A,'VOLCADO '!B:B,'Produccion por productor'!B:B,'VOLCADO '!I:I,'Produccion por productor'!C:C,'VOLCADO '!J:J,'Produccion por productor'!E:E)*370</f>
        <v>0</v>
      </c>
      <c r="M424" s="91" t="e">
        <f t="shared" si="33"/>
        <v>#DIV/0!</v>
      </c>
      <c r="N424" s="88" t="e">
        <f t="shared" si="30"/>
        <v>#DIV/0!</v>
      </c>
    </row>
    <row r="425" spans="6:14" x14ac:dyDescent="0.25">
      <c r="F425" s="1"/>
      <c r="G425" s="114">
        <f t="shared" si="31"/>
        <v>0</v>
      </c>
      <c r="H425" s="37">
        <f t="shared" si="32"/>
        <v>0</v>
      </c>
      <c r="I425">
        <f t="shared" si="34"/>
        <v>0</v>
      </c>
      <c r="J425" s="1">
        <f>+SUMIFS('VOLCADO '!H:H,'VOLCADO '!C:C,'Produccion por productor'!A:A,'VOLCADO '!B:B,'Produccion por productor'!B:B,'VOLCADO '!I:I,'Produccion por productor'!C:C,'VOLCADO '!J:J,'Produccion por productor'!E:E)*370</f>
        <v>0</v>
      </c>
      <c r="M425" s="91" t="e">
        <f t="shared" si="33"/>
        <v>#DIV/0!</v>
      </c>
      <c r="N425" s="88" t="e">
        <f t="shared" si="30"/>
        <v>#DIV/0!</v>
      </c>
    </row>
    <row r="426" spans="6:14" x14ac:dyDescent="0.25">
      <c r="F426" s="1"/>
      <c r="G426" s="114">
        <f t="shared" si="31"/>
        <v>0</v>
      </c>
      <c r="H426" s="37">
        <f t="shared" si="32"/>
        <v>0</v>
      </c>
      <c r="I426">
        <f t="shared" si="34"/>
        <v>0</v>
      </c>
      <c r="J426" s="1">
        <f>+SUMIFS('VOLCADO '!H:H,'VOLCADO '!C:C,'Produccion por productor'!A:A,'VOLCADO '!B:B,'Produccion por productor'!B:B,'VOLCADO '!I:I,'Produccion por productor'!C:C,'VOLCADO '!J:J,'Produccion por productor'!E:E)*370</f>
        <v>0</v>
      </c>
      <c r="M426" s="91" t="e">
        <f t="shared" si="33"/>
        <v>#DIV/0!</v>
      </c>
      <c r="N426" s="88" t="e">
        <f t="shared" si="30"/>
        <v>#DIV/0!</v>
      </c>
    </row>
    <row r="427" spans="6:14" x14ac:dyDescent="0.25">
      <c r="F427" s="1"/>
      <c r="G427" s="114">
        <f t="shared" si="31"/>
        <v>0</v>
      </c>
      <c r="H427" s="37">
        <f t="shared" si="32"/>
        <v>0</v>
      </c>
      <c r="I427">
        <f t="shared" si="34"/>
        <v>0</v>
      </c>
      <c r="J427" s="1">
        <f>+SUMIFS('VOLCADO '!H:H,'VOLCADO '!C:C,'Produccion por productor'!A:A,'VOLCADO '!B:B,'Produccion por productor'!B:B,'VOLCADO '!I:I,'Produccion por productor'!C:C,'VOLCADO '!J:J,'Produccion por productor'!E:E)*370</f>
        <v>0</v>
      </c>
      <c r="M427" s="91" t="e">
        <f t="shared" si="33"/>
        <v>#DIV/0!</v>
      </c>
      <c r="N427" s="88" t="e">
        <f t="shared" si="30"/>
        <v>#DIV/0!</v>
      </c>
    </row>
    <row r="428" spans="6:14" x14ac:dyDescent="0.25">
      <c r="F428" s="1"/>
      <c r="G428" s="114">
        <f t="shared" si="31"/>
        <v>0</v>
      </c>
      <c r="H428" s="37">
        <f t="shared" si="32"/>
        <v>0</v>
      </c>
      <c r="I428">
        <f t="shared" si="34"/>
        <v>0</v>
      </c>
      <c r="J428" s="1">
        <f>+SUMIFS('VOLCADO '!H:H,'VOLCADO '!C:C,'Produccion por productor'!A:A,'VOLCADO '!B:B,'Produccion por productor'!B:B,'VOLCADO '!I:I,'Produccion por productor'!C:C,'VOLCADO '!J:J,'Produccion por productor'!E:E)*370</f>
        <v>0</v>
      </c>
      <c r="M428" s="91" t="e">
        <f t="shared" si="33"/>
        <v>#DIV/0!</v>
      </c>
      <c r="N428" s="88" t="e">
        <f t="shared" si="30"/>
        <v>#DIV/0!</v>
      </c>
    </row>
    <row r="429" spans="6:14" x14ac:dyDescent="0.25">
      <c r="F429" s="1"/>
      <c r="G429" s="114">
        <f t="shared" si="31"/>
        <v>0</v>
      </c>
      <c r="H429" s="37">
        <f t="shared" si="32"/>
        <v>0</v>
      </c>
      <c r="I429">
        <f t="shared" si="34"/>
        <v>0</v>
      </c>
      <c r="J429" s="1">
        <f>+SUMIFS('VOLCADO '!H:H,'VOLCADO '!C:C,'Produccion por productor'!A:A,'VOLCADO '!B:B,'Produccion por productor'!B:B,'VOLCADO '!I:I,'Produccion por productor'!C:C,'VOLCADO '!J:J,'Produccion por productor'!E:E)*370</f>
        <v>0</v>
      </c>
      <c r="M429" s="91" t="e">
        <f t="shared" si="33"/>
        <v>#DIV/0!</v>
      </c>
      <c r="N429" s="88" t="e">
        <f t="shared" si="30"/>
        <v>#DIV/0!</v>
      </c>
    </row>
    <row r="430" spans="6:14" x14ac:dyDescent="0.25">
      <c r="F430" s="1"/>
      <c r="G430" s="114">
        <f t="shared" si="31"/>
        <v>0</v>
      </c>
      <c r="H430" s="37">
        <f t="shared" si="32"/>
        <v>0</v>
      </c>
      <c r="I430">
        <f t="shared" si="34"/>
        <v>0</v>
      </c>
      <c r="J430" s="1">
        <f>+SUMIFS('VOLCADO '!H:H,'VOLCADO '!C:C,'Produccion por productor'!A:A,'VOLCADO '!B:B,'Produccion por productor'!B:B,'VOLCADO '!I:I,'Produccion por productor'!C:C,'VOLCADO '!J:J,'Produccion por productor'!E:E)*370</f>
        <v>0</v>
      </c>
      <c r="M430" s="91" t="e">
        <f t="shared" si="33"/>
        <v>#DIV/0!</v>
      </c>
      <c r="N430" s="88" t="e">
        <f t="shared" si="30"/>
        <v>#DIV/0!</v>
      </c>
    </row>
    <row r="431" spans="6:14" x14ac:dyDescent="0.25">
      <c r="F431" s="1"/>
      <c r="G431" s="114">
        <f t="shared" si="31"/>
        <v>0</v>
      </c>
      <c r="H431" s="37">
        <f t="shared" si="32"/>
        <v>0</v>
      </c>
      <c r="I431">
        <f t="shared" si="34"/>
        <v>0</v>
      </c>
      <c r="J431" s="1">
        <f>+SUMIFS('VOLCADO '!H:H,'VOLCADO '!C:C,'Produccion por productor'!A:A,'VOLCADO '!B:B,'Produccion por productor'!B:B,'VOLCADO '!I:I,'Produccion por productor'!C:C,'VOLCADO '!J:J,'Produccion por productor'!E:E)*370</f>
        <v>0</v>
      </c>
      <c r="M431" s="91" t="e">
        <f t="shared" si="33"/>
        <v>#DIV/0!</v>
      </c>
      <c r="N431" s="88" t="e">
        <f t="shared" si="30"/>
        <v>#DIV/0!</v>
      </c>
    </row>
    <row r="432" spans="6:14" x14ac:dyDescent="0.25">
      <c r="F432" s="1"/>
      <c r="G432" s="114">
        <f t="shared" si="31"/>
        <v>0</v>
      </c>
      <c r="H432" s="37">
        <f t="shared" si="32"/>
        <v>0</v>
      </c>
      <c r="I432">
        <f t="shared" si="34"/>
        <v>0</v>
      </c>
      <c r="J432" s="1">
        <f>+SUMIFS('VOLCADO '!H:H,'VOLCADO '!C:C,'Produccion por productor'!A:A,'VOLCADO '!B:B,'Produccion por productor'!B:B,'VOLCADO '!I:I,'Produccion por productor'!C:C,'VOLCADO '!J:J,'Produccion por productor'!E:E)*370</f>
        <v>0</v>
      </c>
      <c r="M432" s="91" t="e">
        <f t="shared" si="33"/>
        <v>#DIV/0!</v>
      </c>
      <c r="N432" s="88" t="e">
        <f t="shared" si="30"/>
        <v>#DIV/0!</v>
      </c>
    </row>
    <row r="433" spans="6:14" x14ac:dyDescent="0.25">
      <c r="F433" s="1"/>
      <c r="G433" s="114">
        <f t="shared" si="31"/>
        <v>0</v>
      </c>
      <c r="H433" s="37">
        <f t="shared" si="32"/>
        <v>0</v>
      </c>
      <c r="I433">
        <f t="shared" si="34"/>
        <v>0</v>
      </c>
      <c r="J433" s="1">
        <f>+SUMIFS('VOLCADO '!H:H,'VOLCADO '!C:C,'Produccion por productor'!A:A,'VOLCADO '!B:B,'Produccion por productor'!B:B,'VOLCADO '!I:I,'Produccion por productor'!C:C,'VOLCADO '!J:J,'Produccion por productor'!E:E)*370</f>
        <v>0</v>
      </c>
      <c r="M433" s="91" t="e">
        <f t="shared" si="33"/>
        <v>#DIV/0!</v>
      </c>
      <c r="N433" s="88" t="e">
        <f t="shared" si="30"/>
        <v>#DIV/0!</v>
      </c>
    </row>
    <row r="434" spans="6:14" x14ac:dyDescent="0.25">
      <c r="F434" s="1"/>
      <c r="G434" s="114">
        <f t="shared" si="31"/>
        <v>0</v>
      </c>
      <c r="H434" s="37">
        <f t="shared" si="32"/>
        <v>0</v>
      </c>
      <c r="I434">
        <f t="shared" si="34"/>
        <v>0</v>
      </c>
      <c r="J434" s="1">
        <f>+SUMIFS('VOLCADO '!H:H,'VOLCADO '!C:C,'Produccion por productor'!A:A,'VOLCADO '!B:B,'Produccion por productor'!B:B,'VOLCADO '!I:I,'Produccion por productor'!C:C,'VOLCADO '!J:J,'Produccion por productor'!E:E)*370</f>
        <v>0</v>
      </c>
      <c r="M434" s="91" t="e">
        <f t="shared" si="33"/>
        <v>#DIV/0!</v>
      </c>
      <c r="N434" s="88" t="e">
        <f t="shared" si="30"/>
        <v>#DIV/0!</v>
      </c>
    </row>
    <row r="435" spans="6:14" x14ac:dyDescent="0.25">
      <c r="F435" s="1"/>
      <c r="G435" s="114">
        <f t="shared" si="31"/>
        <v>0</v>
      </c>
      <c r="H435" s="37">
        <f t="shared" si="32"/>
        <v>0</v>
      </c>
      <c r="I435">
        <f t="shared" si="34"/>
        <v>0</v>
      </c>
      <c r="J435" s="1">
        <f>+SUMIFS('VOLCADO '!H:H,'VOLCADO '!C:C,'Produccion por productor'!A:A,'VOLCADO '!B:B,'Produccion por productor'!B:B,'VOLCADO '!I:I,'Produccion por productor'!C:C,'VOLCADO '!J:J,'Produccion por productor'!E:E)*370</f>
        <v>0</v>
      </c>
      <c r="M435" s="91" t="e">
        <f t="shared" si="33"/>
        <v>#DIV/0!</v>
      </c>
      <c r="N435" s="88" t="e">
        <f t="shared" si="30"/>
        <v>#DIV/0!</v>
      </c>
    </row>
    <row r="436" spans="6:14" x14ac:dyDescent="0.25">
      <c r="F436" s="1"/>
      <c r="G436" s="114">
        <f t="shared" si="31"/>
        <v>0</v>
      </c>
      <c r="H436" s="37">
        <f t="shared" si="32"/>
        <v>0</v>
      </c>
      <c r="I436">
        <f t="shared" si="34"/>
        <v>0</v>
      </c>
      <c r="J436" s="1">
        <f>+SUMIFS('VOLCADO '!H:H,'VOLCADO '!C:C,'Produccion por productor'!A:A,'VOLCADO '!B:B,'Produccion por productor'!B:B,'VOLCADO '!I:I,'Produccion por productor'!C:C,'VOLCADO '!J:J,'Produccion por productor'!E:E)*370</f>
        <v>0</v>
      </c>
      <c r="M436" s="91" t="e">
        <f t="shared" si="33"/>
        <v>#DIV/0!</v>
      </c>
      <c r="N436" s="88" t="e">
        <f t="shared" si="30"/>
        <v>#DIV/0!</v>
      </c>
    </row>
    <row r="437" spans="6:14" x14ac:dyDescent="0.25">
      <c r="F437" s="1"/>
      <c r="G437" s="114">
        <f t="shared" si="31"/>
        <v>0</v>
      </c>
      <c r="H437" s="37">
        <f t="shared" si="32"/>
        <v>0</v>
      </c>
      <c r="I437">
        <f t="shared" si="34"/>
        <v>0</v>
      </c>
      <c r="J437" s="1">
        <f>+SUMIFS('VOLCADO '!H:H,'VOLCADO '!C:C,'Produccion por productor'!A:A,'VOLCADO '!B:B,'Produccion por productor'!B:B,'VOLCADO '!I:I,'Produccion por productor'!C:C,'VOLCADO '!J:J,'Produccion por productor'!E:E)*370</f>
        <v>0</v>
      </c>
      <c r="M437" s="91" t="e">
        <f t="shared" si="33"/>
        <v>#DIV/0!</v>
      </c>
      <c r="N437" s="88" t="e">
        <f t="shared" si="30"/>
        <v>#DIV/0!</v>
      </c>
    </row>
    <row r="438" spans="6:14" x14ac:dyDescent="0.25">
      <c r="F438" s="1"/>
      <c r="G438" s="114">
        <f t="shared" si="31"/>
        <v>0</v>
      </c>
      <c r="H438" s="37">
        <f t="shared" si="32"/>
        <v>0</v>
      </c>
      <c r="I438">
        <f t="shared" si="34"/>
        <v>0</v>
      </c>
      <c r="J438" s="1">
        <f>+SUMIFS('VOLCADO '!H:H,'VOLCADO '!C:C,'Produccion por productor'!A:A,'VOLCADO '!B:B,'Produccion por productor'!B:B,'VOLCADO '!I:I,'Produccion por productor'!C:C,'VOLCADO '!J:J,'Produccion por productor'!E:E)*370</f>
        <v>0</v>
      </c>
      <c r="M438" s="91" t="e">
        <f t="shared" si="33"/>
        <v>#DIV/0!</v>
      </c>
      <c r="N438" s="88" t="e">
        <f t="shared" si="30"/>
        <v>#DIV/0!</v>
      </c>
    </row>
    <row r="439" spans="6:14" x14ac:dyDescent="0.25">
      <c r="F439" s="1"/>
      <c r="G439" s="114">
        <f t="shared" si="31"/>
        <v>0</v>
      </c>
      <c r="H439" s="37">
        <f t="shared" si="32"/>
        <v>0</v>
      </c>
      <c r="I439">
        <f t="shared" si="34"/>
        <v>0</v>
      </c>
      <c r="J439" s="1">
        <f>+SUMIFS('VOLCADO '!H:H,'VOLCADO '!C:C,'Produccion por productor'!A:A,'VOLCADO '!B:B,'Produccion por productor'!B:B,'VOLCADO '!I:I,'Produccion por productor'!C:C,'VOLCADO '!J:J,'Produccion por productor'!E:E)*370</f>
        <v>0</v>
      </c>
      <c r="M439" s="91" t="e">
        <f t="shared" si="33"/>
        <v>#DIV/0!</v>
      </c>
      <c r="N439" s="88" t="e">
        <f t="shared" si="30"/>
        <v>#DIV/0!</v>
      </c>
    </row>
    <row r="440" spans="6:14" x14ac:dyDescent="0.25">
      <c r="F440" s="1"/>
      <c r="G440" s="114">
        <f t="shared" si="31"/>
        <v>0</v>
      </c>
      <c r="H440" s="37">
        <f t="shared" si="32"/>
        <v>0</v>
      </c>
      <c r="I440">
        <f t="shared" si="34"/>
        <v>0</v>
      </c>
      <c r="J440" s="1">
        <f>+SUMIFS('VOLCADO '!H:H,'VOLCADO '!C:C,'Produccion por productor'!A:A,'VOLCADO '!B:B,'Produccion por productor'!B:B,'VOLCADO '!I:I,'Produccion por productor'!C:C,'VOLCADO '!J:J,'Produccion por productor'!E:E)*370</f>
        <v>0</v>
      </c>
      <c r="M440" s="91" t="e">
        <f t="shared" si="33"/>
        <v>#DIV/0!</v>
      </c>
      <c r="N440" s="88" t="e">
        <f t="shared" si="30"/>
        <v>#DIV/0!</v>
      </c>
    </row>
    <row r="441" spans="6:14" x14ac:dyDescent="0.25">
      <c r="F441" s="1"/>
      <c r="G441" s="114">
        <f t="shared" si="31"/>
        <v>0</v>
      </c>
      <c r="H441" s="37">
        <f t="shared" si="32"/>
        <v>0</v>
      </c>
      <c r="I441">
        <f t="shared" si="34"/>
        <v>0</v>
      </c>
      <c r="J441" s="1">
        <f>+SUMIFS('VOLCADO '!H:H,'VOLCADO '!C:C,'Produccion por productor'!A:A,'VOLCADO '!B:B,'Produccion por productor'!B:B,'VOLCADO '!I:I,'Produccion por productor'!C:C,'VOLCADO '!J:J,'Produccion por productor'!E:E)*370</f>
        <v>0</v>
      </c>
      <c r="M441" s="91" t="e">
        <f t="shared" si="33"/>
        <v>#DIV/0!</v>
      </c>
      <c r="N441" s="88" t="e">
        <f t="shared" si="30"/>
        <v>#DIV/0!</v>
      </c>
    </row>
    <row r="442" spans="6:14" x14ac:dyDescent="0.25">
      <c r="F442" s="1"/>
      <c r="G442" s="114">
        <f t="shared" si="31"/>
        <v>0</v>
      </c>
      <c r="H442" s="37">
        <f t="shared" si="32"/>
        <v>0</v>
      </c>
      <c r="I442">
        <f t="shared" si="34"/>
        <v>0</v>
      </c>
      <c r="J442" s="1">
        <f>+SUMIFS('VOLCADO '!H:H,'VOLCADO '!C:C,'Produccion por productor'!A:A,'VOLCADO '!B:B,'Produccion por productor'!B:B,'VOLCADO '!I:I,'Produccion por productor'!C:C,'VOLCADO '!J:J,'Produccion por productor'!E:E)*370</f>
        <v>0</v>
      </c>
      <c r="M442" s="91" t="e">
        <f t="shared" si="33"/>
        <v>#DIV/0!</v>
      </c>
      <c r="N442" s="88" t="e">
        <f t="shared" si="30"/>
        <v>#DIV/0!</v>
      </c>
    </row>
    <row r="443" spans="6:14" x14ac:dyDescent="0.25">
      <c r="F443" s="1"/>
      <c r="G443" s="114">
        <f t="shared" si="31"/>
        <v>0</v>
      </c>
      <c r="H443" s="37">
        <f t="shared" si="32"/>
        <v>0</v>
      </c>
      <c r="I443">
        <f t="shared" si="34"/>
        <v>0</v>
      </c>
      <c r="J443" s="1">
        <f>+SUMIFS('VOLCADO '!H:H,'VOLCADO '!C:C,'Produccion por productor'!A:A,'VOLCADO '!B:B,'Produccion por productor'!B:B,'VOLCADO '!I:I,'Produccion por productor'!C:C,'VOLCADO '!J:J,'Produccion por productor'!E:E)*370</f>
        <v>0</v>
      </c>
      <c r="M443" s="91" t="e">
        <f t="shared" si="33"/>
        <v>#DIV/0!</v>
      </c>
      <c r="N443" s="88" t="e">
        <f t="shared" si="30"/>
        <v>#DIV/0!</v>
      </c>
    </row>
    <row r="444" spans="6:14" x14ac:dyDescent="0.25">
      <c r="F444" s="1"/>
      <c r="G444" s="114">
        <f t="shared" si="31"/>
        <v>0</v>
      </c>
      <c r="H444" s="37">
        <f t="shared" si="32"/>
        <v>0</v>
      </c>
      <c r="I444">
        <f t="shared" si="34"/>
        <v>0</v>
      </c>
      <c r="J444" s="1">
        <f>+SUMIFS('VOLCADO '!H:H,'VOLCADO '!C:C,'Produccion por productor'!A:A,'VOLCADO '!B:B,'Produccion por productor'!B:B,'VOLCADO '!I:I,'Produccion por productor'!C:C,'VOLCADO '!J:J,'Produccion por productor'!E:E)*370</f>
        <v>0</v>
      </c>
      <c r="M444" s="91" t="e">
        <f t="shared" si="33"/>
        <v>#DIV/0!</v>
      </c>
      <c r="N444" s="88" t="e">
        <f t="shared" si="30"/>
        <v>#DIV/0!</v>
      </c>
    </row>
    <row r="445" spans="6:14" x14ac:dyDescent="0.25">
      <c r="F445" s="1"/>
      <c r="G445" s="114">
        <f t="shared" si="31"/>
        <v>0</v>
      </c>
      <c r="H445" s="37">
        <f t="shared" si="32"/>
        <v>0</v>
      </c>
      <c r="I445">
        <f t="shared" si="34"/>
        <v>0</v>
      </c>
      <c r="J445" s="1">
        <f>+SUMIFS('VOLCADO '!H:H,'VOLCADO '!C:C,'Produccion por productor'!A:A,'VOLCADO '!B:B,'Produccion por productor'!B:B,'VOLCADO '!I:I,'Produccion por productor'!C:C,'VOLCADO '!J:J,'Produccion por productor'!E:E)*370</f>
        <v>0</v>
      </c>
      <c r="M445" s="91" t="e">
        <f t="shared" si="33"/>
        <v>#DIV/0!</v>
      </c>
      <c r="N445" s="88" t="e">
        <f t="shared" si="30"/>
        <v>#DIV/0!</v>
      </c>
    </row>
    <row r="446" spans="6:14" x14ac:dyDescent="0.25">
      <c r="F446" s="1"/>
      <c r="G446" s="114">
        <f t="shared" si="31"/>
        <v>0</v>
      </c>
      <c r="H446" s="37">
        <f t="shared" si="32"/>
        <v>0</v>
      </c>
      <c r="I446">
        <f t="shared" si="34"/>
        <v>0</v>
      </c>
      <c r="J446" s="1">
        <f>+SUMIFS('VOLCADO '!H:H,'VOLCADO '!C:C,'Produccion por productor'!A:A,'VOLCADO '!B:B,'Produccion por productor'!B:B,'VOLCADO '!I:I,'Produccion por productor'!C:C,'VOLCADO '!J:J,'Produccion por productor'!E:E)*370</f>
        <v>0</v>
      </c>
      <c r="M446" s="91" t="e">
        <f t="shared" si="33"/>
        <v>#DIV/0!</v>
      </c>
      <c r="N446" s="88" t="e">
        <f t="shared" si="30"/>
        <v>#DIV/0!</v>
      </c>
    </row>
    <row r="447" spans="6:14" x14ac:dyDescent="0.25">
      <c r="F447" s="1"/>
      <c r="G447" s="114">
        <f t="shared" si="31"/>
        <v>0</v>
      </c>
      <c r="H447" s="37">
        <f t="shared" si="32"/>
        <v>0</v>
      </c>
      <c r="I447">
        <f t="shared" si="34"/>
        <v>0</v>
      </c>
      <c r="J447" s="1">
        <f>+SUMIFS('VOLCADO '!H:H,'VOLCADO '!C:C,'Produccion por productor'!A:A,'VOLCADO '!B:B,'Produccion por productor'!B:B,'VOLCADO '!I:I,'Produccion por productor'!C:C,'VOLCADO '!J:J,'Produccion por productor'!E:E)*370</f>
        <v>0</v>
      </c>
      <c r="M447" s="91" t="e">
        <f t="shared" si="33"/>
        <v>#DIV/0!</v>
      </c>
      <c r="N447" s="88" t="e">
        <f t="shared" si="30"/>
        <v>#DIV/0!</v>
      </c>
    </row>
    <row r="448" spans="6:14" x14ac:dyDescent="0.25">
      <c r="F448" s="1"/>
      <c r="G448" s="114">
        <f t="shared" si="31"/>
        <v>0</v>
      </c>
      <c r="H448" s="37">
        <f t="shared" si="32"/>
        <v>0</v>
      </c>
      <c r="I448">
        <f t="shared" si="34"/>
        <v>0</v>
      </c>
      <c r="J448" s="1">
        <f>+SUMIFS('VOLCADO '!H:H,'VOLCADO '!C:C,'Produccion por productor'!A:A,'VOLCADO '!B:B,'Produccion por productor'!B:B,'VOLCADO '!I:I,'Produccion por productor'!C:C,'VOLCADO '!J:J,'Produccion por productor'!E:E)*370</f>
        <v>0</v>
      </c>
      <c r="M448" s="91" t="e">
        <f t="shared" si="33"/>
        <v>#DIV/0!</v>
      </c>
      <c r="N448" s="88" t="e">
        <f t="shared" si="30"/>
        <v>#DIV/0!</v>
      </c>
    </row>
    <row r="449" spans="6:14" x14ac:dyDescent="0.25">
      <c r="F449" s="1"/>
      <c r="G449" s="114">
        <f t="shared" si="31"/>
        <v>0</v>
      </c>
      <c r="H449" s="37">
        <f t="shared" si="32"/>
        <v>0</v>
      </c>
      <c r="I449">
        <f t="shared" si="34"/>
        <v>0</v>
      </c>
      <c r="J449" s="1">
        <f>+SUMIFS('VOLCADO '!H:H,'VOLCADO '!C:C,'Produccion por productor'!A:A,'VOLCADO '!B:B,'Produccion por productor'!B:B,'VOLCADO '!I:I,'Produccion por productor'!C:C,'VOLCADO '!J:J,'Produccion por productor'!E:E)*370</f>
        <v>0</v>
      </c>
      <c r="M449" s="91" t="e">
        <f t="shared" si="33"/>
        <v>#DIV/0!</v>
      </c>
      <c r="N449" s="88" t="e">
        <f t="shared" ref="N449:N512" si="35">+((F449+I449)/J449)*100</f>
        <v>#DIV/0!</v>
      </c>
    </row>
    <row r="450" spans="6:14" x14ac:dyDescent="0.25">
      <c r="F450" s="1"/>
      <c r="G450" s="114">
        <f t="shared" ref="G450:G513" si="36">+F450+I450</f>
        <v>0</v>
      </c>
      <c r="H450" s="37">
        <f t="shared" ref="H450:H513" si="37">+(F450*0.05)+F450</f>
        <v>0</v>
      </c>
      <c r="I450">
        <f t="shared" si="34"/>
        <v>0</v>
      </c>
      <c r="J450" s="1">
        <f>+SUMIFS('VOLCADO '!H:H,'VOLCADO '!C:C,'Produccion por productor'!A:A,'VOLCADO '!B:B,'Produccion por productor'!B:B,'VOLCADO '!I:I,'Produccion por productor'!C:C,'VOLCADO '!J:J,'Produccion por productor'!E:E)*370</f>
        <v>0</v>
      </c>
      <c r="M450" s="91" t="e">
        <f t="shared" si="33"/>
        <v>#DIV/0!</v>
      </c>
      <c r="N450" s="88" t="e">
        <f t="shared" si="35"/>
        <v>#DIV/0!</v>
      </c>
    </row>
    <row r="451" spans="6:14" x14ac:dyDescent="0.25">
      <c r="F451" s="1"/>
      <c r="G451" s="114">
        <f t="shared" si="36"/>
        <v>0</v>
      </c>
      <c r="H451" s="37">
        <f t="shared" si="37"/>
        <v>0</v>
      </c>
      <c r="I451">
        <f t="shared" si="34"/>
        <v>0</v>
      </c>
      <c r="J451" s="1">
        <f>+SUMIFS('VOLCADO '!H:H,'VOLCADO '!C:C,'Produccion por productor'!A:A,'VOLCADO '!B:B,'Produccion por productor'!B:B,'VOLCADO '!I:I,'Produccion por productor'!C:C,'VOLCADO '!J:J,'Produccion por productor'!E:E)*370</f>
        <v>0</v>
      </c>
      <c r="M451" s="91" t="e">
        <f t="shared" ref="M451:M514" si="38">+((H451+I451)/J451)*100</f>
        <v>#DIV/0!</v>
      </c>
      <c r="N451" s="88" t="e">
        <f t="shared" si="35"/>
        <v>#DIV/0!</v>
      </c>
    </row>
    <row r="452" spans="6:14" x14ac:dyDescent="0.25">
      <c r="F452" s="1"/>
      <c r="G452" s="114">
        <f t="shared" si="36"/>
        <v>0</v>
      </c>
      <c r="H452" s="37">
        <f t="shared" si="37"/>
        <v>0</v>
      </c>
      <c r="I452">
        <f t="shared" si="34"/>
        <v>0</v>
      </c>
      <c r="J452" s="1">
        <f>+SUMIFS('VOLCADO '!H:H,'VOLCADO '!C:C,'Produccion por productor'!A:A,'VOLCADO '!B:B,'Produccion por productor'!B:B,'VOLCADO '!I:I,'Produccion por productor'!C:C,'VOLCADO '!J:J,'Produccion por productor'!E:E)*370</f>
        <v>0</v>
      </c>
      <c r="M452" s="91" t="e">
        <f t="shared" si="38"/>
        <v>#DIV/0!</v>
      </c>
      <c r="N452" s="88" t="e">
        <f t="shared" si="35"/>
        <v>#DIV/0!</v>
      </c>
    </row>
    <row r="453" spans="6:14" x14ac:dyDescent="0.25">
      <c r="F453" s="1"/>
      <c r="G453" s="114">
        <f t="shared" si="36"/>
        <v>0</v>
      </c>
      <c r="H453" s="37">
        <f t="shared" si="37"/>
        <v>0</v>
      </c>
      <c r="I453">
        <f t="shared" si="34"/>
        <v>0</v>
      </c>
      <c r="J453" s="1">
        <f>+SUMIFS('VOLCADO '!H:H,'VOLCADO '!C:C,'Produccion por productor'!A:A,'VOLCADO '!B:B,'Produccion por productor'!B:B,'VOLCADO '!I:I,'Produccion por productor'!C:C,'VOLCADO '!J:J,'Produccion por productor'!E:E)*370</f>
        <v>0</v>
      </c>
      <c r="M453" s="91" t="e">
        <f t="shared" si="38"/>
        <v>#DIV/0!</v>
      </c>
      <c r="N453" s="88" t="e">
        <f t="shared" si="35"/>
        <v>#DIV/0!</v>
      </c>
    </row>
    <row r="454" spans="6:14" x14ac:dyDescent="0.25">
      <c r="F454" s="1"/>
      <c r="G454" s="114">
        <f t="shared" si="36"/>
        <v>0</v>
      </c>
      <c r="H454" s="37">
        <f t="shared" si="37"/>
        <v>0</v>
      </c>
      <c r="I454">
        <f t="shared" si="34"/>
        <v>0</v>
      </c>
      <c r="J454" s="1">
        <f>+SUMIFS('VOLCADO '!H:H,'VOLCADO '!C:C,'Produccion por productor'!A:A,'VOLCADO '!B:B,'Produccion por productor'!B:B,'VOLCADO '!I:I,'Produccion por productor'!C:C,'VOLCADO '!J:J,'Produccion por productor'!E:E)*370</f>
        <v>0</v>
      </c>
      <c r="M454" s="91" t="e">
        <f t="shared" si="38"/>
        <v>#DIV/0!</v>
      </c>
      <c r="N454" s="88" t="e">
        <f t="shared" si="35"/>
        <v>#DIV/0!</v>
      </c>
    </row>
    <row r="455" spans="6:14" x14ac:dyDescent="0.25">
      <c r="F455" s="1"/>
      <c r="G455" s="114">
        <f t="shared" si="36"/>
        <v>0</v>
      </c>
      <c r="H455" s="37">
        <f t="shared" si="37"/>
        <v>0</v>
      </c>
      <c r="I455">
        <f t="shared" si="34"/>
        <v>0</v>
      </c>
      <c r="J455" s="1">
        <f>+SUMIFS('VOLCADO '!H:H,'VOLCADO '!C:C,'Produccion por productor'!A:A,'VOLCADO '!B:B,'Produccion por productor'!B:B,'VOLCADO '!I:I,'Produccion por productor'!C:C,'VOLCADO '!J:J,'Produccion por productor'!E:E)*370</f>
        <v>0</v>
      </c>
      <c r="M455" s="91" t="e">
        <f t="shared" si="38"/>
        <v>#DIV/0!</v>
      </c>
      <c r="N455" s="88" t="e">
        <f t="shared" si="35"/>
        <v>#DIV/0!</v>
      </c>
    </row>
    <row r="456" spans="6:14" x14ac:dyDescent="0.25">
      <c r="F456" s="1"/>
      <c r="G456" s="114">
        <f t="shared" si="36"/>
        <v>0</v>
      </c>
      <c r="H456" s="37">
        <f t="shared" si="37"/>
        <v>0</v>
      </c>
      <c r="I456">
        <f t="shared" si="34"/>
        <v>0</v>
      </c>
      <c r="J456" s="1">
        <f>+SUMIFS('VOLCADO '!H:H,'VOLCADO '!C:C,'Produccion por productor'!A:A,'VOLCADO '!B:B,'Produccion por productor'!B:B,'VOLCADO '!I:I,'Produccion por productor'!C:C,'VOLCADO '!J:J,'Produccion por productor'!E:E)*370</f>
        <v>0</v>
      </c>
      <c r="M456" s="91" t="e">
        <f t="shared" si="38"/>
        <v>#DIV/0!</v>
      </c>
      <c r="N456" s="88" t="e">
        <f t="shared" si="35"/>
        <v>#DIV/0!</v>
      </c>
    </row>
    <row r="457" spans="6:14" x14ac:dyDescent="0.25">
      <c r="F457" s="1"/>
      <c r="G457" s="114">
        <f t="shared" si="36"/>
        <v>0</v>
      </c>
      <c r="H457" s="37">
        <f t="shared" si="37"/>
        <v>0</v>
      </c>
      <c r="I457">
        <f t="shared" si="34"/>
        <v>0</v>
      </c>
      <c r="J457" s="1">
        <f>+SUMIFS('VOLCADO '!H:H,'VOLCADO '!C:C,'Produccion por productor'!A:A,'VOLCADO '!B:B,'Produccion por productor'!B:B,'VOLCADO '!I:I,'Produccion por productor'!C:C,'VOLCADO '!J:J,'Produccion por productor'!E:E)*370</f>
        <v>0</v>
      </c>
      <c r="M457" s="91" t="e">
        <f t="shared" si="38"/>
        <v>#DIV/0!</v>
      </c>
      <c r="N457" s="88" t="e">
        <f t="shared" si="35"/>
        <v>#DIV/0!</v>
      </c>
    </row>
    <row r="458" spans="6:14" x14ac:dyDescent="0.25">
      <c r="F458" s="1"/>
      <c r="G458" s="114">
        <f t="shared" si="36"/>
        <v>0</v>
      </c>
      <c r="H458" s="37">
        <f t="shared" si="37"/>
        <v>0</v>
      </c>
      <c r="I458">
        <f t="shared" si="34"/>
        <v>0</v>
      </c>
      <c r="J458" s="1">
        <f>+SUMIFS('VOLCADO '!H:H,'VOLCADO '!C:C,'Produccion por productor'!A:A,'VOLCADO '!B:B,'Produccion por productor'!B:B,'VOLCADO '!I:I,'Produccion por productor'!C:C,'VOLCADO '!J:J,'Produccion por productor'!E:E)*370</f>
        <v>0</v>
      </c>
      <c r="M458" s="91" t="e">
        <f t="shared" si="38"/>
        <v>#DIV/0!</v>
      </c>
      <c r="N458" s="88" t="e">
        <f t="shared" si="35"/>
        <v>#DIV/0!</v>
      </c>
    </row>
    <row r="459" spans="6:14" x14ac:dyDescent="0.25">
      <c r="F459" s="1"/>
      <c r="G459" s="114">
        <f t="shared" si="36"/>
        <v>0</v>
      </c>
      <c r="H459" s="37">
        <f t="shared" si="37"/>
        <v>0</v>
      </c>
      <c r="I459">
        <f t="shared" si="34"/>
        <v>0</v>
      </c>
      <c r="J459" s="1">
        <f>+SUMIFS('VOLCADO '!H:H,'VOLCADO '!C:C,'Produccion por productor'!A:A,'VOLCADO '!B:B,'Produccion por productor'!B:B,'VOLCADO '!I:I,'Produccion por productor'!C:C,'VOLCADO '!J:J,'Produccion por productor'!E:E)*370</f>
        <v>0</v>
      </c>
      <c r="M459" s="91" t="e">
        <f t="shared" si="38"/>
        <v>#DIV/0!</v>
      </c>
      <c r="N459" s="88" t="e">
        <f t="shared" si="35"/>
        <v>#DIV/0!</v>
      </c>
    </row>
    <row r="460" spans="6:14" x14ac:dyDescent="0.25">
      <c r="F460" s="1"/>
      <c r="G460" s="114">
        <f t="shared" si="36"/>
        <v>0</v>
      </c>
      <c r="H460" s="37">
        <f t="shared" si="37"/>
        <v>0</v>
      </c>
      <c r="I460">
        <f t="shared" si="34"/>
        <v>0</v>
      </c>
      <c r="J460" s="1">
        <f>+SUMIFS('VOLCADO '!H:H,'VOLCADO '!C:C,'Produccion por productor'!A:A,'VOLCADO '!B:B,'Produccion por productor'!B:B,'VOLCADO '!I:I,'Produccion por productor'!C:C,'VOLCADO '!J:J,'Produccion por productor'!E:E)*370</f>
        <v>0</v>
      </c>
      <c r="M460" s="91" t="e">
        <f t="shared" si="38"/>
        <v>#DIV/0!</v>
      </c>
      <c r="N460" s="88" t="e">
        <f t="shared" si="35"/>
        <v>#DIV/0!</v>
      </c>
    </row>
    <row r="461" spans="6:14" x14ac:dyDescent="0.25">
      <c r="F461" s="1"/>
      <c r="G461" s="114">
        <f t="shared" si="36"/>
        <v>0</v>
      </c>
      <c r="H461" s="37">
        <f t="shared" si="37"/>
        <v>0</v>
      </c>
      <c r="I461">
        <f t="shared" si="34"/>
        <v>0</v>
      </c>
      <c r="J461" s="1">
        <f>+SUMIFS('VOLCADO '!H:H,'VOLCADO '!C:C,'Produccion por productor'!A:A,'VOLCADO '!B:B,'Produccion por productor'!B:B,'VOLCADO '!I:I,'Produccion por productor'!C:C,'VOLCADO '!J:J,'Produccion por productor'!E:E)*370</f>
        <v>0</v>
      </c>
      <c r="M461" s="91" t="e">
        <f t="shared" si="38"/>
        <v>#DIV/0!</v>
      </c>
      <c r="N461" s="88" t="e">
        <f t="shared" si="35"/>
        <v>#DIV/0!</v>
      </c>
    </row>
    <row r="462" spans="6:14" x14ac:dyDescent="0.25">
      <c r="F462" s="1"/>
      <c r="G462" s="114">
        <f t="shared" si="36"/>
        <v>0</v>
      </c>
      <c r="H462" s="37">
        <f t="shared" si="37"/>
        <v>0</v>
      </c>
      <c r="I462">
        <f t="shared" ref="I462:I525" si="39">+L462-K462</f>
        <v>0</v>
      </c>
      <c r="J462" s="1">
        <f>+SUMIFS('VOLCADO '!H:H,'VOLCADO '!C:C,'Produccion por productor'!A:A,'VOLCADO '!B:B,'Produccion por productor'!B:B,'VOLCADO '!I:I,'Produccion por productor'!C:C,'VOLCADO '!J:J,'Produccion por productor'!E:E)*370</f>
        <v>0</v>
      </c>
      <c r="M462" s="91" t="e">
        <f t="shared" si="38"/>
        <v>#DIV/0!</v>
      </c>
      <c r="N462" s="88" t="e">
        <f t="shared" si="35"/>
        <v>#DIV/0!</v>
      </c>
    </row>
    <row r="463" spans="6:14" x14ac:dyDescent="0.25">
      <c r="F463" s="1"/>
      <c r="G463" s="114">
        <f t="shared" si="36"/>
        <v>0</v>
      </c>
      <c r="H463" s="37">
        <f t="shared" si="37"/>
        <v>0</v>
      </c>
      <c r="I463">
        <f t="shared" si="39"/>
        <v>0</v>
      </c>
      <c r="J463" s="1">
        <f>+SUMIFS('VOLCADO '!H:H,'VOLCADO '!C:C,'Produccion por productor'!A:A,'VOLCADO '!B:B,'Produccion por productor'!B:B,'VOLCADO '!I:I,'Produccion por productor'!C:C,'VOLCADO '!J:J,'Produccion por productor'!E:E)*370</f>
        <v>0</v>
      </c>
      <c r="M463" s="91" t="e">
        <f t="shared" si="38"/>
        <v>#DIV/0!</v>
      </c>
      <c r="N463" s="88" t="e">
        <f t="shared" si="35"/>
        <v>#DIV/0!</v>
      </c>
    </row>
    <row r="464" spans="6:14" x14ac:dyDescent="0.25">
      <c r="F464" s="1"/>
      <c r="G464" s="114">
        <f t="shared" si="36"/>
        <v>0</v>
      </c>
      <c r="H464" s="37">
        <f t="shared" si="37"/>
        <v>0</v>
      </c>
      <c r="I464">
        <f t="shared" si="39"/>
        <v>0</v>
      </c>
      <c r="J464" s="1">
        <f>+SUMIFS('VOLCADO '!H:H,'VOLCADO '!C:C,'Produccion por productor'!A:A,'VOLCADO '!B:B,'Produccion por productor'!B:B,'VOLCADO '!I:I,'Produccion por productor'!C:C,'VOLCADO '!J:J,'Produccion por productor'!E:E)*370</f>
        <v>0</v>
      </c>
      <c r="M464" s="91" t="e">
        <f t="shared" si="38"/>
        <v>#DIV/0!</v>
      </c>
      <c r="N464" s="88" t="e">
        <f t="shared" si="35"/>
        <v>#DIV/0!</v>
      </c>
    </row>
    <row r="465" spans="6:14" x14ac:dyDescent="0.25">
      <c r="F465" s="1"/>
      <c r="G465" s="114">
        <f t="shared" si="36"/>
        <v>0</v>
      </c>
      <c r="H465" s="37">
        <f t="shared" si="37"/>
        <v>0</v>
      </c>
      <c r="I465">
        <f t="shared" si="39"/>
        <v>0</v>
      </c>
      <c r="J465" s="1">
        <f>+SUMIFS('VOLCADO '!H:H,'VOLCADO '!C:C,'Produccion por productor'!A:A,'VOLCADO '!B:B,'Produccion por productor'!B:B,'VOLCADO '!I:I,'Produccion por productor'!C:C,'VOLCADO '!J:J,'Produccion por productor'!E:E)*370</f>
        <v>0</v>
      </c>
      <c r="M465" s="91" t="e">
        <f t="shared" si="38"/>
        <v>#DIV/0!</v>
      </c>
      <c r="N465" s="88" t="e">
        <f t="shared" si="35"/>
        <v>#DIV/0!</v>
      </c>
    </row>
    <row r="466" spans="6:14" x14ac:dyDescent="0.25">
      <c r="F466" s="1"/>
      <c r="G466" s="114">
        <f t="shared" si="36"/>
        <v>0</v>
      </c>
      <c r="H466" s="37">
        <f t="shared" si="37"/>
        <v>0</v>
      </c>
      <c r="I466">
        <f t="shared" si="39"/>
        <v>0</v>
      </c>
      <c r="J466" s="1">
        <f>+SUMIFS('VOLCADO '!H:H,'VOLCADO '!C:C,'Produccion por productor'!A:A,'VOLCADO '!B:B,'Produccion por productor'!B:B,'VOLCADO '!I:I,'Produccion por productor'!C:C,'VOLCADO '!J:J,'Produccion por productor'!E:E)*370</f>
        <v>0</v>
      </c>
      <c r="M466" s="91" t="e">
        <f t="shared" si="38"/>
        <v>#DIV/0!</v>
      </c>
      <c r="N466" s="88" t="e">
        <f t="shared" si="35"/>
        <v>#DIV/0!</v>
      </c>
    </row>
    <row r="467" spans="6:14" x14ac:dyDescent="0.25">
      <c r="F467" s="1"/>
      <c r="G467" s="114">
        <f t="shared" si="36"/>
        <v>0</v>
      </c>
      <c r="H467" s="37">
        <f t="shared" si="37"/>
        <v>0</v>
      </c>
      <c r="I467">
        <f t="shared" si="39"/>
        <v>0</v>
      </c>
      <c r="J467" s="1">
        <f>+SUMIFS('VOLCADO '!H:H,'VOLCADO '!C:C,'Produccion por productor'!A:A,'VOLCADO '!B:B,'Produccion por productor'!B:B,'VOLCADO '!I:I,'Produccion por productor'!C:C,'VOLCADO '!J:J,'Produccion por productor'!E:E)*370</f>
        <v>0</v>
      </c>
      <c r="M467" s="91" t="e">
        <f t="shared" si="38"/>
        <v>#DIV/0!</v>
      </c>
      <c r="N467" s="88" t="e">
        <f t="shared" si="35"/>
        <v>#DIV/0!</v>
      </c>
    </row>
    <row r="468" spans="6:14" x14ac:dyDescent="0.25">
      <c r="F468" s="1"/>
      <c r="G468" s="114">
        <f t="shared" si="36"/>
        <v>0</v>
      </c>
      <c r="H468" s="37">
        <f t="shared" si="37"/>
        <v>0</v>
      </c>
      <c r="I468">
        <f t="shared" si="39"/>
        <v>0</v>
      </c>
      <c r="J468" s="1">
        <f>+SUMIFS('VOLCADO '!H:H,'VOLCADO '!C:C,'Produccion por productor'!A:A,'VOLCADO '!B:B,'Produccion por productor'!B:B,'VOLCADO '!I:I,'Produccion por productor'!C:C,'VOLCADO '!J:J,'Produccion por productor'!E:E)*370</f>
        <v>0</v>
      </c>
      <c r="M468" s="91" t="e">
        <f t="shared" si="38"/>
        <v>#DIV/0!</v>
      </c>
      <c r="N468" s="88" t="e">
        <f t="shared" si="35"/>
        <v>#DIV/0!</v>
      </c>
    </row>
    <row r="469" spans="6:14" x14ac:dyDescent="0.25">
      <c r="F469" s="1"/>
      <c r="G469" s="114">
        <f t="shared" si="36"/>
        <v>0</v>
      </c>
      <c r="H469" s="37">
        <f t="shared" si="37"/>
        <v>0</v>
      </c>
      <c r="I469">
        <f t="shared" si="39"/>
        <v>0</v>
      </c>
      <c r="J469" s="1">
        <f>+SUMIFS('VOLCADO '!H:H,'VOLCADO '!C:C,'Produccion por productor'!A:A,'VOLCADO '!B:B,'Produccion por productor'!B:B,'VOLCADO '!I:I,'Produccion por productor'!C:C,'VOLCADO '!J:J,'Produccion por productor'!E:E)*370</f>
        <v>0</v>
      </c>
      <c r="M469" s="91" t="e">
        <f t="shared" si="38"/>
        <v>#DIV/0!</v>
      </c>
      <c r="N469" s="88" t="e">
        <f t="shared" si="35"/>
        <v>#DIV/0!</v>
      </c>
    </row>
    <row r="470" spans="6:14" x14ac:dyDescent="0.25">
      <c r="F470" s="1"/>
      <c r="G470" s="114">
        <f t="shared" si="36"/>
        <v>0</v>
      </c>
      <c r="H470" s="37">
        <f t="shared" si="37"/>
        <v>0</v>
      </c>
      <c r="I470">
        <f t="shared" si="39"/>
        <v>0</v>
      </c>
      <c r="J470" s="1">
        <f>+SUMIFS('VOLCADO '!H:H,'VOLCADO '!C:C,'Produccion por productor'!A:A,'VOLCADO '!B:B,'Produccion por productor'!B:B,'VOLCADO '!I:I,'Produccion por productor'!C:C,'VOLCADO '!J:J,'Produccion por productor'!E:E)*370</f>
        <v>0</v>
      </c>
      <c r="M470" s="91" t="e">
        <f t="shared" si="38"/>
        <v>#DIV/0!</v>
      </c>
      <c r="N470" s="88" t="e">
        <f t="shared" si="35"/>
        <v>#DIV/0!</v>
      </c>
    </row>
    <row r="471" spans="6:14" x14ac:dyDescent="0.25">
      <c r="F471" s="1"/>
      <c r="G471" s="114">
        <f t="shared" si="36"/>
        <v>0</v>
      </c>
      <c r="H471" s="37">
        <f t="shared" si="37"/>
        <v>0</v>
      </c>
      <c r="I471">
        <f t="shared" si="39"/>
        <v>0</v>
      </c>
      <c r="J471" s="1">
        <f>+SUMIFS('VOLCADO '!H:H,'VOLCADO '!C:C,'Produccion por productor'!A:A,'VOLCADO '!B:B,'Produccion por productor'!B:B,'VOLCADO '!I:I,'Produccion por productor'!C:C,'VOLCADO '!J:J,'Produccion por productor'!E:E)*370</f>
        <v>0</v>
      </c>
      <c r="M471" s="91" t="e">
        <f t="shared" si="38"/>
        <v>#DIV/0!</v>
      </c>
      <c r="N471" s="88" t="e">
        <f t="shared" si="35"/>
        <v>#DIV/0!</v>
      </c>
    </row>
    <row r="472" spans="6:14" x14ac:dyDescent="0.25">
      <c r="F472" s="1"/>
      <c r="G472" s="114">
        <f t="shared" si="36"/>
        <v>0</v>
      </c>
      <c r="H472" s="37">
        <f t="shared" si="37"/>
        <v>0</v>
      </c>
      <c r="I472">
        <f t="shared" si="39"/>
        <v>0</v>
      </c>
      <c r="J472" s="1">
        <f>+SUMIFS('VOLCADO '!H:H,'VOLCADO '!C:C,'Produccion por productor'!A:A,'VOLCADO '!B:B,'Produccion por productor'!B:B,'VOLCADO '!I:I,'Produccion por productor'!C:C,'VOLCADO '!J:J,'Produccion por productor'!E:E)*370</f>
        <v>0</v>
      </c>
      <c r="M472" s="91" t="e">
        <f t="shared" si="38"/>
        <v>#DIV/0!</v>
      </c>
      <c r="N472" s="88" t="e">
        <f t="shared" si="35"/>
        <v>#DIV/0!</v>
      </c>
    </row>
    <row r="473" spans="6:14" x14ac:dyDescent="0.25">
      <c r="F473" s="1"/>
      <c r="G473" s="114">
        <f t="shared" si="36"/>
        <v>0</v>
      </c>
      <c r="H473" s="37">
        <f t="shared" si="37"/>
        <v>0</v>
      </c>
      <c r="I473">
        <f t="shared" si="39"/>
        <v>0</v>
      </c>
      <c r="J473" s="1">
        <f>+SUMIFS('VOLCADO '!H:H,'VOLCADO '!C:C,'Produccion por productor'!A:A,'VOLCADO '!B:B,'Produccion por productor'!B:B,'VOLCADO '!I:I,'Produccion por productor'!C:C,'VOLCADO '!J:J,'Produccion por productor'!E:E)*370</f>
        <v>0</v>
      </c>
      <c r="M473" s="91" t="e">
        <f t="shared" si="38"/>
        <v>#DIV/0!</v>
      </c>
      <c r="N473" s="88" t="e">
        <f t="shared" si="35"/>
        <v>#DIV/0!</v>
      </c>
    </row>
    <row r="474" spans="6:14" x14ac:dyDescent="0.25">
      <c r="F474" s="1"/>
      <c r="G474" s="114">
        <f t="shared" si="36"/>
        <v>0</v>
      </c>
      <c r="H474" s="37">
        <f t="shared" si="37"/>
        <v>0</v>
      </c>
      <c r="I474">
        <f t="shared" si="39"/>
        <v>0</v>
      </c>
      <c r="J474" s="1">
        <f>+SUMIFS('VOLCADO '!H:H,'VOLCADO '!C:C,'Produccion por productor'!A:A,'VOLCADO '!B:B,'Produccion por productor'!B:B,'VOLCADO '!I:I,'Produccion por productor'!C:C,'VOLCADO '!J:J,'Produccion por productor'!E:E)*370</f>
        <v>0</v>
      </c>
      <c r="M474" s="91" t="e">
        <f t="shared" si="38"/>
        <v>#DIV/0!</v>
      </c>
      <c r="N474" s="88" t="e">
        <f t="shared" si="35"/>
        <v>#DIV/0!</v>
      </c>
    </row>
    <row r="475" spans="6:14" x14ac:dyDescent="0.25">
      <c r="F475" s="1"/>
      <c r="G475" s="114">
        <f t="shared" si="36"/>
        <v>0</v>
      </c>
      <c r="H475" s="37">
        <f t="shared" si="37"/>
        <v>0</v>
      </c>
      <c r="I475">
        <f t="shared" si="39"/>
        <v>0</v>
      </c>
      <c r="J475" s="1">
        <f>+SUMIFS('VOLCADO '!H:H,'VOLCADO '!C:C,'Produccion por productor'!A:A,'VOLCADO '!B:B,'Produccion por productor'!B:B,'VOLCADO '!I:I,'Produccion por productor'!C:C,'VOLCADO '!J:J,'Produccion por productor'!E:E)*370</f>
        <v>0</v>
      </c>
      <c r="M475" s="91" t="e">
        <f t="shared" si="38"/>
        <v>#DIV/0!</v>
      </c>
      <c r="N475" s="88" t="e">
        <f t="shared" si="35"/>
        <v>#DIV/0!</v>
      </c>
    </row>
    <row r="476" spans="6:14" x14ac:dyDescent="0.25">
      <c r="F476" s="1"/>
      <c r="G476" s="114">
        <f t="shared" si="36"/>
        <v>0</v>
      </c>
      <c r="H476" s="37">
        <f t="shared" si="37"/>
        <v>0</v>
      </c>
      <c r="I476">
        <f t="shared" si="39"/>
        <v>0</v>
      </c>
      <c r="J476" s="1">
        <f>+SUMIFS('VOLCADO '!H:H,'VOLCADO '!C:C,'Produccion por productor'!A:A,'VOLCADO '!B:B,'Produccion por productor'!B:B,'VOLCADO '!I:I,'Produccion por productor'!C:C,'VOLCADO '!J:J,'Produccion por productor'!E:E)*370</f>
        <v>0</v>
      </c>
      <c r="M476" s="91" t="e">
        <f t="shared" si="38"/>
        <v>#DIV/0!</v>
      </c>
      <c r="N476" s="88" t="e">
        <f t="shared" si="35"/>
        <v>#DIV/0!</v>
      </c>
    </row>
    <row r="477" spans="6:14" x14ac:dyDescent="0.25">
      <c r="F477" s="1"/>
      <c r="G477" s="114">
        <f t="shared" si="36"/>
        <v>0</v>
      </c>
      <c r="H477" s="37">
        <f t="shared" si="37"/>
        <v>0</v>
      </c>
      <c r="I477">
        <f t="shared" si="39"/>
        <v>0</v>
      </c>
      <c r="J477" s="1">
        <f>+SUMIFS('VOLCADO '!H:H,'VOLCADO '!C:C,'Produccion por productor'!A:A,'VOLCADO '!B:B,'Produccion por productor'!B:B,'VOLCADO '!I:I,'Produccion por productor'!C:C,'VOLCADO '!J:J,'Produccion por productor'!E:E)*370</f>
        <v>0</v>
      </c>
      <c r="M477" s="91" t="e">
        <f t="shared" si="38"/>
        <v>#DIV/0!</v>
      </c>
      <c r="N477" s="88" t="e">
        <f t="shared" si="35"/>
        <v>#DIV/0!</v>
      </c>
    </row>
    <row r="478" spans="6:14" x14ac:dyDescent="0.25">
      <c r="F478" s="1"/>
      <c r="G478" s="114">
        <f t="shared" si="36"/>
        <v>0</v>
      </c>
      <c r="H478" s="37">
        <f t="shared" si="37"/>
        <v>0</v>
      </c>
      <c r="I478">
        <f t="shared" si="39"/>
        <v>0</v>
      </c>
      <c r="J478" s="1">
        <f>+SUMIFS('VOLCADO '!H:H,'VOLCADO '!C:C,'Produccion por productor'!A:A,'VOLCADO '!B:B,'Produccion por productor'!B:B,'VOLCADO '!I:I,'Produccion por productor'!C:C,'VOLCADO '!J:J,'Produccion por productor'!E:E)*370</f>
        <v>0</v>
      </c>
      <c r="M478" s="91" t="e">
        <f t="shared" si="38"/>
        <v>#DIV/0!</v>
      </c>
      <c r="N478" s="88" t="e">
        <f t="shared" si="35"/>
        <v>#DIV/0!</v>
      </c>
    </row>
    <row r="479" spans="6:14" x14ac:dyDescent="0.25">
      <c r="F479" s="1"/>
      <c r="G479" s="114">
        <f t="shared" si="36"/>
        <v>0</v>
      </c>
      <c r="H479" s="37">
        <f t="shared" si="37"/>
        <v>0</v>
      </c>
      <c r="I479">
        <f t="shared" si="39"/>
        <v>0</v>
      </c>
      <c r="J479" s="1">
        <f>+SUMIFS('VOLCADO '!H:H,'VOLCADO '!C:C,'Produccion por productor'!A:A,'VOLCADO '!B:B,'Produccion por productor'!B:B,'VOLCADO '!I:I,'Produccion por productor'!C:C,'VOLCADO '!J:J,'Produccion por productor'!E:E)*370</f>
        <v>0</v>
      </c>
      <c r="M479" s="91" t="e">
        <f t="shared" si="38"/>
        <v>#DIV/0!</v>
      </c>
      <c r="N479" s="88" t="e">
        <f t="shared" si="35"/>
        <v>#DIV/0!</v>
      </c>
    </row>
    <row r="480" spans="6:14" x14ac:dyDescent="0.25">
      <c r="F480" s="1"/>
      <c r="G480" s="114">
        <f t="shared" si="36"/>
        <v>0</v>
      </c>
      <c r="H480" s="37">
        <f t="shared" si="37"/>
        <v>0</v>
      </c>
      <c r="I480">
        <f t="shared" si="39"/>
        <v>0</v>
      </c>
      <c r="J480" s="1">
        <f>+SUMIFS('VOLCADO '!H:H,'VOLCADO '!C:C,'Produccion por productor'!A:A,'VOLCADO '!B:B,'Produccion por productor'!B:B,'VOLCADO '!I:I,'Produccion por productor'!C:C,'VOLCADO '!J:J,'Produccion por productor'!E:E)*370</f>
        <v>0</v>
      </c>
      <c r="M480" s="91" t="e">
        <f t="shared" si="38"/>
        <v>#DIV/0!</v>
      </c>
      <c r="N480" s="88" t="e">
        <f t="shared" si="35"/>
        <v>#DIV/0!</v>
      </c>
    </row>
    <row r="481" spans="6:14" x14ac:dyDescent="0.25">
      <c r="F481" s="1"/>
      <c r="G481" s="114">
        <f t="shared" si="36"/>
        <v>0</v>
      </c>
      <c r="H481" s="37">
        <f t="shared" si="37"/>
        <v>0</v>
      </c>
      <c r="I481">
        <f t="shared" si="39"/>
        <v>0</v>
      </c>
      <c r="J481" s="1">
        <f>+SUMIFS('VOLCADO '!H:H,'VOLCADO '!C:C,'Produccion por productor'!A:A,'VOLCADO '!B:B,'Produccion por productor'!B:B,'VOLCADO '!I:I,'Produccion por productor'!C:C,'VOLCADO '!J:J,'Produccion por productor'!E:E)*370</f>
        <v>0</v>
      </c>
      <c r="M481" s="91" t="e">
        <f t="shared" si="38"/>
        <v>#DIV/0!</v>
      </c>
      <c r="N481" s="88" t="e">
        <f t="shared" si="35"/>
        <v>#DIV/0!</v>
      </c>
    </row>
    <row r="482" spans="6:14" x14ac:dyDescent="0.25">
      <c r="F482" s="1"/>
      <c r="G482" s="114">
        <f t="shared" si="36"/>
        <v>0</v>
      </c>
      <c r="H482" s="37">
        <f t="shared" si="37"/>
        <v>0</v>
      </c>
      <c r="I482">
        <f t="shared" si="39"/>
        <v>0</v>
      </c>
      <c r="J482" s="1">
        <f>+SUMIFS('VOLCADO '!H:H,'VOLCADO '!C:C,'Produccion por productor'!A:A,'VOLCADO '!B:B,'Produccion por productor'!B:B,'VOLCADO '!I:I,'Produccion por productor'!C:C,'VOLCADO '!J:J,'Produccion por productor'!E:E)*370</f>
        <v>0</v>
      </c>
      <c r="M482" s="91" t="e">
        <f t="shared" si="38"/>
        <v>#DIV/0!</v>
      </c>
      <c r="N482" s="88" t="e">
        <f t="shared" si="35"/>
        <v>#DIV/0!</v>
      </c>
    </row>
    <row r="483" spans="6:14" x14ac:dyDescent="0.25">
      <c r="F483" s="1"/>
      <c r="G483" s="114">
        <f t="shared" si="36"/>
        <v>0</v>
      </c>
      <c r="H483" s="37">
        <f t="shared" si="37"/>
        <v>0</v>
      </c>
      <c r="I483">
        <f t="shared" si="39"/>
        <v>0</v>
      </c>
      <c r="J483" s="1">
        <f>+SUMIFS('VOLCADO '!H:H,'VOLCADO '!C:C,'Produccion por productor'!A:A,'VOLCADO '!B:B,'Produccion por productor'!B:B,'VOLCADO '!I:I,'Produccion por productor'!C:C,'VOLCADO '!J:J,'Produccion por productor'!E:E)*370</f>
        <v>0</v>
      </c>
      <c r="M483" s="91" t="e">
        <f t="shared" si="38"/>
        <v>#DIV/0!</v>
      </c>
      <c r="N483" s="88" t="e">
        <f t="shared" si="35"/>
        <v>#DIV/0!</v>
      </c>
    </row>
    <row r="484" spans="6:14" x14ac:dyDescent="0.25">
      <c r="F484" s="1"/>
      <c r="G484" s="114">
        <f t="shared" si="36"/>
        <v>0</v>
      </c>
      <c r="H484" s="37">
        <f t="shared" si="37"/>
        <v>0</v>
      </c>
      <c r="I484">
        <f t="shared" si="39"/>
        <v>0</v>
      </c>
      <c r="J484" s="1">
        <f>+SUMIFS('VOLCADO '!H:H,'VOLCADO '!C:C,'Produccion por productor'!A:A,'VOLCADO '!B:B,'Produccion por productor'!B:B,'VOLCADO '!I:I,'Produccion por productor'!C:C,'VOLCADO '!J:J,'Produccion por productor'!E:E)*370</f>
        <v>0</v>
      </c>
      <c r="M484" s="91" t="e">
        <f t="shared" si="38"/>
        <v>#DIV/0!</v>
      </c>
      <c r="N484" s="88" t="e">
        <f t="shared" si="35"/>
        <v>#DIV/0!</v>
      </c>
    </row>
    <row r="485" spans="6:14" x14ac:dyDescent="0.25">
      <c r="F485" s="1"/>
      <c r="G485" s="114">
        <f t="shared" si="36"/>
        <v>0</v>
      </c>
      <c r="H485" s="37">
        <f t="shared" si="37"/>
        <v>0</v>
      </c>
      <c r="I485">
        <f t="shared" si="39"/>
        <v>0</v>
      </c>
      <c r="J485" s="1">
        <f>+SUMIFS('VOLCADO '!H:H,'VOLCADO '!C:C,'Produccion por productor'!A:A,'VOLCADO '!B:B,'Produccion por productor'!B:B,'VOLCADO '!I:I,'Produccion por productor'!C:C,'VOLCADO '!J:J,'Produccion por productor'!E:E)*370</f>
        <v>0</v>
      </c>
      <c r="M485" s="91" t="e">
        <f t="shared" si="38"/>
        <v>#DIV/0!</v>
      </c>
      <c r="N485" s="88" t="e">
        <f t="shared" si="35"/>
        <v>#DIV/0!</v>
      </c>
    </row>
    <row r="486" spans="6:14" x14ac:dyDescent="0.25">
      <c r="F486" s="1"/>
      <c r="G486" s="114">
        <f t="shared" si="36"/>
        <v>0</v>
      </c>
      <c r="H486" s="37">
        <f t="shared" si="37"/>
        <v>0</v>
      </c>
      <c r="I486">
        <f t="shared" si="39"/>
        <v>0</v>
      </c>
      <c r="J486" s="1">
        <f>+SUMIFS('VOLCADO '!H:H,'VOLCADO '!C:C,'Produccion por productor'!A:A,'VOLCADO '!B:B,'Produccion por productor'!B:B,'VOLCADO '!I:I,'Produccion por productor'!C:C,'VOLCADO '!J:J,'Produccion por productor'!E:E)*370</f>
        <v>0</v>
      </c>
      <c r="M486" s="91" t="e">
        <f t="shared" si="38"/>
        <v>#DIV/0!</v>
      </c>
      <c r="N486" s="88" t="e">
        <f t="shared" si="35"/>
        <v>#DIV/0!</v>
      </c>
    </row>
    <row r="487" spans="6:14" x14ac:dyDescent="0.25">
      <c r="F487" s="1"/>
      <c r="G487" s="114">
        <f t="shared" si="36"/>
        <v>0</v>
      </c>
      <c r="H487" s="37">
        <f t="shared" si="37"/>
        <v>0</v>
      </c>
      <c r="I487">
        <f t="shared" si="39"/>
        <v>0</v>
      </c>
      <c r="J487" s="1">
        <f>+SUMIFS('VOLCADO '!H:H,'VOLCADO '!C:C,'Produccion por productor'!A:A,'VOLCADO '!B:B,'Produccion por productor'!B:B,'VOLCADO '!I:I,'Produccion por productor'!C:C,'VOLCADO '!J:J,'Produccion por productor'!E:E)*370</f>
        <v>0</v>
      </c>
      <c r="M487" s="91" t="e">
        <f t="shared" si="38"/>
        <v>#DIV/0!</v>
      </c>
      <c r="N487" s="88" t="e">
        <f t="shared" si="35"/>
        <v>#DIV/0!</v>
      </c>
    </row>
    <row r="488" spans="6:14" x14ac:dyDescent="0.25">
      <c r="F488" s="1"/>
      <c r="G488" s="114">
        <f t="shared" si="36"/>
        <v>0</v>
      </c>
      <c r="H488" s="37">
        <f t="shared" si="37"/>
        <v>0</v>
      </c>
      <c r="I488">
        <f t="shared" si="39"/>
        <v>0</v>
      </c>
      <c r="J488" s="1">
        <f>+SUMIFS('VOLCADO '!H:H,'VOLCADO '!C:C,'Produccion por productor'!A:A,'VOLCADO '!B:B,'Produccion por productor'!B:B,'VOLCADO '!I:I,'Produccion por productor'!C:C,'VOLCADO '!J:J,'Produccion por productor'!E:E)*370</f>
        <v>0</v>
      </c>
      <c r="M488" s="91" t="e">
        <f t="shared" si="38"/>
        <v>#DIV/0!</v>
      </c>
      <c r="N488" s="88" t="e">
        <f t="shared" si="35"/>
        <v>#DIV/0!</v>
      </c>
    </row>
    <row r="489" spans="6:14" x14ac:dyDescent="0.25">
      <c r="F489" s="1"/>
      <c r="G489" s="114">
        <f t="shared" si="36"/>
        <v>0</v>
      </c>
      <c r="H489" s="37">
        <f t="shared" si="37"/>
        <v>0</v>
      </c>
      <c r="I489">
        <f t="shared" si="39"/>
        <v>0</v>
      </c>
      <c r="J489" s="1">
        <f>+SUMIFS('VOLCADO '!H:H,'VOLCADO '!C:C,'Produccion por productor'!A:A,'VOLCADO '!B:B,'Produccion por productor'!B:B,'VOLCADO '!I:I,'Produccion por productor'!C:C,'VOLCADO '!J:J,'Produccion por productor'!E:E)*370</f>
        <v>0</v>
      </c>
      <c r="M489" s="91" t="e">
        <f t="shared" si="38"/>
        <v>#DIV/0!</v>
      </c>
      <c r="N489" s="88" t="e">
        <f t="shared" si="35"/>
        <v>#DIV/0!</v>
      </c>
    </row>
    <row r="490" spans="6:14" x14ac:dyDescent="0.25">
      <c r="F490" s="1"/>
      <c r="G490" s="114">
        <f t="shared" si="36"/>
        <v>0</v>
      </c>
      <c r="H490" s="37">
        <f t="shared" si="37"/>
        <v>0</v>
      </c>
      <c r="I490">
        <f t="shared" si="39"/>
        <v>0</v>
      </c>
      <c r="J490" s="1">
        <f>+SUMIFS('VOLCADO '!H:H,'VOLCADO '!C:C,'Produccion por productor'!A:A,'VOLCADO '!B:B,'Produccion por productor'!B:B,'VOLCADO '!I:I,'Produccion por productor'!C:C,'VOLCADO '!J:J,'Produccion por productor'!E:E)*370</f>
        <v>0</v>
      </c>
      <c r="M490" s="91" t="e">
        <f t="shared" si="38"/>
        <v>#DIV/0!</v>
      </c>
      <c r="N490" s="88" t="e">
        <f t="shared" si="35"/>
        <v>#DIV/0!</v>
      </c>
    </row>
    <row r="491" spans="6:14" x14ac:dyDescent="0.25">
      <c r="F491" s="1"/>
      <c r="G491" s="114">
        <f t="shared" si="36"/>
        <v>0</v>
      </c>
      <c r="H491" s="37">
        <f t="shared" si="37"/>
        <v>0</v>
      </c>
      <c r="I491">
        <f t="shared" si="39"/>
        <v>0</v>
      </c>
      <c r="J491" s="1">
        <f>+SUMIFS('VOLCADO '!H:H,'VOLCADO '!C:C,'Produccion por productor'!A:A,'VOLCADO '!B:B,'Produccion por productor'!B:B,'VOLCADO '!I:I,'Produccion por productor'!C:C,'VOLCADO '!J:J,'Produccion por productor'!E:E)*370</f>
        <v>0</v>
      </c>
      <c r="M491" s="91" t="e">
        <f t="shared" si="38"/>
        <v>#DIV/0!</v>
      </c>
      <c r="N491" s="88" t="e">
        <f t="shared" si="35"/>
        <v>#DIV/0!</v>
      </c>
    </row>
    <row r="492" spans="6:14" x14ac:dyDescent="0.25">
      <c r="F492" s="1"/>
      <c r="G492" s="114">
        <f t="shared" si="36"/>
        <v>0</v>
      </c>
      <c r="H492" s="37">
        <f t="shared" si="37"/>
        <v>0</v>
      </c>
      <c r="I492">
        <f t="shared" si="39"/>
        <v>0</v>
      </c>
      <c r="J492" s="1">
        <f>+SUMIFS('VOLCADO '!H:H,'VOLCADO '!C:C,'Produccion por productor'!A:A,'VOLCADO '!B:B,'Produccion por productor'!B:B,'VOLCADO '!I:I,'Produccion por productor'!C:C,'VOLCADO '!J:J,'Produccion por productor'!E:E)*370</f>
        <v>0</v>
      </c>
      <c r="M492" s="91" t="e">
        <f t="shared" si="38"/>
        <v>#DIV/0!</v>
      </c>
      <c r="N492" s="88" t="e">
        <f t="shared" si="35"/>
        <v>#DIV/0!</v>
      </c>
    </row>
    <row r="493" spans="6:14" x14ac:dyDescent="0.25">
      <c r="F493" s="1"/>
      <c r="G493" s="114">
        <f t="shared" si="36"/>
        <v>0</v>
      </c>
      <c r="H493" s="37">
        <f t="shared" si="37"/>
        <v>0</v>
      </c>
      <c r="I493">
        <f t="shared" si="39"/>
        <v>0</v>
      </c>
      <c r="J493" s="1">
        <f>+SUMIFS('VOLCADO '!H:H,'VOLCADO '!C:C,'Produccion por productor'!A:A,'VOLCADO '!B:B,'Produccion por productor'!B:B,'VOLCADO '!I:I,'Produccion por productor'!C:C,'VOLCADO '!J:J,'Produccion por productor'!E:E)*370</f>
        <v>0</v>
      </c>
      <c r="M493" s="91" t="e">
        <f t="shared" si="38"/>
        <v>#DIV/0!</v>
      </c>
      <c r="N493" s="88" t="e">
        <f t="shared" si="35"/>
        <v>#DIV/0!</v>
      </c>
    </row>
    <row r="494" spans="6:14" x14ac:dyDescent="0.25">
      <c r="F494" s="1"/>
      <c r="G494" s="114">
        <f t="shared" si="36"/>
        <v>0</v>
      </c>
      <c r="H494" s="37">
        <f t="shared" si="37"/>
        <v>0</v>
      </c>
      <c r="I494">
        <f t="shared" si="39"/>
        <v>0</v>
      </c>
      <c r="J494" s="1">
        <f>+SUMIFS('VOLCADO '!H:H,'VOLCADO '!C:C,'Produccion por productor'!A:A,'VOLCADO '!B:B,'Produccion por productor'!B:B,'VOLCADO '!I:I,'Produccion por productor'!C:C,'VOLCADO '!J:J,'Produccion por productor'!E:E)*370</f>
        <v>0</v>
      </c>
      <c r="M494" s="91" t="e">
        <f t="shared" si="38"/>
        <v>#DIV/0!</v>
      </c>
      <c r="N494" s="88" t="e">
        <f t="shared" si="35"/>
        <v>#DIV/0!</v>
      </c>
    </row>
    <row r="495" spans="6:14" x14ac:dyDescent="0.25">
      <c r="F495" s="1"/>
      <c r="G495" s="114">
        <f t="shared" si="36"/>
        <v>0</v>
      </c>
      <c r="H495" s="37">
        <f t="shared" si="37"/>
        <v>0</v>
      </c>
      <c r="I495">
        <f t="shared" si="39"/>
        <v>0</v>
      </c>
      <c r="J495" s="1">
        <f>+SUMIFS('VOLCADO '!H:H,'VOLCADO '!C:C,'Produccion por productor'!A:A,'VOLCADO '!B:B,'Produccion por productor'!B:B,'VOLCADO '!I:I,'Produccion por productor'!C:C,'VOLCADO '!J:J,'Produccion por productor'!E:E)*370</f>
        <v>0</v>
      </c>
      <c r="M495" s="91" t="e">
        <f t="shared" si="38"/>
        <v>#DIV/0!</v>
      </c>
      <c r="N495" s="88" t="e">
        <f t="shared" si="35"/>
        <v>#DIV/0!</v>
      </c>
    </row>
    <row r="496" spans="6:14" x14ac:dyDescent="0.25">
      <c r="F496" s="1"/>
      <c r="G496" s="114">
        <f t="shared" si="36"/>
        <v>0</v>
      </c>
      <c r="H496" s="37">
        <f t="shared" si="37"/>
        <v>0</v>
      </c>
      <c r="I496">
        <f t="shared" si="39"/>
        <v>0</v>
      </c>
      <c r="J496" s="1">
        <f>+SUMIFS('VOLCADO '!H:H,'VOLCADO '!C:C,'Produccion por productor'!A:A,'VOLCADO '!B:B,'Produccion por productor'!B:B,'VOLCADO '!I:I,'Produccion por productor'!C:C,'VOLCADO '!J:J,'Produccion por productor'!E:E)*370</f>
        <v>0</v>
      </c>
      <c r="M496" s="91" t="e">
        <f t="shared" si="38"/>
        <v>#DIV/0!</v>
      </c>
      <c r="N496" s="88" t="e">
        <f t="shared" si="35"/>
        <v>#DIV/0!</v>
      </c>
    </row>
    <row r="497" spans="6:14" x14ac:dyDescent="0.25">
      <c r="F497" s="1"/>
      <c r="G497" s="114">
        <f t="shared" si="36"/>
        <v>0</v>
      </c>
      <c r="H497" s="37">
        <f t="shared" si="37"/>
        <v>0</v>
      </c>
      <c r="I497">
        <f t="shared" si="39"/>
        <v>0</v>
      </c>
      <c r="J497" s="1">
        <f>+SUMIFS('VOLCADO '!H:H,'VOLCADO '!C:C,'Produccion por productor'!A:A,'VOLCADO '!B:B,'Produccion por productor'!B:B,'VOLCADO '!I:I,'Produccion por productor'!C:C,'VOLCADO '!J:J,'Produccion por productor'!E:E)*370</f>
        <v>0</v>
      </c>
      <c r="M497" s="91" t="e">
        <f t="shared" si="38"/>
        <v>#DIV/0!</v>
      </c>
      <c r="N497" s="88" t="e">
        <f t="shared" si="35"/>
        <v>#DIV/0!</v>
      </c>
    </row>
    <row r="498" spans="6:14" x14ac:dyDescent="0.25">
      <c r="F498" s="1"/>
      <c r="G498" s="114">
        <f t="shared" si="36"/>
        <v>0</v>
      </c>
      <c r="H498" s="37">
        <f t="shared" si="37"/>
        <v>0</v>
      </c>
      <c r="I498">
        <f t="shared" si="39"/>
        <v>0</v>
      </c>
      <c r="J498" s="1">
        <f>+SUMIFS('VOLCADO '!H:H,'VOLCADO '!C:C,'Produccion por productor'!A:A,'VOLCADO '!B:B,'Produccion por productor'!B:B,'VOLCADO '!I:I,'Produccion por productor'!C:C,'VOLCADO '!J:J,'Produccion por productor'!E:E)*370</f>
        <v>0</v>
      </c>
      <c r="M498" s="91" t="e">
        <f t="shared" si="38"/>
        <v>#DIV/0!</v>
      </c>
      <c r="N498" s="88" t="e">
        <f t="shared" si="35"/>
        <v>#DIV/0!</v>
      </c>
    </row>
    <row r="499" spans="6:14" x14ac:dyDescent="0.25">
      <c r="F499" s="1"/>
      <c r="G499" s="114">
        <f t="shared" si="36"/>
        <v>0</v>
      </c>
      <c r="H499" s="37">
        <f t="shared" si="37"/>
        <v>0</v>
      </c>
      <c r="I499">
        <f t="shared" si="39"/>
        <v>0</v>
      </c>
      <c r="J499" s="1">
        <f>+SUMIFS('VOLCADO '!H:H,'VOLCADO '!C:C,'Produccion por productor'!A:A,'VOLCADO '!B:B,'Produccion por productor'!B:B,'VOLCADO '!I:I,'Produccion por productor'!C:C,'VOLCADO '!J:J,'Produccion por productor'!E:E)*370</f>
        <v>0</v>
      </c>
      <c r="M499" s="91" t="e">
        <f t="shared" si="38"/>
        <v>#DIV/0!</v>
      </c>
      <c r="N499" s="88" t="e">
        <f t="shared" si="35"/>
        <v>#DIV/0!</v>
      </c>
    </row>
    <row r="500" spans="6:14" x14ac:dyDescent="0.25">
      <c r="F500" s="1"/>
      <c r="G500" s="114">
        <f t="shared" si="36"/>
        <v>0</v>
      </c>
      <c r="H500" s="37">
        <f t="shared" si="37"/>
        <v>0</v>
      </c>
      <c r="I500">
        <f t="shared" si="39"/>
        <v>0</v>
      </c>
      <c r="J500" s="1">
        <f>+SUMIFS('VOLCADO '!H:H,'VOLCADO '!C:C,'Produccion por productor'!A:A,'VOLCADO '!B:B,'Produccion por productor'!B:B,'VOLCADO '!I:I,'Produccion por productor'!C:C,'VOLCADO '!J:J,'Produccion por productor'!E:E)*370</f>
        <v>0</v>
      </c>
      <c r="M500" s="91" t="e">
        <f t="shared" si="38"/>
        <v>#DIV/0!</v>
      </c>
      <c r="N500" s="88" t="e">
        <f t="shared" si="35"/>
        <v>#DIV/0!</v>
      </c>
    </row>
    <row r="501" spans="6:14" x14ac:dyDescent="0.25">
      <c r="F501" s="1"/>
      <c r="G501" s="114">
        <f t="shared" si="36"/>
        <v>0</v>
      </c>
      <c r="H501" s="37">
        <f t="shared" si="37"/>
        <v>0</v>
      </c>
      <c r="I501">
        <f t="shared" si="39"/>
        <v>0</v>
      </c>
      <c r="J501" s="1">
        <f>+SUMIFS('VOLCADO '!H:H,'VOLCADO '!C:C,'Produccion por productor'!A:A,'VOLCADO '!B:B,'Produccion por productor'!B:B,'VOLCADO '!I:I,'Produccion por productor'!C:C,'VOLCADO '!J:J,'Produccion por productor'!E:E)*370</f>
        <v>0</v>
      </c>
      <c r="M501" s="91" t="e">
        <f t="shared" si="38"/>
        <v>#DIV/0!</v>
      </c>
      <c r="N501" s="88" t="e">
        <f t="shared" si="35"/>
        <v>#DIV/0!</v>
      </c>
    </row>
    <row r="502" spans="6:14" x14ac:dyDescent="0.25">
      <c r="F502" s="1"/>
      <c r="G502" s="114">
        <f t="shared" si="36"/>
        <v>0</v>
      </c>
      <c r="H502" s="37">
        <f t="shared" si="37"/>
        <v>0</v>
      </c>
      <c r="I502">
        <f t="shared" si="39"/>
        <v>0</v>
      </c>
      <c r="J502" s="1">
        <f>+SUMIFS('VOLCADO '!H:H,'VOLCADO '!C:C,'Produccion por productor'!A:A,'VOLCADO '!B:B,'Produccion por productor'!B:B,'VOLCADO '!I:I,'Produccion por productor'!C:C,'VOLCADO '!J:J,'Produccion por productor'!E:E)*370</f>
        <v>0</v>
      </c>
      <c r="M502" s="91" t="e">
        <f t="shared" si="38"/>
        <v>#DIV/0!</v>
      </c>
      <c r="N502" s="88" t="e">
        <f t="shared" si="35"/>
        <v>#DIV/0!</v>
      </c>
    </row>
    <row r="503" spans="6:14" x14ac:dyDescent="0.25">
      <c r="F503" s="1"/>
      <c r="G503" s="114">
        <f t="shared" si="36"/>
        <v>0</v>
      </c>
      <c r="H503" s="37">
        <f t="shared" si="37"/>
        <v>0</v>
      </c>
      <c r="I503">
        <f t="shared" si="39"/>
        <v>0</v>
      </c>
      <c r="J503" s="1">
        <f>+SUMIFS('VOLCADO '!H:H,'VOLCADO '!C:C,'Produccion por productor'!A:A,'VOLCADO '!B:B,'Produccion por productor'!B:B,'VOLCADO '!I:I,'Produccion por productor'!C:C,'VOLCADO '!J:J,'Produccion por productor'!E:E)*370</f>
        <v>0</v>
      </c>
      <c r="M503" s="91" t="e">
        <f t="shared" si="38"/>
        <v>#DIV/0!</v>
      </c>
      <c r="N503" s="88" t="e">
        <f t="shared" si="35"/>
        <v>#DIV/0!</v>
      </c>
    </row>
    <row r="504" spans="6:14" x14ac:dyDescent="0.25">
      <c r="F504" s="1"/>
      <c r="G504" s="114">
        <f t="shared" si="36"/>
        <v>0</v>
      </c>
      <c r="H504" s="37">
        <f t="shared" si="37"/>
        <v>0</v>
      </c>
      <c r="I504">
        <f t="shared" si="39"/>
        <v>0</v>
      </c>
      <c r="J504" s="1">
        <f>+SUMIFS('VOLCADO '!H:H,'VOLCADO '!C:C,'Produccion por productor'!A:A,'VOLCADO '!B:B,'Produccion por productor'!B:B,'VOLCADO '!I:I,'Produccion por productor'!C:C,'VOLCADO '!J:J,'Produccion por productor'!E:E)*370</f>
        <v>0</v>
      </c>
      <c r="M504" s="91" t="e">
        <f t="shared" si="38"/>
        <v>#DIV/0!</v>
      </c>
      <c r="N504" s="88" t="e">
        <f t="shared" si="35"/>
        <v>#DIV/0!</v>
      </c>
    </row>
    <row r="505" spans="6:14" x14ac:dyDescent="0.25">
      <c r="F505" s="1"/>
      <c r="G505" s="114">
        <f t="shared" si="36"/>
        <v>0</v>
      </c>
      <c r="H505" s="37">
        <f t="shared" si="37"/>
        <v>0</v>
      </c>
      <c r="I505">
        <f t="shared" si="39"/>
        <v>0</v>
      </c>
      <c r="J505" s="1">
        <f>+SUMIFS('VOLCADO '!H:H,'VOLCADO '!C:C,'Produccion por productor'!A:A,'VOLCADO '!B:B,'Produccion por productor'!B:B,'VOLCADO '!I:I,'Produccion por productor'!C:C,'VOLCADO '!J:J,'Produccion por productor'!E:E)*370</f>
        <v>0</v>
      </c>
      <c r="M505" s="91" t="e">
        <f t="shared" si="38"/>
        <v>#DIV/0!</v>
      </c>
      <c r="N505" s="88" t="e">
        <f t="shared" si="35"/>
        <v>#DIV/0!</v>
      </c>
    </row>
    <row r="506" spans="6:14" x14ac:dyDescent="0.25">
      <c r="F506" s="1"/>
      <c r="G506" s="114">
        <f t="shared" si="36"/>
        <v>0</v>
      </c>
      <c r="H506" s="37">
        <f t="shared" si="37"/>
        <v>0</v>
      </c>
      <c r="I506">
        <f t="shared" si="39"/>
        <v>0</v>
      </c>
      <c r="J506" s="1">
        <f>+SUMIFS('VOLCADO '!H:H,'VOLCADO '!C:C,'Produccion por productor'!A:A,'VOLCADO '!B:B,'Produccion por productor'!B:B,'VOLCADO '!I:I,'Produccion por productor'!C:C,'VOLCADO '!J:J,'Produccion por productor'!E:E)*370</f>
        <v>0</v>
      </c>
      <c r="M506" s="91" t="e">
        <f t="shared" si="38"/>
        <v>#DIV/0!</v>
      </c>
      <c r="N506" s="88" t="e">
        <f t="shared" si="35"/>
        <v>#DIV/0!</v>
      </c>
    </row>
    <row r="507" spans="6:14" x14ac:dyDescent="0.25">
      <c r="F507" s="1"/>
      <c r="G507" s="114">
        <f t="shared" si="36"/>
        <v>0</v>
      </c>
      <c r="H507" s="37">
        <f t="shared" si="37"/>
        <v>0</v>
      </c>
      <c r="I507">
        <f t="shared" si="39"/>
        <v>0</v>
      </c>
      <c r="J507" s="1">
        <f>+SUMIFS('VOLCADO '!H:H,'VOLCADO '!C:C,'Produccion por productor'!A:A,'VOLCADO '!B:B,'Produccion por productor'!B:B,'VOLCADO '!I:I,'Produccion por productor'!C:C,'VOLCADO '!J:J,'Produccion por productor'!E:E)*370</f>
        <v>0</v>
      </c>
      <c r="M507" s="91" t="e">
        <f t="shared" si="38"/>
        <v>#DIV/0!</v>
      </c>
      <c r="N507" s="88" t="e">
        <f t="shared" si="35"/>
        <v>#DIV/0!</v>
      </c>
    </row>
    <row r="508" spans="6:14" x14ac:dyDescent="0.25">
      <c r="F508" s="1"/>
      <c r="G508" s="114">
        <f t="shared" si="36"/>
        <v>0</v>
      </c>
      <c r="H508" s="37">
        <f t="shared" si="37"/>
        <v>0</v>
      </c>
      <c r="I508">
        <f t="shared" si="39"/>
        <v>0</v>
      </c>
      <c r="J508" s="1">
        <f>+SUMIFS('VOLCADO '!H:H,'VOLCADO '!C:C,'Produccion por productor'!A:A,'VOLCADO '!B:B,'Produccion por productor'!B:B,'VOLCADO '!I:I,'Produccion por productor'!C:C,'VOLCADO '!J:J,'Produccion por productor'!E:E)*370</f>
        <v>0</v>
      </c>
      <c r="M508" s="91" t="e">
        <f t="shared" si="38"/>
        <v>#DIV/0!</v>
      </c>
      <c r="N508" s="88" t="e">
        <f t="shared" si="35"/>
        <v>#DIV/0!</v>
      </c>
    </row>
    <row r="509" spans="6:14" x14ac:dyDescent="0.25">
      <c r="F509" s="1"/>
      <c r="G509" s="114">
        <f t="shared" si="36"/>
        <v>0</v>
      </c>
      <c r="H509" s="37">
        <f t="shared" si="37"/>
        <v>0</v>
      </c>
      <c r="I509">
        <f t="shared" si="39"/>
        <v>0</v>
      </c>
      <c r="J509" s="1">
        <f>+SUMIFS('VOLCADO '!H:H,'VOLCADO '!C:C,'Produccion por productor'!A:A,'VOLCADO '!B:B,'Produccion por productor'!B:B,'VOLCADO '!I:I,'Produccion por productor'!C:C,'VOLCADO '!J:J,'Produccion por productor'!E:E)*370</f>
        <v>0</v>
      </c>
      <c r="M509" s="91" t="e">
        <f t="shared" si="38"/>
        <v>#DIV/0!</v>
      </c>
      <c r="N509" s="88" t="e">
        <f t="shared" si="35"/>
        <v>#DIV/0!</v>
      </c>
    </row>
    <row r="510" spans="6:14" x14ac:dyDescent="0.25">
      <c r="F510" s="1"/>
      <c r="G510" s="114">
        <f t="shared" si="36"/>
        <v>0</v>
      </c>
      <c r="H510" s="37">
        <f t="shared" si="37"/>
        <v>0</v>
      </c>
      <c r="I510">
        <f t="shared" si="39"/>
        <v>0</v>
      </c>
      <c r="J510" s="1">
        <f>+SUMIFS('VOLCADO '!H:H,'VOLCADO '!C:C,'Produccion por productor'!A:A,'VOLCADO '!B:B,'Produccion por productor'!B:B,'VOLCADO '!I:I,'Produccion por productor'!C:C,'VOLCADO '!J:J,'Produccion por productor'!E:E)*370</f>
        <v>0</v>
      </c>
      <c r="M510" s="91" t="e">
        <f t="shared" si="38"/>
        <v>#DIV/0!</v>
      </c>
      <c r="N510" s="88" t="e">
        <f t="shared" si="35"/>
        <v>#DIV/0!</v>
      </c>
    </row>
    <row r="511" spans="6:14" x14ac:dyDescent="0.25">
      <c r="F511" s="1"/>
      <c r="G511" s="114">
        <f t="shared" si="36"/>
        <v>0</v>
      </c>
      <c r="H511" s="37">
        <f t="shared" si="37"/>
        <v>0</v>
      </c>
      <c r="I511">
        <f t="shared" si="39"/>
        <v>0</v>
      </c>
      <c r="J511" s="1">
        <f>+SUMIFS('VOLCADO '!H:H,'VOLCADO '!C:C,'Produccion por productor'!A:A,'VOLCADO '!B:B,'Produccion por productor'!B:B,'VOLCADO '!I:I,'Produccion por productor'!C:C,'VOLCADO '!J:J,'Produccion por productor'!E:E)*370</f>
        <v>0</v>
      </c>
      <c r="M511" s="91" t="e">
        <f t="shared" si="38"/>
        <v>#DIV/0!</v>
      </c>
      <c r="N511" s="88" t="e">
        <f t="shared" si="35"/>
        <v>#DIV/0!</v>
      </c>
    </row>
    <row r="512" spans="6:14" x14ac:dyDescent="0.25">
      <c r="F512" s="1"/>
      <c r="G512" s="114">
        <f t="shared" si="36"/>
        <v>0</v>
      </c>
      <c r="H512" s="37">
        <f t="shared" si="37"/>
        <v>0</v>
      </c>
      <c r="I512">
        <f t="shared" si="39"/>
        <v>0</v>
      </c>
      <c r="J512" s="1">
        <f>+SUMIFS('VOLCADO '!H:H,'VOLCADO '!C:C,'Produccion por productor'!A:A,'VOLCADO '!B:B,'Produccion por productor'!B:B,'VOLCADO '!I:I,'Produccion por productor'!C:C,'VOLCADO '!J:J,'Produccion por productor'!E:E)*370</f>
        <v>0</v>
      </c>
      <c r="M512" s="91" t="e">
        <f t="shared" si="38"/>
        <v>#DIV/0!</v>
      </c>
      <c r="N512" s="88" t="e">
        <f t="shared" si="35"/>
        <v>#DIV/0!</v>
      </c>
    </row>
    <row r="513" spans="6:14" x14ac:dyDescent="0.25">
      <c r="F513" s="1"/>
      <c r="G513" s="114">
        <f t="shared" si="36"/>
        <v>0</v>
      </c>
      <c r="H513" s="37">
        <f t="shared" si="37"/>
        <v>0</v>
      </c>
      <c r="I513">
        <f t="shared" si="39"/>
        <v>0</v>
      </c>
      <c r="J513" s="1">
        <f>+SUMIFS('VOLCADO '!H:H,'VOLCADO '!C:C,'Produccion por productor'!A:A,'VOLCADO '!B:B,'Produccion por productor'!B:B,'VOLCADO '!I:I,'Produccion por productor'!C:C,'VOLCADO '!J:J,'Produccion por productor'!E:E)*370</f>
        <v>0</v>
      </c>
      <c r="M513" s="91" t="e">
        <f t="shared" si="38"/>
        <v>#DIV/0!</v>
      </c>
      <c r="N513" s="88" t="e">
        <f t="shared" ref="N513:N576" si="40">+((F513+I513)/J513)*100</f>
        <v>#DIV/0!</v>
      </c>
    </row>
    <row r="514" spans="6:14" x14ac:dyDescent="0.25">
      <c r="F514" s="1"/>
      <c r="G514" s="114">
        <f t="shared" ref="G514:G577" si="41">+F514+I514</f>
        <v>0</v>
      </c>
      <c r="H514" s="37">
        <f t="shared" ref="H514:H577" si="42">+(F514*0.05)+F514</f>
        <v>0</v>
      </c>
      <c r="I514">
        <f t="shared" si="39"/>
        <v>0</v>
      </c>
      <c r="J514" s="1">
        <f>+SUMIFS('VOLCADO '!H:H,'VOLCADO '!C:C,'Produccion por productor'!A:A,'VOLCADO '!B:B,'Produccion por productor'!B:B,'VOLCADO '!I:I,'Produccion por productor'!C:C,'VOLCADO '!J:J,'Produccion por productor'!E:E)*370</f>
        <v>0</v>
      </c>
      <c r="M514" s="91" t="e">
        <f t="shared" si="38"/>
        <v>#DIV/0!</v>
      </c>
      <c r="N514" s="88" t="e">
        <f t="shared" si="40"/>
        <v>#DIV/0!</v>
      </c>
    </row>
    <row r="515" spans="6:14" x14ac:dyDescent="0.25">
      <c r="F515" s="1"/>
      <c r="G515" s="114">
        <f t="shared" si="41"/>
        <v>0</v>
      </c>
      <c r="H515" s="37">
        <f t="shared" si="42"/>
        <v>0</v>
      </c>
      <c r="I515">
        <f t="shared" si="39"/>
        <v>0</v>
      </c>
      <c r="J515" s="1">
        <f>+SUMIFS('VOLCADO '!H:H,'VOLCADO '!C:C,'Produccion por productor'!A:A,'VOLCADO '!B:B,'Produccion por productor'!B:B,'VOLCADO '!I:I,'Produccion por productor'!C:C,'VOLCADO '!J:J,'Produccion por productor'!E:E)*370</f>
        <v>0</v>
      </c>
      <c r="M515" s="91" t="e">
        <f t="shared" ref="M515:M578" si="43">+((H515+I515)/J515)*100</f>
        <v>#DIV/0!</v>
      </c>
      <c r="N515" s="88" t="e">
        <f t="shared" si="40"/>
        <v>#DIV/0!</v>
      </c>
    </row>
    <row r="516" spans="6:14" x14ac:dyDescent="0.25">
      <c r="F516" s="1"/>
      <c r="G516" s="114">
        <f t="shared" si="41"/>
        <v>0</v>
      </c>
      <c r="H516" s="37">
        <f t="shared" si="42"/>
        <v>0</v>
      </c>
      <c r="I516">
        <f t="shared" si="39"/>
        <v>0</v>
      </c>
      <c r="J516" s="1">
        <f>+SUMIFS('VOLCADO '!H:H,'VOLCADO '!C:C,'Produccion por productor'!A:A,'VOLCADO '!B:B,'Produccion por productor'!B:B,'VOLCADO '!I:I,'Produccion por productor'!C:C,'VOLCADO '!J:J,'Produccion por productor'!E:E)*370</f>
        <v>0</v>
      </c>
      <c r="M516" s="91" t="e">
        <f t="shared" si="43"/>
        <v>#DIV/0!</v>
      </c>
      <c r="N516" s="88" t="e">
        <f t="shared" si="40"/>
        <v>#DIV/0!</v>
      </c>
    </row>
    <row r="517" spans="6:14" x14ac:dyDescent="0.25">
      <c r="F517" s="1"/>
      <c r="G517" s="114">
        <f t="shared" si="41"/>
        <v>0</v>
      </c>
      <c r="H517" s="37">
        <f t="shared" si="42"/>
        <v>0</v>
      </c>
      <c r="I517">
        <f t="shared" si="39"/>
        <v>0</v>
      </c>
      <c r="J517" s="1">
        <f>+SUMIFS('VOLCADO '!H:H,'VOLCADO '!C:C,'Produccion por productor'!A:A,'VOLCADO '!B:B,'Produccion por productor'!B:B,'VOLCADO '!I:I,'Produccion por productor'!C:C,'VOLCADO '!J:J,'Produccion por productor'!E:E)*370</f>
        <v>0</v>
      </c>
      <c r="M517" s="91" t="e">
        <f t="shared" si="43"/>
        <v>#DIV/0!</v>
      </c>
      <c r="N517" s="88" t="e">
        <f t="shared" si="40"/>
        <v>#DIV/0!</v>
      </c>
    </row>
    <row r="518" spans="6:14" x14ac:dyDescent="0.25">
      <c r="F518" s="1"/>
      <c r="G518" s="114">
        <f t="shared" si="41"/>
        <v>0</v>
      </c>
      <c r="H518" s="37">
        <f t="shared" si="42"/>
        <v>0</v>
      </c>
      <c r="I518">
        <f t="shared" si="39"/>
        <v>0</v>
      </c>
      <c r="J518" s="1">
        <f>+SUMIFS('VOLCADO '!H:H,'VOLCADO '!C:C,'Produccion por productor'!A:A,'VOLCADO '!B:B,'Produccion por productor'!B:B,'VOLCADO '!I:I,'Produccion por productor'!C:C,'VOLCADO '!J:J,'Produccion por productor'!E:E)*370</f>
        <v>0</v>
      </c>
      <c r="M518" s="91" t="e">
        <f t="shared" si="43"/>
        <v>#DIV/0!</v>
      </c>
      <c r="N518" s="88" t="e">
        <f t="shared" si="40"/>
        <v>#DIV/0!</v>
      </c>
    </row>
    <row r="519" spans="6:14" x14ac:dyDescent="0.25">
      <c r="F519" s="1"/>
      <c r="G519" s="114">
        <f t="shared" si="41"/>
        <v>0</v>
      </c>
      <c r="H519" s="37">
        <f t="shared" si="42"/>
        <v>0</v>
      </c>
      <c r="I519">
        <f t="shared" si="39"/>
        <v>0</v>
      </c>
      <c r="J519" s="1">
        <f>+SUMIFS('VOLCADO '!H:H,'VOLCADO '!C:C,'Produccion por productor'!A:A,'VOLCADO '!B:B,'Produccion por productor'!B:B,'VOLCADO '!I:I,'Produccion por productor'!C:C,'VOLCADO '!J:J,'Produccion por productor'!E:E)*370</f>
        <v>0</v>
      </c>
      <c r="M519" s="91" t="e">
        <f t="shared" si="43"/>
        <v>#DIV/0!</v>
      </c>
      <c r="N519" s="88" t="e">
        <f t="shared" si="40"/>
        <v>#DIV/0!</v>
      </c>
    </row>
    <row r="520" spans="6:14" x14ac:dyDescent="0.25">
      <c r="F520" s="1"/>
      <c r="G520" s="114">
        <f t="shared" si="41"/>
        <v>0</v>
      </c>
      <c r="H520" s="37">
        <f t="shared" si="42"/>
        <v>0</v>
      </c>
      <c r="I520">
        <f t="shared" si="39"/>
        <v>0</v>
      </c>
      <c r="J520" s="1">
        <f>+SUMIFS('VOLCADO '!H:H,'VOLCADO '!C:C,'Produccion por productor'!A:A,'VOLCADO '!B:B,'Produccion por productor'!B:B,'VOLCADO '!I:I,'Produccion por productor'!C:C,'VOLCADO '!J:J,'Produccion por productor'!E:E)*370</f>
        <v>0</v>
      </c>
      <c r="M520" s="91" t="e">
        <f t="shared" si="43"/>
        <v>#DIV/0!</v>
      </c>
      <c r="N520" s="88" t="e">
        <f t="shared" si="40"/>
        <v>#DIV/0!</v>
      </c>
    </row>
    <row r="521" spans="6:14" x14ac:dyDescent="0.25">
      <c r="F521" s="1"/>
      <c r="G521" s="114">
        <f t="shared" si="41"/>
        <v>0</v>
      </c>
      <c r="H521" s="37">
        <f t="shared" si="42"/>
        <v>0</v>
      </c>
      <c r="I521">
        <f t="shared" si="39"/>
        <v>0</v>
      </c>
      <c r="J521" s="1">
        <f>+SUMIFS('VOLCADO '!H:H,'VOLCADO '!C:C,'Produccion por productor'!A:A,'VOLCADO '!B:B,'Produccion por productor'!B:B,'VOLCADO '!I:I,'Produccion por productor'!C:C,'VOLCADO '!J:J,'Produccion por productor'!E:E)*370</f>
        <v>0</v>
      </c>
      <c r="M521" s="91" t="e">
        <f t="shared" si="43"/>
        <v>#DIV/0!</v>
      </c>
      <c r="N521" s="88" t="e">
        <f t="shared" si="40"/>
        <v>#DIV/0!</v>
      </c>
    </row>
    <row r="522" spans="6:14" x14ac:dyDescent="0.25">
      <c r="F522" s="1"/>
      <c r="G522" s="114">
        <f t="shared" si="41"/>
        <v>0</v>
      </c>
      <c r="H522" s="37">
        <f t="shared" si="42"/>
        <v>0</v>
      </c>
      <c r="I522">
        <f t="shared" si="39"/>
        <v>0</v>
      </c>
      <c r="J522" s="1">
        <f>+SUMIFS('VOLCADO '!H:H,'VOLCADO '!C:C,'Produccion por productor'!A:A,'VOLCADO '!B:B,'Produccion por productor'!B:B,'VOLCADO '!I:I,'Produccion por productor'!C:C,'VOLCADO '!J:J,'Produccion por productor'!E:E)*370</f>
        <v>0</v>
      </c>
      <c r="M522" s="91" t="e">
        <f t="shared" si="43"/>
        <v>#DIV/0!</v>
      </c>
      <c r="N522" s="88" t="e">
        <f t="shared" si="40"/>
        <v>#DIV/0!</v>
      </c>
    </row>
    <row r="523" spans="6:14" x14ac:dyDescent="0.25">
      <c r="F523" s="1"/>
      <c r="G523" s="114">
        <f t="shared" si="41"/>
        <v>0</v>
      </c>
      <c r="H523" s="37">
        <f t="shared" si="42"/>
        <v>0</v>
      </c>
      <c r="I523">
        <f t="shared" si="39"/>
        <v>0</v>
      </c>
      <c r="J523" s="1">
        <f>+SUMIFS('VOLCADO '!H:H,'VOLCADO '!C:C,'Produccion por productor'!A:A,'VOLCADO '!B:B,'Produccion por productor'!B:B,'VOLCADO '!I:I,'Produccion por productor'!C:C,'VOLCADO '!J:J,'Produccion por productor'!E:E)*370</f>
        <v>0</v>
      </c>
      <c r="M523" s="91" t="e">
        <f t="shared" si="43"/>
        <v>#DIV/0!</v>
      </c>
      <c r="N523" s="88" t="e">
        <f t="shared" si="40"/>
        <v>#DIV/0!</v>
      </c>
    </row>
    <row r="524" spans="6:14" x14ac:dyDescent="0.25">
      <c r="F524" s="1"/>
      <c r="G524" s="114">
        <f t="shared" si="41"/>
        <v>0</v>
      </c>
      <c r="H524" s="37">
        <f t="shared" si="42"/>
        <v>0</v>
      </c>
      <c r="I524">
        <f t="shared" si="39"/>
        <v>0</v>
      </c>
      <c r="J524" s="1">
        <f>+SUMIFS('VOLCADO '!H:H,'VOLCADO '!C:C,'Produccion por productor'!A:A,'VOLCADO '!B:B,'Produccion por productor'!B:B,'VOLCADO '!I:I,'Produccion por productor'!C:C,'VOLCADO '!J:J,'Produccion por productor'!E:E)*370</f>
        <v>0</v>
      </c>
      <c r="M524" s="91" t="e">
        <f t="shared" si="43"/>
        <v>#DIV/0!</v>
      </c>
      <c r="N524" s="88" t="e">
        <f t="shared" si="40"/>
        <v>#DIV/0!</v>
      </c>
    </row>
    <row r="525" spans="6:14" x14ac:dyDescent="0.25">
      <c r="F525" s="1"/>
      <c r="G525" s="114">
        <f t="shared" si="41"/>
        <v>0</v>
      </c>
      <c r="H525" s="37">
        <f t="shared" si="42"/>
        <v>0</v>
      </c>
      <c r="I525">
        <f t="shared" si="39"/>
        <v>0</v>
      </c>
      <c r="J525" s="1">
        <f>+SUMIFS('VOLCADO '!H:H,'VOLCADO '!C:C,'Produccion por productor'!A:A,'VOLCADO '!B:B,'Produccion por productor'!B:B,'VOLCADO '!I:I,'Produccion por productor'!C:C,'VOLCADO '!J:J,'Produccion por productor'!E:E)*370</f>
        <v>0</v>
      </c>
      <c r="M525" s="91" t="e">
        <f t="shared" si="43"/>
        <v>#DIV/0!</v>
      </c>
      <c r="N525" s="88" t="e">
        <f t="shared" si="40"/>
        <v>#DIV/0!</v>
      </c>
    </row>
    <row r="526" spans="6:14" x14ac:dyDescent="0.25">
      <c r="F526" s="1"/>
      <c r="G526" s="114">
        <f t="shared" si="41"/>
        <v>0</v>
      </c>
      <c r="H526" s="37">
        <f t="shared" si="42"/>
        <v>0</v>
      </c>
      <c r="I526">
        <f t="shared" ref="I526:I589" si="44">+L526-K526</f>
        <v>0</v>
      </c>
      <c r="J526" s="1">
        <f>+SUMIFS('VOLCADO '!H:H,'VOLCADO '!C:C,'Produccion por productor'!A:A,'VOLCADO '!B:B,'Produccion por productor'!B:B,'VOLCADO '!I:I,'Produccion por productor'!C:C,'VOLCADO '!J:J,'Produccion por productor'!E:E)*370</f>
        <v>0</v>
      </c>
      <c r="M526" s="91" t="e">
        <f t="shared" si="43"/>
        <v>#DIV/0!</v>
      </c>
      <c r="N526" s="88" t="e">
        <f t="shared" si="40"/>
        <v>#DIV/0!</v>
      </c>
    </row>
    <row r="527" spans="6:14" x14ac:dyDescent="0.25">
      <c r="F527" s="1"/>
      <c r="G527" s="114">
        <f t="shared" si="41"/>
        <v>0</v>
      </c>
      <c r="H527" s="37">
        <f t="shared" si="42"/>
        <v>0</v>
      </c>
      <c r="I527">
        <f t="shared" si="44"/>
        <v>0</v>
      </c>
      <c r="J527" s="1">
        <f>+SUMIFS('VOLCADO '!H:H,'VOLCADO '!C:C,'Produccion por productor'!A:A,'VOLCADO '!B:B,'Produccion por productor'!B:B,'VOLCADO '!I:I,'Produccion por productor'!C:C,'VOLCADO '!J:J,'Produccion por productor'!E:E)*370</f>
        <v>0</v>
      </c>
      <c r="M527" s="91" t="e">
        <f t="shared" si="43"/>
        <v>#DIV/0!</v>
      </c>
      <c r="N527" s="88" t="e">
        <f t="shared" si="40"/>
        <v>#DIV/0!</v>
      </c>
    </row>
    <row r="528" spans="6:14" x14ac:dyDescent="0.25">
      <c r="F528" s="1"/>
      <c r="G528" s="114">
        <f t="shared" si="41"/>
        <v>0</v>
      </c>
      <c r="H528" s="37">
        <f t="shared" si="42"/>
        <v>0</v>
      </c>
      <c r="I528">
        <f t="shared" si="44"/>
        <v>0</v>
      </c>
      <c r="J528" s="1">
        <f>+SUMIFS('VOLCADO '!H:H,'VOLCADO '!C:C,'Produccion por productor'!A:A,'VOLCADO '!B:B,'Produccion por productor'!B:B,'VOLCADO '!I:I,'Produccion por productor'!C:C,'VOLCADO '!J:J,'Produccion por productor'!E:E)*370</f>
        <v>0</v>
      </c>
      <c r="M528" s="91" t="e">
        <f t="shared" si="43"/>
        <v>#DIV/0!</v>
      </c>
      <c r="N528" s="88" t="e">
        <f t="shared" si="40"/>
        <v>#DIV/0!</v>
      </c>
    </row>
    <row r="529" spans="6:14" x14ac:dyDescent="0.25">
      <c r="F529" s="1"/>
      <c r="G529" s="114">
        <f t="shared" si="41"/>
        <v>0</v>
      </c>
      <c r="H529" s="37">
        <f t="shared" si="42"/>
        <v>0</v>
      </c>
      <c r="I529">
        <f t="shared" si="44"/>
        <v>0</v>
      </c>
      <c r="J529" s="1">
        <f>+SUMIFS('VOLCADO '!H:H,'VOLCADO '!C:C,'Produccion por productor'!A:A,'VOLCADO '!B:B,'Produccion por productor'!B:B,'VOLCADO '!I:I,'Produccion por productor'!C:C,'VOLCADO '!J:J,'Produccion por productor'!E:E)*370</f>
        <v>0</v>
      </c>
      <c r="M529" s="91" t="e">
        <f t="shared" si="43"/>
        <v>#DIV/0!</v>
      </c>
      <c r="N529" s="88" t="e">
        <f t="shared" si="40"/>
        <v>#DIV/0!</v>
      </c>
    </row>
    <row r="530" spans="6:14" x14ac:dyDescent="0.25">
      <c r="F530" s="1"/>
      <c r="G530" s="114">
        <f t="shared" si="41"/>
        <v>0</v>
      </c>
      <c r="H530" s="37">
        <f t="shared" si="42"/>
        <v>0</v>
      </c>
      <c r="I530">
        <f t="shared" si="44"/>
        <v>0</v>
      </c>
      <c r="J530" s="1">
        <f>+SUMIFS('VOLCADO '!H:H,'VOLCADO '!C:C,'Produccion por productor'!A:A,'VOLCADO '!B:B,'Produccion por productor'!B:B,'VOLCADO '!I:I,'Produccion por productor'!C:C,'VOLCADO '!J:J,'Produccion por productor'!E:E)*370</f>
        <v>0</v>
      </c>
      <c r="M530" s="91" t="e">
        <f t="shared" si="43"/>
        <v>#DIV/0!</v>
      </c>
      <c r="N530" s="88" t="e">
        <f t="shared" si="40"/>
        <v>#DIV/0!</v>
      </c>
    </row>
    <row r="531" spans="6:14" x14ac:dyDescent="0.25">
      <c r="F531" s="1"/>
      <c r="G531" s="114">
        <f t="shared" si="41"/>
        <v>0</v>
      </c>
      <c r="H531" s="37">
        <f t="shared" si="42"/>
        <v>0</v>
      </c>
      <c r="I531">
        <f t="shared" si="44"/>
        <v>0</v>
      </c>
      <c r="J531" s="1">
        <f>+SUMIFS('VOLCADO '!H:H,'VOLCADO '!C:C,'Produccion por productor'!A:A,'VOLCADO '!B:B,'Produccion por productor'!B:B,'VOLCADO '!I:I,'Produccion por productor'!C:C,'VOLCADO '!J:J,'Produccion por productor'!E:E)*370</f>
        <v>0</v>
      </c>
      <c r="M531" s="91" t="e">
        <f t="shared" si="43"/>
        <v>#DIV/0!</v>
      </c>
      <c r="N531" s="88" t="e">
        <f t="shared" si="40"/>
        <v>#DIV/0!</v>
      </c>
    </row>
    <row r="532" spans="6:14" x14ac:dyDescent="0.25">
      <c r="F532" s="1"/>
      <c r="G532" s="114">
        <f t="shared" si="41"/>
        <v>0</v>
      </c>
      <c r="H532" s="37">
        <f t="shared" si="42"/>
        <v>0</v>
      </c>
      <c r="I532">
        <f t="shared" si="44"/>
        <v>0</v>
      </c>
      <c r="J532" s="1">
        <f>+SUMIFS('VOLCADO '!H:H,'VOLCADO '!C:C,'Produccion por productor'!A:A,'VOLCADO '!B:B,'Produccion por productor'!B:B,'VOLCADO '!I:I,'Produccion por productor'!C:C,'VOLCADO '!J:J,'Produccion por productor'!E:E)*370</f>
        <v>0</v>
      </c>
      <c r="M532" s="91" t="e">
        <f t="shared" si="43"/>
        <v>#DIV/0!</v>
      </c>
      <c r="N532" s="88" t="e">
        <f t="shared" si="40"/>
        <v>#DIV/0!</v>
      </c>
    </row>
    <row r="533" spans="6:14" x14ac:dyDescent="0.25">
      <c r="F533" s="1"/>
      <c r="G533" s="114">
        <f t="shared" si="41"/>
        <v>0</v>
      </c>
      <c r="H533" s="37">
        <f t="shared" si="42"/>
        <v>0</v>
      </c>
      <c r="I533">
        <f t="shared" si="44"/>
        <v>0</v>
      </c>
      <c r="J533" s="1">
        <f>+SUMIFS('VOLCADO '!H:H,'VOLCADO '!C:C,'Produccion por productor'!A:A,'VOLCADO '!B:B,'Produccion por productor'!B:B,'VOLCADO '!I:I,'Produccion por productor'!C:C,'VOLCADO '!J:J,'Produccion por productor'!E:E)*370</f>
        <v>0</v>
      </c>
      <c r="M533" s="91" t="e">
        <f t="shared" si="43"/>
        <v>#DIV/0!</v>
      </c>
      <c r="N533" s="88" t="e">
        <f t="shared" si="40"/>
        <v>#DIV/0!</v>
      </c>
    </row>
    <row r="534" spans="6:14" x14ac:dyDescent="0.25">
      <c r="F534" s="1"/>
      <c r="G534" s="114">
        <f t="shared" si="41"/>
        <v>0</v>
      </c>
      <c r="H534" s="37">
        <f t="shared" si="42"/>
        <v>0</v>
      </c>
      <c r="I534">
        <f t="shared" si="44"/>
        <v>0</v>
      </c>
      <c r="J534" s="1">
        <f>+SUMIFS('VOLCADO '!H:H,'VOLCADO '!C:C,'Produccion por productor'!A:A,'VOLCADO '!B:B,'Produccion por productor'!B:B,'VOLCADO '!I:I,'Produccion por productor'!C:C,'VOLCADO '!J:J,'Produccion por productor'!E:E)*370</f>
        <v>0</v>
      </c>
      <c r="M534" s="91" t="e">
        <f t="shared" si="43"/>
        <v>#DIV/0!</v>
      </c>
      <c r="N534" s="88" t="e">
        <f t="shared" si="40"/>
        <v>#DIV/0!</v>
      </c>
    </row>
    <row r="535" spans="6:14" x14ac:dyDescent="0.25">
      <c r="F535" s="1"/>
      <c r="G535" s="114">
        <f t="shared" si="41"/>
        <v>0</v>
      </c>
      <c r="H535" s="37">
        <f t="shared" si="42"/>
        <v>0</v>
      </c>
      <c r="I535">
        <f t="shared" si="44"/>
        <v>0</v>
      </c>
      <c r="J535" s="1">
        <f>+SUMIFS('VOLCADO '!H:H,'VOLCADO '!C:C,'Produccion por productor'!A:A,'VOLCADO '!B:B,'Produccion por productor'!B:B,'VOLCADO '!I:I,'Produccion por productor'!C:C,'VOLCADO '!J:J,'Produccion por productor'!E:E)*370</f>
        <v>0</v>
      </c>
      <c r="M535" s="91" t="e">
        <f t="shared" si="43"/>
        <v>#DIV/0!</v>
      </c>
      <c r="N535" s="88" t="e">
        <f t="shared" si="40"/>
        <v>#DIV/0!</v>
      </c>
    </row>
    <row r="536" spans="6:14" x14ac:dyDescent="0.25">
      <c r="F536" s="1"/>
      <c r="G536" s="114">
        <f t="shared" si="41"/>
        <v>0</v>
      </c>
      <c r="H536" s="37">
        <f t="shared" si="42"/>
        <v>0</v>
      </c>
      <c r="I536">
        <f t="shared" si="44"/>
        <v>0</v>
      </c>
      <c r="J536" s="1">
        <f>+SUMIFS('VOLCADO '!H:H,'VOLCADO '!C:C,'Produccion por productor'!A:A,'VOLCADO '!B:B,'Produccion por productor'!B:B,'VOLCADO '!I:I,'Produccion por productor'!C:C,'VOLCADO '!J:J,'Produccion por productor'!E:E)*370</f>
        <v>0</v>
      </c>
      <c r="M536" s="91" t="e">
        <f t="shared" si="43"/>
        <v>#DIV/0!</v>
      </c>
      <c r="N536" s="88" t="e">
        <f t="shared" si="40"/>
        <v>#DIV/0!</v>
      </c>
    </row>
    <row r="537" spans="6:14" x14ac:dyDescent="0.25">
      <c r="F537" s="1"/>
      <c r="G537" s="114">
        <f t="shared" si="41"/>
        <v>0</v>
      </c>
      <c r="H537" s="37">
        <f t="shared" si="42"/>
        <v>0</v>
      </c>
      <c r="I537">
        <f t="shared" si="44"/>
        <v>0</v>
      </c>
      <c r="J537" s="1">
        <f>+SUMIFS('VOLCADO '!H:H,'VOLCADO '!C:C,'Produccion por productor'!A:A,'VOLCADO '!B:B,'Produccion por productor'!B:B,'VOLCADO '!I:I,'Produccion por productor'!C:C,'VOLCADO '!J:J,'Produccion por productor'!E:E)*370</f>
        <v>0</v>
      </c>
      <c r="M537" s="91" t="e">
        <f t="shared" si="43"/>
        <v>#DIV/0!</v>
      </c>
      <c r="N537" s="88" t="e">
        <f t="shared" si="40"/>
        <v>#DIV/0!</v>
      </c>
    </row>
    <row r="538" spans="6:14" x14ac:dyDescent="0.25">
      <c r="F538" s="1"/>
      <c r="G538" s="114">
        <f t="shared" si="41"/>
        <v>0</v>
      </c>
      <c r="H538" s="37">
        <f t="shared" si="42"/>
        <v>0</v>
      </c>
      <c r="I538">
        <f t="shared" si="44"/>
        <v>0</v>
      </c>
      <c r="J538" s="1">
        <f>+SUMIFS('VOLCADO '!H:H,'VOLCADO '!C:C,'Produccion por productor'!A:A,'VOLCADO '!B:B,'Produccion por productor'!B:B,'VOLCADO '!I:I,'Produccion por productor'!C:C,'VOLCADO '!J:J,'Produccion por productor'!E:E)*370</f>
        <v>0</v>
      </c>
      <c r="M538" s="91" t="e">
        <f t="shared" si="43"/>
        <v>#DIV/0!</v>
      </c>
      <c r="N538" s="88" t="e">
        <f t="shared" si="40"/>
        <v>#DIV/0!</v>
      </c>
    </row>
    <row r="539" spans="6:14" x14ac:dyDescent="0.25">
      <c r="F539" s="1"/>
      <c r="G539" s="114">
        <f t="shared" si="41"/>
        <v>0</v>
      </c>
      <c r="H539" s="37">
        <f t="shared" si="42"/>
        <v>0</v>
      </c>
      <c r="I539">
        <f t="shared" si="44"/>
        <v>0</v>
      </c>
      <c r="J539" s="1">
        <f>+SUMIFS('VOLCADO '!H:H,'VOLCADO '!C:C,'Produccion por productor'!A:A,'VOLCADO '!B:B,'Produccion por productor'!B:B,'VOLCADO '!I:I,'Produccion por productor'!C:C,'VOLCADO '!J:J,'Produccion por productor'!E:E)*370</f>
        <v>0</v>
      </c>
      <c r="M539" s="91" t="e">
        <f t="shared" si="43"/>
        <v>#DIV/0!</v>
      </c>
      <c r="N539" s="88" t="e">
        <f t="shared" si="40"/>
        <v>#DIV/0!</v>
      </c>
    </row>
    <row r="540" spans="6:14" x14ac:dyDescent="0.25">
      <c r="F540" s="1"/>
      <c r="G540" s="114">
        <f t="shared" si="41"/>
        <v>0</v>
      </c>
      <c r="H540" s="37">
        <f t="shared" si="42"/>
        <v>0</v>
      </c>
      <c r="I540">
        <f t="shared" si="44"/>
        <v>0</v>
      </c>
      <c r="J540" s="1">
        <f>+SUMIFS('VOLCADO '!H:H,'VOLCADO '!C:C,'Produccion por productor'!A:A,'VOLCADO '!B:B,'Produccion por productor'!B:B,'VOLCADO '!I:I,'Produccion por productor'!C:C,'VOLCADO '!J:J,'Produccion por productor'!E:E)*370</f>
        <v>0</v>
      </c>
      <c r="M540" s="91" t="e">
        <f t="shared" si="43"/>
        <v>#DIV/0!</v>
      </c>
      <c r="N540" s="88" t="e">
        <f t="shared" si="40"/>
        <v>#DIV/0!</v>
      </c>
    </row>
    <row r="541" spans="6:14" x14ac:dyDescent="0.25">
      <c r="F541" s="1"/>
      <c r="G541" s="114">
        <f t="shared" si="41"/>
        <v>0</v>
      </c>
      <c r="H541" s="37">
        <f t="shared" si="42"/>
        <v>0</v>
      </c>
      <c r="I541">
        <f t="shared" si="44"/>
        <v>0</v>
      </c>
      <c r="J541" s="1">
        <f>+SUMIFS('VOLCADO '!H:H,'VOLCADO '!C:C,'Produccion por productor'!A:A,'VOLCADO '!B:B,'Produccion por productor'!B:B,'VOLCADO '!I:I,'Produccion por productor'!C:C,'VOLCADO '!J:J,'Produccion por productor'!E:E)*370</f>
        <v>0</v>
      </c>
      <c r="M541" s="91" t="e">
        <f t="shared" si="43"/>
        <v>#DIV/0!</v>
      </c>
      <c r="N541" s="88" t="e">
        <f t="shared" si="40"/>
        <v>#DIV/0!</v>
      </c>
    </row>
    <row r="542" spans="6:14" x14ac:dyDescent="0.25">
      <c r="F542" s="1"/>
      <c r="G542" s="114">
        <f t="shared" si="41"/>
        <v>0</v>
      </c>
      <c r="H542" s="37">
        <f t="shared" si="42"/>
        <v>0</v>
      </c>
      <c r="I542">
        <f t="shared" si="44"/>
        <v>0</v>
      </c>
      <c r="J542" s="1">
        <f>+SUMIFS('VOLCADO '!H:H,'VOLCADO '!C:C,'Produccion por productor'!A:A,'VOLCADO '!B:B,'Produccion por productor'!B:B,'VOLCADO '!I:I,'Produccion por productor'!C:C,'VOLCADO '!J:J,'Produccion por productor'!E:E)*370</f>
        <v>0</v>
      </c>
      <c r="M542" s="91" t="e">
        <f t="shared" si="43"/>
        <v>#DIV/0!</v>
      </c>
      <c r="N542" s="88" t="e">
        <f t="shared" si="40"/>
        <v>#DIV/0!</v>
      </c>
    </row>
    <row r="543" spans="6:14" x14ac:dyDescent="0.25">
      <c r="F543" s="1"/>
      <c r="G543" s="114">
        <f t="shared" si="41"/>
        <v>0</v>
      </c>
      <c r="H543" s="37">
        <f t="shared" si="42"/>
        <v>0</v>
      </c>
      <c r="I543">
        <f t="shared" si="44"/>
        <v>0</v>
      </c>
      <c r="J543" s="1">
        <f>+SUMIFS('VOLCADO '!H:H,'VOLCADO '!C:C,'Produccion por productor'!A:A,'VOLCADO '!B:B,'Produccion por productor'!B:B,'VOLCADO '!I:I,'Produccion por productor'!C:C,'VOLCADO '!J:J,'Produccion por productor'!E:E)*370</f>
        <v>0</v>
      </c>
      <c r="M543" s="91" t="e">
        <f t="shared" si="43"/>
        <v>#DIV/0!</v>
      </c>
      <c r="N543" s="88" t="e">
        <f t="shared" si="40"/>
        <v>#DIV/0!</v>
      </c>
    </row>
    <row r="544" spans="6:14" x14ac:dyDescent="0.25">
      <c r="F544" s="1"/>
      <c r="G544" s="114">
        <f t="shared" si="41"/>
        <v>0</v>
      </c>
      <c r="H544" s="37">
        <f t="shared" si="42"/>
        <v>0</v>
      </c>
      <c r="I544">
        <f t="shared" si="44"/>
        <v>0</v>
      </c>
      <c r="J544" s="1">
        <f>+SUMIFS('VOLCADO '!H:H,'VOLCADO '!C:C,'Produccion por productor'!A:A,'VOLCADO '!B:B,'Produccion por productor'!B:B,'VOLCADO '!I:I,'Produccion por productor'!C:C,'VOLCADO '!J:J,'Produccion por productor'!E:E)*370</f>
        <v>0</v>
      </c>
      <c r="M544" s="91" t="e">
        <f t="shared" si="43"/>
        <v>#DIV/0!</v>
      </c>
      <c r="N544" s="88" t="e">
        <f t="shared" si="40"/>
        <v>#DIV/0!</v>
      </c>
    </row>
    <row r="545" spans="6:14" x14ac:dyDescent="0.25">
      <c r="F545" s="1"/>
      <c r="G545" s="114">
        <f t="shared" si="41"/>
        <v>0</v>
      </c>
      <c r="H545" s="37">
        <f t="shared" si="42"/>
        <v>0</v>
      </c>
      <c r="I545">
        <f t="shared" si="44"/>
        <v>0</v>
      </c>
      <c r="J545" s="1">
        <f>+SUMIFS('VOLCADO '!H:H,'VOLCADO '!C:C,'Produccion por productor'!A:A,'VOLCADO '!B:B,'Produccion por productor'!B:B,'VOLCADO '!I:I,'Produccion por productor'!C:C,'VOLCADO '!J:J,'Produccion por productor'!E:E)*370</f>
        <v>0</v>
      </c>
      <c r="M545" s="91" t="e">
        <f t="shared" si="43"/>
        <v>#DIV/0!</v>
      </c>
      <c r="N545" s="88" t="e">
        <f t="shared" si="40"/>
        <v>#DIV/0!</v>
      </c>
    </row>
    <row r="546" spans="6:14" x14ac:dyDescent="0.25">
      <c r="F546" s="1"/>
      <c r="G546" s="114">
        <f t="shared" si="41"/>
        <v>0</v>
      </c>
      <c r="H546" s="37">
        <f t="shared" si="42"/>
        <v>0</v>
      </c>
      <c r="I546">
        <f t="shared" si="44"/>
        <v>0</v>
      </c>
      <c r="J546" s="1">
        <f>+SUMIFS('VOLCADO '!H:H,'VOLCADO '!C:C,'Produccion por productor'!A:A,'VOLCADO '!B:B,'Produccion por productor'!B:B,'VOLCADO '!I:I,'Produccion por productor'!C:C,'VOLCADO '!J:J,'Produccion por productor'!E:E)*370</f>
        <v>0</v>
      </c>
      <c r="M546" s="91" t="e">
        <f t="shared" si="43"/>
        <v>#DIV/0!</v>
      </c>
      <c r="N546" s="88" t="e">
        <f t="shared" si="40"/>
        <v>#DIV/0!</v>
      </c>
    </row>
    <row r="547" spans="6:14" x14ac:dyDescent="0.25">
      <c r="F547" s="1"/>
      <c r="G547" s="114">
        <f t="shared" si="41"/>
        <v>0</v>
      </c>
      <c r="H547" s="37">
        <f t="shared" si="42"/>
        <v>0</v>
      </c>
      <c r="I547">
        <f t="shared" si="44"/>
        <v>0</v>
      </c>
      <c r="J547" s="1">
        <f>+SUMIFS('VOLCADO '!H:H,'VOLCADO '!C:C,'Produccion por productor'!A:A,'VOLCADO '!B:B,'Produccion por productor'!B:B,'VOLCADO '!I:I,'Produccion por productor'!C:C,'VOLCADO '!J:J,'Produccion por productor'!E:E)*370</f>
        <v>0</v>
      </c>
      <c r="M547" s="91" t="e">
        <f t="shared" si="43"/>
        <v>#DIV/0!</v>
      </c>
      <c r="N547" s="88" t="e">
        <f t="shared" si="40"/>
        <v>#DIV/0!</v>
      </c>
    </row>
    <row r="548" spans="6:14" x14ac:dyDescent="0.25">
      <c r="F548" s="1"/>
      <c r="G548" s="114">
        <f t="shared" si="41"/>
        <v>0</v>
      </c>
      <c r="H548" s="37">
        <f t="shared" si="42"/>
        <v>0</v>
      </c>
      <c r="I548">
        <f t="shared" si="44"/>
        <v>0</v>
      </c>
      <c r="J548" s="1">
        <f>+SUMIFS('VOLCADO '!H:H,'VOLCADO '!C:C,'Produccion por productor'!A:A,'VOLCADO '!B:B,'Produccion por productor'!B:B,'VOLCADO '!I:I,'Produccion por productor'!C:C,'VOLCADO '!J:J,'Produccion por productor'!E:E)*370</f>
        <v>0</v>
      </c>
      <c r="M548" s="91" t="e">
        <f t="shared" si="43"/>
        <v>#DIV/0!</v>
      </c>
      <c r="N548" s="88" t="e">
        <f t="shared" si="40"/>
        <v>#DIV/0!</v>
      </c>
    </row>
    <row r="549" spans="6:14" x14ac:dyDescent="0.25">
      <c r="F549" s="1"/>
      <c r="G549" s="114">
        <f t="shared" si="41"/>
        <v>0</v>
      </c>
      <c r="H549" s="37">
        <f t="shared" si="42"/>
        <v>0</v>
      </c>
      <c r="I549">
        <f t="shared" si="44"/>
        <v>0</v>
      </c>
      <c r="J549" s="1">
        <f>+SUMIFS('VOLCADO '!H:H,'VOLCADO '!C:C,'Produccion por productor'!A:A,'VOLCADO '!B:B,'Produccion por productor'!B:B,'VOLCADO '!I:I,'Produccion por productor'!C:C,'VOLCADO '!J:J,'Produccion por productor'!E:E)*370</f>
        <v>0</v>
      </c>
      <c r="M549" s="91" t="e">
        <f t="shared" si="43"/>
        <v>#DIV/0!</v>
      </c>
      <c r="N549" s="88" t="e">
        <f t="shared" si="40"/>
        <v>#DIV/0!</v>
      </c>
    </row>
    <row r="550" spans="6:14" x14ac:dyDescent="0.25">
      <c r="F550" s="1"/>
      <c r="G550" s="114">
        <f t="shared" si="41"/>
        <v>0</v>
      </c>
      <c r="H550" s="37">
        <f t="shared" si="42"/>
        <v>0</v>
      </c>
      <c r="I550">
        <f t="shared" si="44"/>
        <v>0</v>
      </c>
      <c r="J550" s="1">
        <f>+SUMIFS('VOLCADO '!H:H,'VOLCADO '!C:C,'Produccion por productor'!A:A,'VOLCADO '!B:B,'Produccion por productor'!B:B,'VOLCADO '!I:I,'Produccion por productor'!C:C,'VOLCADO '!J:J,'Produccion por productor'!E:E)*370</f>
        <v>0</v>
      </c>
      <c r="M550" s="91" t="e">
        <f t="shared" si="43"/>
        <v>#DIV/0!</v>
      </c>
      <c r="N550" s="88" t="e">
        <f t="shared" si="40"/>
        <v>#DIV/0!</v>
      </c>
    </row>
    <row r="551" spans="6:14" x14ac:dyDescent="0.25">
      <c r="F551" s="1"/>
      <c r="G551" s="114">
        <f t="shared" si="41"/>
        <v>0</v>
      </c>
      <c r="H551" s="37">
        <f t="shared" si="42"/>
        <v>0</v>
      </c>
      <c r="I551">
        <f t="shared" si="44"/>
        <v>0</v>
      </c>
      <c r="J551" s="1">
        <f>+SUMIFS('VOLCADO '!H:H,'VOLCADO '!C:C,'Produccion por productor'!A:A,'VOLCADO '!B:B,'Produccion por productor'!B:B,'VOLCADO '!I:I,'Produccion por productor'!C:C,'VOLCADO '!J:J,'Produccion por productor'!E:E)*370</f>
        <v>0</v>
      </c>
      <c r="M551" s="91" t="e">
        <f t="shared" si="43"/>
        <v>#DIV/0!</v>
      </c>
      <c r="N551" s="88" t="e">
        <f t="shared" si="40"/>
        <v>#DIV/0!</v>
      </c>
    </row>
    <row r="552" spans="6:14" x14ac:dyDescent="0.25">
      <c r="F552" s="1"/>
      <c r="G552" s="114">
        <f t="shared" si="41"/>
        <v>0</v>
      </c>
      <c r="H552" s="37">
        <f t="shared" si="42"/>
        <v>0</v>
      </c>
      <c r="I552">
        <f t="shared" si="44"/>
        <v>0</v>
      </c>
      <c r="J552" s="1">
        <f>+SUMIFS('VOLCADO '!H:H,'VOLCADO '!C:C,'Produccion por productor'!A:A,'VOLCADO '!B:B,'Produccion por productor'!B:B,'VOLCADO '!I:I,'Produccion por productor'!C:C,'VOLCADO '!J:J,'Produccion por productor'!E:E)*370</f>
        <v>0</v>
      </c>
      <c r="M552" s="91" t="e">
        <f t="shared" si="43"/>
        <v>#DIV/0!</v>
      </c>
      <c r="N552" s="88" t="e">
        <f t="shared" si="40"/>
        <v>#DIV/0!</v>
      </c>
    </row>
    <row r="553" spans="6:14" x14ac:dyDescent="0.25">
      <c r="F553" s="1"/>
      <c r="G553" s="114">
        <f t="shared" si="41"/>
        <v>0</v>
      </c>
      <c r="H553" s="37">
        <f t="shared" si="42"/>
        <v>0</v>
      </c>
      <c r="I553">
        <f t="shared" si="44"/>
        <v>0</v>
      </c>
      <c r="J553" s="1">
        <f>+SUMIFS('VOLCADO '!H:H,'VOLCADO '!C:C,'Produccion por productor'!A:A,'VOLCADO '!B:B,'Produccion por productor'!B:B,'VOLCADO '!I:I,'Produccion por productor'!C:C,'VOLCADO '!J:J,'Produccion por productor'!E:E)*370</f>
        <v>0</v>
      </c>
      <c r="M553" s="91" t="e">
        <f t="shared" si="43"/>
        <v>#DIV/0!</v>
      </c>
      <c r="N553" s="88" t="e">
        <f t="shared" si="40"/>
        <v>#DIV/0!</v>
      </c>
    </row>
    <row r="554" spans="6:14" x14ac:dyDescent="0.25">
      <c r="F554" s="1"/>
      <c r="G554" s="114">
        <f t="shared" si="41"/>
        <v>0</v>
      </c>
      <c r="H554" s="37">
        <f t="shared" si="42"/>
        <v>0</v>
      </c>
      <c r="I554">
        <f t="shared" si="44"/>
        <v>0</v>
      </c>
      <c r="J554" s="1">
        <f>+SUMIFS('VOLCADO '!H:H,'VOLCADO '!C:C,'Produccion por productor'!A:A,'VOLCADO '!B:B,'Produccion por productor'!B:B,'VOLCADO '!I:I,'Produccion por productor'!C:C,'VOLCADO '!J:J,'Produccion por productor'!E:E)*370</f>
        <v>0</v>
      </c>
      <c r="M554" s="91" t="e">
        <f t="shared" si="43"/>
        <v>#DIV/0!</v>
      </c>
      <c r="N554" s="88" t="e">
        <f t="shared" si="40"/>
        <v>#DIV/0!</v>
      </c>
    </row>
    <row r="555" spans="6:14" x14ac:dyDescent="0.25">
      <c r="F555" s="1"/>
      <c r="G555" s="114">
        <f t="shared" si="41"/>
        <v>0</v>
      </c>
      <c r="H555" s="37">
        <f t="shared" si="42"/>
        <v>0</v>
      </c>
      <c r="I555">
        <f t="shared" si="44"/>
        <v>0</v>
      </c>
      <c r="J555" s="1">
        <f>+SUMIFS('VOLCADO '!H:H,'VOLCADO '!C:C,'Produccion por productor'!A:A,'VOLCADO '!B:B,'Produccion por productor'!B:B,'VOLCADO '!I:I,'Produccion por productor'!C:C,'VOLCADO '!J:J,'Produccion por productor'!E:E)*370</f>
        <v>0</v>
      </c>
      <c r="M555" s="91" t="e">
        <f t="shared" si="43"/>
        <v>#DIV/0!</v>
      </c>
      <c r="N555" s="88" t="e">
        <f t="shared" si="40"/>
        <v>#DIV/0!</v>
      </c>
    </row>
    <row r="556" spans="6:14" x14ac:dyDescent="0.25">
      <c r="F556" s="1"/>
      <c r="G556" s="114">
        <f t="shared" si="41"/>
        <v>0</v>
      </c>
      <c r="H556" s="37">
        <f t="shared" si="42"/>
        <v>0</v>
      </c>
      <c r="I556">
        <f t="shared" si="44"/>
        <v>0</v>
      </c>
      <c r="J556" s="1">
        <f>+SUMIFS('VOLCADO '!H:H,'VOLCADO '!C:C,'Produccion por productor'!A:A,'VOLCADO '!B:B,'Produccion por productor'!B:B,'VOLCADO '!I:I,'Produccion por productor'!C:C,'VOLCADO '!J:J,'Produccion por productor'!E:E)*370</f>
        <v>0</v>
      </c>
      <c r="M556" s="91" t="e">
        <f t="shared" si="43"/>
        <v>#DIV/0!</v>
      </c>
      <c r="N556" s="88" t="e">
        <f t="shared" si="40"/>
        <v>#DIV/0!</v>
      </c>
    </row>
    <row r="557" spans="6:14" x14ac:dyDescent="0.25">
      <c r="F557" s="1"/>
      <c r="G557" s="114">
        <f t="shared" si="41"/>
        <v>0</v>
      </c>
      <c r="H557" s="37">
        <f t="shared" si="42"/>
        <v>0</v>
      </c>
      <c r="I557">
        <f t="shared" si="44"/>
        <v>0</v>
      </c>
      <c r="J557" s="1">
        <f>+SUMIFS('VOLCADO '!H:H,'VOLCADO '!C:C,'Produccion por productor'!A:A,'VOLCADO '!B:B,'Produccion por productor'!B:B,'VOLCADO '!I:I,'Produccion por productor'!C:C,'VOLCADO '!J:J,'Produccion por productor'!E:E)*370</f>
        <v>0</v>
      </c>
      <c r="M557" s="91" t="e">
        <f t="shared" si="43"/>
        <v>#DIV/0!</v>
      </c>
      <c r="N557" s="88" t="e">
        <f t="shared" si="40"/>
        <v>#DIV/0!</v>
      </c>
    </row>
    <row r="558" spans="6:14" x14ac:dyDescent="0.25">
      <c r="F558" s="1"/>
      <c r="G558" s="114">
        <f t="shared" si="41"/>
        <v>0</v>
      </c>
      <c r="H558" s="37">
        <f t="shared" si="42"/>
        <v>0</v>
      </c>
      <c r="I558">
        <f t="shared" si="44"/>
        <v>0</v>
      </c>
      <c r="J558" s="1">
        <f>+SUMIFS('VOLCADO '!H:H,'VOLCADO '!C:C,'Produccion por productor'!A:A,'VOLCADO '!B:B,'Produccion por productor'!B:B,'VOLCADO '!I:I,'Produccion por productor'!C:C,'VOLCADO '!J:J,'Produccion por productor'!E:E)*370</f>
        <v>0</v>
      </c>
      <c r="M558" s="91" t="e">
        <f t="shared" si="43"/>
        <v>#DIV/0!</v>
      </c>
      <c r="N558" s="88" t="e">
        <f t="shared" si="40"/>
        <v>#DIV/0!</v>
      </c>
    </row>
    <row r="559" spans="6:14" x14ac:dyDescent="0.25">
      <c r="F559" s="1"/>
      <c r="G559" s="114">
        <f t="shared" si="41"/>
        <v>0</v>
      </c>
      <c r="H559" s="37">
        <f t="shared" si="42"/>
        <v>0</v>
      </c>
      <c r="I559">
        <f t="shared" si="44"/>
        <v>0</v>
      </c>
      <c r="J559" s="1">
        <f>+SUMIFS('VOLCADO '!H:H,'VOLCADO '!C:C,'Produccion por productor'!A:A,'VOLCADO '!B:B,'Produccion por productor'!B:B,'VOLCADO '!I:I,'Produccion por productor'!C:C,'VOLCADO '!J:J,'Produccion por productor'!E:E)*370</f>
        <v>0</v>
      </c>
      <c r="M559" s="91" t="e">
        <f t="shared" si="43"/>
        <v>#DIV/0!</v>
      </c>
      <c r="N559" s="88" t="e">
        <f t="shared" si="40"/>
        <v>#DIV/0!</v>
      </c>
    </row>
    <row r="560" spans="6:14" x14ac:dyDescent="0.25">
      <c r="F560" s="1"/>
      <c r="G560" s="114">
        <f t="shared" si="41"/>
        <v>0</v>
      </c>
      <c r="H560" s="37">
        <f t="shared" si="42"/>
        <v>0</v>
      </c>
      <c r="I560">
        <f t="shared" si="44"/>
        <v>0</v>
      </c>
      <c r="J560" s="1">
        <f>+SUMIFS('VOLCADO '!H:H,'VOLCADO '!C:C,'Produccion por productor'!A:A,'VOLCADO '!B:B,'Produccion por productor'!B:B,'VOLCADO '!I:I,'Produccion por productor'!C:C,'VOLCADO '!J:J,'Produccion por productor'!E:E)*370</f>
        <v>0</v>
      </c>
      <c r="M560" s="91" t="e">
        <f t="shared" si="43"/>
        <v>#DIV/0!</v>
      </c>
      <c r="N560" s="88" t="e">
        <f t="shared" si="40"/>
        <v>#DIV/0!</v>
      </c>
    </row>
    <row r="561" spans="6:14" x14ac:dyDescent="0.25">
      <c r="F561" s="1"/>
      <c r="G561" s="114">
        <f t="shared" si="41"/>
        <v>0</v>
      </c>
      <c r="H561" s="37">
        <f t="shared" si="42"/>
        <v>0</v>
      </c>
      <c r="I561">
        <f t="shared" si="44"/>
        <v>0</v>
      </c>
      <c r="J561" s="1">
        <f>+SUMIFS('VOLCADO '!H:H,'VOLCADO '!C:C,'Produccion por productor'!A:A,'VOLCADO '!B:B,'Produccion por productor'!B:B,'VOLCADO '!I:I,'Produccion por productor'!C:C,'VOLCADO '!J:J,'Produccion por productor'!E:E)*370</f>
        <v>0</v>
      </c>
      <c r="M561" s="91" t="e">
        <f t="shared" si="43"/>
        <v>#DIV/0!</v>
      </c>
      <c r="N561" s="88" t="e">
        <f t="shared" si="40"/>
        <v>#DIV/0!</v>
      </c>
    </row>
    <row r="562" spans="6:14" x14ac:dyDescent="0.25">
      <c r="F562" s="1"/>
      <c r="G562" s="114">
        <f t="shared" si="41"/>
        <v>0</v>
      </c>
      <c r="H562" s="37">
        <f t="shared" si="42"/>
        <v>0</v>
      </c>
      <c r="I562">
        <f t="shared" si="44"/>
        <v>0</v>
      </c>
      <c r="J562" s="1">
        <f>+SUMIFS('VOLCADO '!H:H,'VOLCADO '!C:C,'Produccion por productor'!A:A,'VOLCADO '!B:B,'Produccion por productor'!B:B,'VOLCADO '!I:I,'Produccion por productor'!C:C,'VOLCADO '!J:J,'Produccion por productor'!E:E)*370</f>
        <v>0</v>
      </c>
      <c r="M562" s="91" t="e">
        <f t="shared" si="43"/>
        <v>#DIV/0!</v>
      </c>
      <c r="N562" s="88" t="e">
        <f t="shared" si="40"/>
        <v>#DIV/0!</v>
      </c>
    </row>
    <row r="563" spans="6:14" x14ac:dyDescent="0.25">
      <c r="F563" s="1"/>
      <c r="G563" s="114">
        <f t="shared" si="41"/>
        <v>0</v>
      </c>
      <c r="H563" s="37">
        <f t="shared" si="42"/>
        <v>0</v>
      </c>
      <c r="I563">
        <f t="shared" si="44"/>
        <v>0</v>
      </c>
      <c r="J563" s="1">
        <f>+SUMIFS('VOLCADO '!H:H,'VOLCADO '!C:C,'Produccion por productor'!A:A,'VOLCADO '!B:B,'Produccion por productor'!B:B,'VOLCADO '!I:I,'Produccion por productor'!C:C,'VOLCADO '!J:J,'Produccion por productor'!E:E)*370</f>
        <v>0</v>
      </c>
      <c r="M563" s="91" t="e">
        <f t="shared" si="43"/>
        <v>#DIV/0!</v>
      </c>
      <c r="N563" s="88" t="e">
        <f t="shared" si="40"/>
        <v>#DIV/0!</v>
      </c>
    </row>
    <row r="564" spans="6:14" x14ac:dyDescent="0.25">
      <c r="F564" s="1"/>
      <c r="G564" s="114">
        <f t="shared" si="41"/>
        <v>0</v>
      </c>
      <c r="H564" s="37">
        <f t="shared" si="42"/>
        <v>0</v>
      </c>
      <c r="I564">
        <f t="shared" si="44"/>
        <v>0</v>
      </c>
      <c r="J564" s="1">
        <f>+SUMIFS('VOLCADO '!H:H,'VOLCADO '!C:C,'Produccion por productor'!A:A,'VOLCADO '!B:B,'Produccion por productor'!B:B,'VOLCADO '!I:I,'Produccion por productor'!C:C,'VOLCADO '!J:J,'Produccion por productor'!E:E)*370</f>
        <v>0</v>
      </c>
      <c r="M564" s="91" t="e">
        <f t="shared" si="43"/>
        <v>#DIV/0!</v>
      </c>
      <c r="N564" s="88" t="e">
        <f t="shared" si="40"/>
        <v>#DIV/0!</v>
      </c>
    </row>
    <row r="565" spans="6:14" x14ac:dyDescent="0.25">
      <c r="F565" s="1"/>
      <c r="G565" s="114">
        <f t="shared" si="41"/>
        <v>0</v>
      </c>
      <c r="H565" s="37">
        <f t="shared" si="42"/>
        <v>0</v>
      </c>
      <c r="I565">
        <f t="shared" si="44"/>
        <v>0</v>
      </c>
      <c r="J565" s="1">
        <f>+SUMIFS('VOLCADO '!H:H,'VOLCADO '!C:C,'Produccion por productor'!A:A,'VOLCADO '!B:B,'Produccion por productor'!B:B,'VOLCADO '!I:I,'Produccion por productor'!C:C,'VOLCADO '!J:J,'Produccion por productor'!E:E)*370</f>
        <v>0</v>
      </c>
      <c r="M565" s="91" t="e">
        <f t="shared" si="43"/>
        <v>#DIV/0!</v>
      </c>
      <c r="N565" s="88" t="e">
        <f t="shared" si="40"/>
        <v>#DIV/0!</v>
      </c>
    </row>
    <row r="566" spans="6:14" x14ac:dyDescent="0.25">
      <c r="F566" s="1"/>
      <c r="G566" s="114">
        <f t="shared" si="41"/>
        <v>0</v>
      </c>
      <c r="H566" s="37">
        <f t="shared" si="42"/>
        <v>0</v>
      </c>
      <c r="I566">
        <f t="shared" si="44"/>
        <v>0</v>
      </c>
      <c r="J566" s="1">
        <f>+SUMIFS('VOLCADO '!H:H,'VOLCADO '!C:C,'Produccion por productor'!A:A,'VOLCADO '!B:B,'Produccion por productor'!B:B,'VOLCADO '!I:I,'Produccion por productor'!C:C,'VOLCADO '!J:J,'Produccion por productor'!E:E)*370</f>
        <v>0</v>
      </c>
      <c r="M566" s="91" t="e">
        <f t="shared" si="43"/>
        <v>#DIV/0!</v>
      </c>
      <c r="N566" s="88" t="e">
        <f t="shared" si="40"/>
        <v>#DIV/0!</v>
      </c>
    </row>
    <row r="567" spans="6:14" x14ac:dyDescent="0.25">
      <c r="F567" s="1"/>
      <c r="G567" s="114">
        <f t="shared" si="41"/>
        <v>0</v>
      </c>
      <c r="H567" s="37">
        <f t="shared" si="42"/>
        <v>0</v>
      </c>
      <c r="I567">
        <f t="shared" si="44"/>
        <v>0</v>
      </c>
      <c r="J567" s="1">
        <f>+SUMIFS('VOLCADO '!H:H,'VOLCADO '!C:C,'Produccion por productor'!A:A,'VOLCADO '!B:B,'Produccion por productor'!B:B,'VOLCADO '!I:I,'Produccion por productor'!C:C,'VOLCADO '!J:J,'Produccion por productor'!E:E)*370</f>
        <v>0</v>
      </c>
      <c r="M567" s="91" t="e">
        <f t="shared" si="43"/>
        <v>#DIV/0!</v>
      </c>
      <c r="N567" s="88" t="e">
        <f t="shared" si="40"/>
        <v>#DIV/0!</v>
      </c>
    </row>
    <row r="568" spans="6:14" x14ac:dyDescent="0.25">
      <c r="F568" s="1"/>
      <c r="G568" s="114">
        <f t="shared" si="41"/>
        <v>0</v>
      </c>
      <c r="H568" s="37">
        <f t="shared" si="42"/>
        <v>0</v>
      </c>
      <c r="I568">
        <f t="shared" si="44"/>
        <v>0</v>
      </c>
      <c r="J568" s="1">
        <f>+SUMIFS('VOLCADO '!H:H,'VOLCADO '!C:C,'Produccion por productor'!A:A,'VOLCADO '!B:B,'Produccion por productor'!B:B,'VOLCADO '!I:I,'Produccion por productor'!C:C,'VOLCADO '!J:J,'Produccion por productor'!E:E)*370</f>
        <v>0</v>
      </c>
      <c r="M568" s="91" t="e">
        <f t="shared" si="43"/>
        <v>#DIV/0!</v>
      </c>
      <c r="N568" s="88" t="e">
        <f t="shared" si="40"/>
        <v>#DIV/0!</v>
      </c>
    </row>
    <row r="569" spans="6:14" x14ac:dyDescent="0.25">
      <c r="F569" s="1"/>
      <c r="G569" s="114">
        <f t="shared" si="41"/>
        <v>0</v>
      </c>
      <c r="H569" s="37">
        <f t="shared" si="42"/>
        <v>0</v>
      </c>
      <c r="I569">
        <f t="shared" si="44"/>
        <v>0</v>
      </c>
      <c r="J569" s="1">
        <f>+SUMIFS('VOLCADO '!H:H,'VOLCADO '!C:C,'Produccion por productor'!A:A,'VOLCADO '!B:B,'Produccion por productor'!B:B,'VOLCADO '!I:I,'Produccion por productor'!C:C,'VOLCADO '!J:J,'Produccion por productor'!E:E)*370</f>
        <v>0</v>
      </c>
      <c r="M569" s="91" t="e">
        <f t="shared" si="43"/>
        <v>#DIV/0!</v>
      </c>
      <c r="N569" s="88" t="e">
        <f t="shared" si="40"/>
        <v>#DIV/0!</v>
      </c>
    </row>
    <row r="570" spans="6:14" x14ac:dyDescent="0.25">
      <c r="F570" s="1"/>
      <c r="G570" s="114">
        <f t="shared" si="41"/>
        <v>0</v>
      </c>
      <c r="H570" s="37">
        <f t="shared" si="42"/>
        <v>0</v>
      </c>
      <c r="I570">
        <f t="shared" si="44"/>
        <v>0</v>
      </c>
      <c r="J570" s="1">
        <f>+SUMIFS('VOLCADO '!H:H,'VOLCADO '!C:C,'Produccion por productor'!A:A,'VOLCADO '!B:B,'Produccion por productor'!B:B,'VOLCADO '!I:I,'Produccion por productor'!C:C,'VOLCADO '!J:J,'Produccion por productor'!E:E)*370</f>
        <v>0</v>
      </c>
      <c r="M570" s="91" t="e">
        <f t="shared" si="43"/>
        <v>#DIV/0!</v>
      </c>
      <c r="N570" s="88" t="e">
        <f t="shared" si="40"/>
        <v>#DIV/0!</v>
      </c>
    </row>
    <row r="571" spans="6:14" x14ac:dyDescent="0.25">
      <c r="F571" s="1"/>
      <c r="G571" s="114">
        <f t="shared" si="41"/>
        <v>0</v>
      </c>
      <c r="H571" s="37">
        <f t="shared" si="42"/>
        <v>0</v>
      </c>
      <c r="I571">
        <f t="shared" si="44"/>
        <v>0</v>
      </c>
      <c r="J571" s="1">
        <f>+SUMIFS('VOLCADO '!H:H,'VOLCADO '!C:C,'Produccion por productor'!A:A,'VOLCADO '!B:B,'Produccion por productor'!B:B,'VOLCADO '!I:I,'Produccion por productor'!C:C,'VOLCADO '!J:J,'Produccion por productor'!E:E)*370</f>
        <v>0</v>
      </c>
      <c r="M571" s="91" t="e">
        <f t="shared" si="43"/>
        <v>#DIV/0!</v>
      </c>
      <c r="N571" s="88" t="e">
        <f t="shared" si="40"/>
        <v>#DIV/0!</v>
      </c>
    </row>
    <row r="572" spans="6:14" x14ac:dyDescent="0.25">
      <c r="F572" s="1"/>
      <c r="G572" s="114">
        <f t="shared" si="41"/>
        <v>0</v>
      </c>
      <c r="H572" s="37">
        <f t="shared" si="42"/>
        <v>0</v>
      </c>
      <c r="I572">
        <f t="shared" si="44"/>
        <v>0</v>
      </c>
      <c r="J572" s="1">
        <f>+SUMIFS('VOLCADO '!H:H,'VOLCADO '!C:C,'Produccion por productor'!A:A,'VOLCADO '!B:B,'Produccion por productor'!B:B,'VOLCADO '!I:I,'Produccion por productor'!C:C,'VOLCADO '!J:J,'Produccion por productor'!E:E)*370</f>
        <v>0</v>
      </c>
      <c r="M572" s="91" t="e">
        <f t="shared" si="43"/>
        <v>#DIV/0!</v>
      </c>
      <c r="N572" s="88" t="e">
        <f t="shared" si="40"/>
        <v>#DIV/0!</v>
      </c>
    </row>
    <row r="573" spans="6:14" x14ac:dyDescent="0.25">
      <c r="F573" s="1"/>
      <c r="G573" s="114">
        <f t="shared" si="41"/>
        <v>0</v>
      </c>
      <c r="H573" s="37">
        <f t="shared" si="42"/>
        <v>0</v>
      </c>
      <c r="I573">
        <f t="shared" si="44"/>
        <v>0</v>
      </c>
      <c r="J573" s="1">
        <f>+SUMIFS('VOLCADO '!H:H,'VOLCADO '!C:C,'Produccion por productor'!A:A,'VOLCADO '!B:B,'Produccion por productor'!B:B,'VOLCADO '!I:I,'Produccion por productor'!C:C,'VOLCADO '!J:J,'Produccion por productor'!E:E)*370</f>
        <v>0</v>
      </c>
      <c r="M573" s="91" t="e">
        <f t="shared" si="43"/>
        <v>#DIV/0!</v>
      </c>
      <c r="N573" s="88" t="e">
        <f t="shared" si="40"/>
        <v>#DIV/0!</v>
      </c>
    </row>
    <row r="574" spans="6:14" x14ac:dyDescent="0.25">
      <c r="F574" s="1"/>
      <c r="G574" s="114">
        <f t="shared" si="41"/>
        <v>0</v>
      </c>
      <c r="H574" s="37">
        <f t="shared" si="42"/>
        <v>0</v>
      </c>
      <c r="I574">
        <f t="shared" si="44"/>
        <v>0</v>
      </c>
      <c r="J574" s="1">
        <f>+SUMIFS('VOLCADO '!H:H,'VOLCADO '!C:C,'Produccion por productor'!A:A,'VOLCADO '!B:B,'Produccion por productor'!B:B,'VOLCADO '!I:I,'Produccion por productor'!C:C,'VOLCADO '!J:J,'Produccion por productor'!E:E)*370</f>
        <v>0</v>
      </c>
      <c r="M574" s="91" t="e">
        <f t="shared" si="43"/>
        <v>#DIV/0!</v>
      </c>
      <c r="N574" s="88" t="e">
        <f t="shared" si="40"/>
        <v>#DIV/0!</v>
      </c>
    </row>
    <row r="575" spans="6:14" x14ac:dyDescent="0.25">
      <c r="F575" s="1"/>
      <c r="G575" s="114">
        <f t="shared" si="41"/>
        <v>0</v>
      </c>
      <c r="H575" s="37">
        <f t="shared" si="42"/>
        <v>0</v>
      </c>
      <c r="I575">
        <f t="shared" si="44"/>
        <v>0</v>
      </c>
      <c r="J575" s="1">
        <f>+SUMIFS('VOLCADO '!H:H,'VOLCADO '!C:C,'Produccion por productor'!A:A,'VOLCADO '!B:B,'Produccion por productor'!B:B,'VOLCADO '!I:I,'Produccion por productor'!C:C,'VOLCADO '!J:J,'Produccion por productor'!E:E)*370</f>
        <v>0</v>
      </c>
      <c r="M575" s="91" t="e">
        <f t="shared" si="43"/>
        <v>#DIV/0!</v>
      </c>
      <c r="N575" s="88" t="e">
        <f t="shared" si="40"/>
        <v>#DIV/0!</v>
      </c>
    </row>
    <row r="576" spans="6:14" x14ac:dyDescent="0.25">
      <c r="F576" s="1"/>
      <c r="G576" s="114">
        <f t="shared" si="41"/>
        <v>0</v>
      </c>
      <c r="H576" s="37">
        <f t="shared" si="42"/>
        <v>0</v>
      </c>
      <c r="I576">
        <f t="shared" si="44"/>
        <v>0</v>
      </c>
      <c r="J576" s="1">
        <f>+SUMIFS('VOLCADO '!H:H,'VOLCADO '!C:C,'Produccion por productor'!A:A,'VOLCADO '!B:B,'Produccion por productor'!B:B,'VOLCADO '!I:I,'Produccion por productor'!C:C,'VOLCADO '!J:J,'Produccion por productor'!E:E)*370</f>
        <v>0</v>
      </c>
      <c r="M576" s="91" t="e">
        <f t="shared" si="43"/>
        <v>#DIV/0!</v>
      </c>
      <c r="N576" s="88" t="e">
        <f t="shared" si="40"/>
        <v>#DIV/0!</v>
      </c>
    </row>
    <row r="577" spans="6:14" x14ac:dyDescent="0.25">
      <c r="F577" s="1"/>
      <c r="G577" s="114">
        <f t="shared" si="41"/>
        <v>0</v>
      </c>
      <c r="H577" s="37">
        <f t="shared" si="42"/>
        <v>0</v>
      </c>
      <c r="I577">
        <f t="shared" si="44"/>
        <v>0</v>
      </c>
      <c r="J577" s="1">
        <f>+SUMIFS('VOLCADO '!H:H,'VOLCADO '!C:C,'Produccion por productor'!A:A,'VOLCADO '!B:B,'Produccion por productor'!B:B,'VOLCADO '!I:I,'Produccion por productor'!C:C,'VOLCADO '!J:J,'Produccion por productor'!E:E)*370</f>
        <v>0</v>
      </c>
      <c r="M577" s="91" t="e">
        <f t="shared" si="43"/>
        <v>#DIV/0!</v>
      </c>
      <c r="N577" s="88" t="e">
        <f t="shared" ref="N577:N640" si="45">+((F577+I577)/J577)*100</f>
        <v>#DIV/0!</v>
      </c>
    </row>
    <row r="578" spans="6:14" x14ac:dyDescent="0.25">
      <c r="F578" s="1"/>
      <c r="G578" s="114">
        <f t="shared" ref="G578:G641" si="46">+F578+I578</f>
        <v>0</v>
      </c>
      <c r="H578" s="37">
        <f t="shared" ref="H578:H641" si="47">+(F578*0.05)+F578</f>
        <v>0</v>
      </c>
      <c r="I578">
        <f t="shared" si="44"/>
        <v>0</v>
      </c>
      <c r="J578" s="1">
        <f>+SUMIFS('VOLCADO '!H:H,'VOLCADO '!C:C,'Produccion por productor'!A:A,'VOLCADO '!B:B,'Produccion por productor'!B:B,'VOLCADO '!I:I,'Produccion por productor'!C:C,'VOLCADO '!J:J,'Produccion por productor'!E:E)*370</f>
        <v>0</v>
      </c>
      <c r="M578" s="91" t="e">
        <f t="shared" si="43"/>
        <v>#DIV/0!</v>
      </c>
      <c r="N578" s="88" t="e">
        <f t="shared" si="45"/>
        <v>#DIV/0!</v>
      </c>
    </row>
    <row r="579" spans="6:14" x14ac:dyDescent="0.25">
      <c r="F579" s="1"/>
      <c r="G579" s="114">
        <f t="shared" si="46"/>
        <v>0</v>
      </c>
      <c r="H579" s="37">
        <f t="shared" si="47"/>
        <v>0</v>
      </c>
      <c r="I579">
        <f t="shared" si="44"/>
        <v>0</v>
      </c>
      <c r="J579" s="1">
        <f>+SUMIFS('VOLCADO '!H:H,'VOLCADO '!C:C,'Produccion por productor'!A:A,'VOLCADO '!B:B,'Produccion por productor'!B:B,'VOLCADO '!I:I,'Produccion por productor'!C:C,'VOLCADO '!J:J,'Produccion por productor'!E:E)*370</f>
        <v>0</v>
      </c>
      <c r="M579" s="91" t="e">
        <f t="shared" ref="M579:M642" si="48">+((H579+I579)/J579)*100</f>
        <v>#DIV/0!</v>
      </c>
      <c r="N579" s="88" t="e">
        <f t="shared" si="45"/>
        <v>#DIV/0!</v>
      </c>
    </row>
    <row r="580" spans="6:14" x14ac:dyDescent="0.25">
      <c r="F580" s="1"/>
      <c r="G580" s="114">
        <f t="shared" si="46"/>
        <v>0</v>
      </c>
      <c r="H580" s="37">
        <f t="shared" si="47"/>
        <v>0</v>
      </c>
      <c r="I580">
        <f t="shared" si="44"/>
        <v>0</v>
      </c>
      <c r="J580" s="1">
        <f>+SUMIFS('VOLCADO '!H:H,'VOLCADO '!C:C,'Produccion por productor'!A:A,'VOLCADO '!B:B,'Produccion por productor'!B:B,'VOLCADO '!I:I,'Produccion por productor'!C:C,'VOLCADO '!J:J,'Produccion por productor'!E:E)*370</f>
        <v>0</v>
      </c>
      <c r="M580" s="91" t="e">
        <f t="shared" si="48"/>
        <v>#DIV/0!</v>
      </c>
      <c r="N580" s="88" t="e">
        <f t="shared" si="45"/>
        <v>#DIV/0!</v>
      </c>
    </row>
    <row r="581" spans="6:14" x14ac:dyDescent="0.25">
      <c r="F581" s="1"/>
      <c r="G581" s="114">
        <f t="shared" si="46"/>
        <v>0</v>
      </c>
      <c r="H581" s="37">
        <f t="shared" si="47"/>
        <v>0</v>
      </c>
      <c r="I581">
        <f t="shared" si="44"/>
        <v>0</v>
      </c>
      <c r="J581" s="1">
        <f>+SUMIFS('VOLCADO '!H:H,'VOLCADO '!C:C,'Produccion por productor'!A:A,'VOLCADO '!B:B,'Produccion por productor'!B:B,'VOLCADO '!I:I,'Produccion por productor'!C:C,'VOLCADO '!J:J,'Produccion por productor'!E:E)*370</f>
        <v>0</v>
      </c>
      <c r="M581" s="91" t="e">
        <f t="shared" si="48"/>
        <v>#DIV/0!</v>
      </c>
      <c r="N581" s="88" t="e">
        <f t="shared" si="45"/>
        <v>#DIV/0!</v>
      </c>
    </row>
    <row r="582" spans="6:14" x14ac:dyDescent="0.25">
      <c r="F582" s="1"/>
      <c r="G582" s="114">
        <f t="shared" si="46"/>
        <v>0</v>
      </c>
      <c r="H582" s="37">
        <f t="shared" si="47"/>
        <v>0</v>
      </c>
      <c r="I582">
        <f t="shared" si="44"/>
        <v>0</v>
      </c>
      <c r="J582" s="1">
        <f>+SUMIFS('VOLCADO '!H:H,'VOLCADO '!C:C,'Produccion por productor'!A:A,'VOLCADO '!B:B,'Produccion por productor'!B:B,'VOLCADO '!I:I,'Produccion por productor'!C:C,'VOLCADO '!J:J,'Produccion por productor'!E:E)*370</f>
        <v>0</v>
      </c>
      <c r="M582" s="91" t="e">
        <f t="shared" si="48"/>
        <v>#DIV/0!</v>
      </c>
      <c r="N582" s="88" t="e">
        <f t="shared" si="45"/>
        <v>#DIV/0!</v>
      </c>
    </row>
    <row r="583" spans="6:14" x14ac:dyDescent="0.25">
      <c r="F583" s="1"/>
      <c r="G583" s="114">
        <f t="shared" si="46"/>
        <v>0</v>
      </c>
      <c r="H583" s="37">
        <f t="shared" si="47"/>
        <v>0</v>
      </c>
      <c r="I583">
        <f t="shared" si="44"/>
        <v>0</v>
      </c>
      <c r="J583" s="1">
        <f>+SUMIFS('VOLCADO '!H:H,'VOLCADO '!C:C,'Produccion por productor'!A:A,'VOLCADO '!B:B,'Produccion por productor'!B:B,'VOLCADO '!I:I,'Produccion por productor'!C:C,'VOLCADO '!J:J,'Produccion por productor'!E:E)*370</f>
        <v>0</v>
      </c>
      <c r="M583" s="91" t="e">
        <f t="shared" si="48"/>
        <v>#DIV/0!</v>
      </c>
      <c r="N583" s="88" t="e">
        <f t="shared" si="45"/>
        <v>#DIV/0!</v>
      </c>
    </row>
    <row r="584" spans="6:14" x14ac:dyDescent="0.25">
      <c r="F584" s="1"/>
      <c r="G584" s="114">
        <f t="shared" si="46"/>
        <v>0</v>
      </c>
      <c r="H584" s="37">
        <f t="shared" si="47"/>
        <v>0</v>
      </c>
      <c r="I584">
        <f t="shared" si="44"/>
        <v>0</v>
      </c>
      <c r="J584" s="1">
        <f>+SUMIFS('VOLCADO '!H:H,'VOLCADO '!C:C,'Produccion por productor'!A:A,'VOLCADO '!B:B,'Produccion por productor'!B:B,'VOLCADO '!I:I,'Produccion por productor'!C:C,'VOLCADO '!J:J,'Produccion por productor'!E:E)*370</f>
        <v>0</v>
      </c>
      <c r="M584" s="91" t="e">
        <f t="shared" si="48"/>
        <v>#DIV/0!</v>
      </c>
      <c r="N584" s="88" t="e">
        <f t="shared" si="45"/>
        <v>#DIV/0!</v>
      </c>
    </row>
    <row r="585" spans="6:14" x14ac:dyDescent="0.25">
      <c r="F585" s="1"/>
      <c r="G585" s="114">
        <f t="shared" si="46"/>
        <v>0</v>
      </c>
      <c r="H585" s="37">
        <f t="shared" si="47"/>
        <v>0</v>
      </c>
      <c r="I585">
        <f t="shared" si="44"/>
        <v>0</v>
      </c>
      <c r="J585" s="1">
        <f>+SUMIFS('VOLCADO '!H:H,'VOLCADO '!C:C,'Produccion por productor'!A:A,'VOLCADO '!B:B,'Produccion por productor'!B:B,'VOLCADO '!I:I,'Produccion por productor'!C:C,'VOLCADO '!J:J,'Produccion por productor'!E:E)*370</f>
        <v>0</v>
      </c>
      <c r="M585" s="91" t="e">
        <f t="shared" si="48"/>
        <v>#DIV/0!</v>
      </c>
      <c r="N585" s="88" t="e">
        <f t="shared" si="45"/>
        <v>#DIV/0!</v>
      </c>
    </row>
    <row r="586" spans="6:14" x14ac:dyDescent="0.25">
      <c r="F586" s="1"/>
      <c r="G586" s="114">
        <f t="shared" si="46"/>
        <v>0</v>
      </c>
      <c r="H586" s="37">
        <f t="shared" si="47"/>
        <v>0</v>
      </c>
      <c r="I586">
        <f t="shared" si="44"/>
        <v>0</v>
      </c>
      <c r="J586" s="1">
        <f>+SUMIFS('VOLCADO '!H:H,'VOLCADO '!C:C,'Produccion por productor'!A:A,'VOLCADO '!B:B,'Produccion por productor'!B:B,'VOLCADO '!I:I,'Produccion por productor'!C:C,'VOLCADO '!J:J,'Produccion por productor'!E:E)*370</f>
        <v>0</v>
      </c>
      <c r="M586" s="91" t="e">
        <f t="shared" si="48"/>
        <v>#DIV/0!</v>
      </c>
      <c r="N586" s="88" t="e">
        <f t="shared" si="45"/>
        <v>#DIV/0!</v>
      </c>
    </row>
    <row r="587" spans="6:14" x14ac:dyDescent="0.25">
      <c r="F587" s="1"/>
      <c r="G587" s="114">
        <f t="shared" si="46"/>
        <v>0</v>
      </c>
      <c r="H587" s="37">
        <f t="shared" si="47"/>
        <v>0</v>
      </c>
      <c r="I587">
        <f t="shared" si="44"/>
        <v>0</v>
      </c>
      <c r="J587" s="1">
        <f>+SUMIFS('VOLCADO '!H:H,'VOLCADO '!C:C,'Produccion por productor'!A:A,'VOLCADO '!B:B,'Produccion por productor'!B:B,'VOLCADO '!I:I,'Produccion por productor'!C:C,'VOLCADO '!J:J,'Produccion por productor'!E:E)*370</f>
        <v>0</v>
      </c>
      <c r="M587" s="91" t="e">
        <f t="shared" si="48"/>
        <v>#DIV/0!</v>
      </c>
      <c r="N587" s="88" t="e">
        <f t="shared" si="45"/>
        <v>#DIV/0!</v>
      </c>
    </row>
    <row r="588" spans="6:14" x14ac:dyDescent="0.25">
      <c r="F588" s="1"/>
      <c r="G588" s="114">
        <f t="shared" si="46"/>
        <v>0</v>
      </c>
      <c r="H588" s="37">
        <f t="shared" si="47"/>
        <v>0</v>
      </c>
      <c r="I588">
        <f t="shared" si="44"/>
        <v>0</v>
      </c>
      <c r="J588" s="1">
        <f>+SUMIFS('VOLCADO '!H:H,'VOLCADO '!C:C,'Produccion por productor'!A:A,'VOLCADO '!B:B,'Produccion por productor'!B:B,'VOLCADO '!I:I,'Produccion por productor'!C:C,'VOLCADO '!J:J,'Produccion por productor'!E:E)*370</f>
        <v>0</v>
      </c>
      <c r="M588" s="91" t="e">
        <f t="shared" si="48"/>
        <v>#DIV/0!</v>
      </c>
      <c r="N588" s="88" t="e">
        <f t="shared" si="45"/>
        <v>#DIV/0!</v>
      </c>
    </row>
    <row r="589" spans="6:14" x14ac:dyDescent="0.25">
      <c r="F589" s="1"/>
      <c r="G589" s="114">
        <f t="shared" si="46"/>
        <v>0</v>
      </c>
      <c r="H589" s="37">
        <f t="shared" si="47"/>
        <v>0</v>
      </c>
      <c r="I589">
        <f t="shared" si="44"/>
        <v>0</v>
      </c>
      <c r="J589" s="1">
        <f>+SUMIFS('VOLCADO '!H:H,'VOLCADO '!C:C,'Produccion por productor'!A:A,'VOLCADO '!B:B,'Produccion por productor'!B:B,'VOLCADO '!I:I,'Produccion por productor'!C:C,'VOLCADO '!J:J,'Produccion por productor'!E:E)*370</f>
        <v>0</v>
      </c>
      <c r="M589" s="91" t="e">
        <f t="shared" si="48"/>
        <v>#DIV/0!</v>
      </c>
      <c r="N589" s="88" t="e">
        <f t="shared" si="45"/>
        <v>#DIV/0!</v>
      </c>
    </row>
    <row r="590" spans="6:14" x14ac:dyDescent="0.25">
      <c r="F590" s="1"/>
      <c r="G590" s="114">
        <f t="shared" si="46"/>
        <v>0</v>
      </c>
      <c r="H590" s="37">
        <f t="shared" si="47"/>
        <v>0</v>
      </c>
      <c r="I590">
        <f t="shared" ref="I590:I653" si="49">+L590-K590</f>
        <v>0</v>
      </c>
      <c r="J590" s="1">
        <f>+SUMIFS('VOLCADO '!H:H,'VOLCADO '!C:C,'Produccion por productor'!A:A,'VOLCADO '!B:B,'Produccion por productor'!B:B,'VOLCADO '!I:I,'Produccion por productor'!C:C,'VOLCADO '!J:J,'Produccion por productor'!E:E)*370</f>
        <v>0</v>
      </c>
      <c r="M590" s="91" t="e">
        <f t="shared" si="48"/>
        <v>#DIV/0!</v>
      </c>
      <c r="N590" s="88" t="e">
        <f t="shared" si="45"/>
        <v>#DIV/0!</v>
      </c>
    </row>
    <row r="591" spans="6:14" x14ac:dyDescent="0.25">
      <c r="F591" s="1"/>
      <c r="G591" s="114">
        <f t="shared" si="46"/>
        <v>0</v>
      </c>
      <c r="H591" s="37">
        <f t="shared" si="47"/>
        <v>0</v>
      </c>
      <c r="I591">
        <f t="shared" si="49"/>
        <v>0</v>
      </c>
      <c r="J591" s="1">
        <f>+SUMIFS('VOLCADO '!H:H,'VOLCADO '!C:C,'Produccion por productor'!A:A,'VOLCADO '!B:B,'Produccion por productor'!B:B,'VOLCADO '!I:I,'Produccion por productor'!C:C,'VOLCADO '!J:J,'Produccion por productor'!E:E)*370</f>
        <v>0</v>
      </c>
      <c r="M591" s="91" t="e">
        <f t="shared" si="48"/>
        <v>#DIV/0!</v>
      </c>
      <c r="N591" s="88" t="e">
        <f t="shared" si="45"/>
        <v>#DIV/0!</v>
      </c>
    </row>
    <row r="592" spans="6:14" x14ac:dyDescent="0.25">
      <c r="F592" s="1"/>
      <c r="G592" s="114">
        <f t="shared" si="46"/>
        <v>0</v>
      </c>
      <c r="H592" s="37">
        <f t="shared" si="47"/>
        <v>0</v>
      </c>
      <c r="I592">
        <f t="shared" si="49"/>
        <v>0</v>
      </c>
      <c r="J592" s="1">
        <f>+SUMIFS('VOLCADO '!H:H,'VOLCADO '!C:C,'Produccion por productor'!A:A,'VOLCADO '!B:B,'Produccion por productor'!B:B,'VOLCADO '!I:I,'Produccion por productor'!C:C,'VOLCADO '!J:J,'Produccion por productor'!E:E)*370</f>
        <v>0</v>
      </c>
      <c r="M592" s="91" t="e">
        <f t="shared" si="48"/>
        <v>#DIV/0!</v>
      </c>
      <c r="N592" s="88" t="e">
        <f t="shared" si="45"/>
        <v>#DIV/0!</v>
      </c>
    </row>
    <row r="593" spans="6:14" x14ac:dyDescent="0.25">
      <c r="F593" s="1"/>
      <c r="G593" s="114">
        <f t="shared" si="46"/>
        <v>0</v>
      </c>
      <c r="H593" s="37">
        <f t="shared" si="47"/>
        <v>0</v>
      </c>
      <c r="I593">
        <f t="shared" si="49"/>
        <v>0</v>
      </c>
      <c r="J593" s="1">
        <f>+SUMIFS('VOLCADO '!H:H,'VOLCADO '!C:C,'Produccion por productor'!A:A,'VOLCADO '!B:B,'Produccion por productor'!B:B,'VOLCADO '!I:I,'Produccion por productor'!C:C,'VOLCADO '!J:J,'Produccion por productor'!E:E)*370</f>
        <v>0</v>
      </c>
      <c r="M593" s="91" t="e">
        <f t="shared" si="48"/>
        <v>#DIV/0!</v>
      </c>
      <c r="N593" s="88" t="e">
        <f t="shared" si="45"/>
        <v>#DIV/0!</v>
      </c>
    </row>
    <row r="594" spans="6:14" x14ac:dyDescent="0.25">
      <c r="F594" s="1"/>
      <c r="G594" s="114">
        <f t="shared" si="46"/>
        <v>0</v>
      </c>
      <c r="H594" s="37">
        <f t="shared" si="47"/>
        <v>0</v>
      </c>
      <c r="I594">
        <f t="shared" si="49"/>
        <v>0</v>
      </c>
      <c r="J594" s="1">
        <f>+SUMIFS('VOLCADO '!H:H,'VOLCADO '!C:C,'Produccion por productor'!A:A,'VOLCADO '!B:B,'Produccion por productor'!B:B,'VOLCADO '!I:I,'Produccion por productor'!C:C,'VOLCADO '!J:J,'Produccion por productor'!E:E)*370</f>
        <v>0</v>
      </c>
      <c r="M594" s="91" t="e">
        <f t="shared" si="48"/>
        <v>#DIV/0!</v>
      </c>
      <c r="N594" s="88" t="e">
        <f t="shared" si="45"/>
        <v>#DIV/0!</v>
      </c>
    </row>
    <row r="595" spans="6:14" x14ac:dyDescent="0.25">
      <c r="F595" s="1"/>
      <c r="G595" s="114">
        <f t="shared" si="46"/>
        <v>0</v>
      </c>
      <c r="H595" s="37">
        <f t="shared" si="47"/>
        <v>0</v>
      </c>
      <c r="I595">
        <f t="shared" si="49"/>
        <v>0</v>
      </c>
      <c r="J595" s="1">
        <f>+SUMIFS('VOLCADO '!H:H,'VOLCADO '!C:C,'Produccion por productor'!A:A,'VOLCADO '!B:B,'Produccion por productor'!B:B,'VOLCADO '!I:I,'Produccion por productor'!C:C,'VOLCADO '!J:J,'Produccion por productor'!E:E)*370</f>
        <v>0</v>
      </c>
      <c r="M595" s="91" t="e">
        <f t="shared" si="48"/>
        <v>#DIV/0!</v>
      </c>
      <c r="N595" s="88" t="e">
        <f t="shared" si="45"/>
        <v>#DIV/0!</v>
      </c>
    </row>
    <row r="596" spans="6:14" x14ac:dyDescent="0.25">
      <c r="F596" s="1"/>
      <c r="G596" s="114">
        <f t="shared" si="46"/>
        <v>0</v>
      </c>
      <c r="H596" s="37">
        <f t="shared" si="47"/>
        <v>0</v>
      </c>
      <c r="I596">
        <f t="shared" si="49"/>
        <v>0</v>
      </c>
      <c r="J596" s="1">
        <f>+SUMIFS('VOLCADO '!H:H,'VOLCADO '!C:C,'Produccion por productor'!A:A,'VOLCADO '!B:B,'Produccion por productor'!B:B,'VOLCADO '!I:I,'Produccion por productor'!C:C,'VOLCADO '!J:J,'Produccion por productor'!E:E)*370</f>
        <v>0</v>
      </c>
      <c r="M596" s="91" t="e">
        <f t="shared" si="48"/>
        <v>#DIV/0!</v>
      </c>
      <c r="N596" s="88" t="e">
        <f t="shared" si="45"/>
        <v>#DIV/0!</v>
      </c>
    </row>
    <row r="597" spans="6:14" x14ac:dyDescent="0.25">
      <c r="F597" s="1"/>
      <c r="G597" s="114">
        <f t="shared" si="46"/>
        <v>0</v>
      </c>
      <c r="H597" s="37">
        <f t="shared" si="47"/>
        <v>0</v>
      </c>
      <c r="I597">
        <f t="shared" si="49"/>
        <v>0</v>
      </c>
      <c r="J597" s="1">
        <f>+SUMIFS('VOLCADO '!H:H,'VOLCADO '!C:C,'Produccion por productor'!A:A,'VOLCADO '!B:B,'Produccion por productor'!B:B,'VOLCADO '!I:I,'Produccion por productor'!C:C,'VOLCADO '!J:J,'Produccion por productor'!E:E)*370</f>
        <v>0</v>
      </c>
      <c r="M597" s="91" t="e">
        <f t="shared" si="48"/>
        <v>#DIV/0!</v>
      </c>
      <c r="N597" s="88" t="e">
        <f t="shared" si="45"/>
        <v>#DIV/0!</v>
      </c>
    </row>
    <row r="598" spans="6:14" x14ac:dyDescent="0.25">
      <c r="F598" s="1"/>
      <c r="G598" s="114">
        <f t="shared" si="46"/>
        <v>0</v>
      </c>
      <c r="H598" s="37">
        <f t="shared" si="47"/>
        <v>0</v>
      </c>
      <c r="I598">
        <f t="shared" si="49"/>
        <v>0</v>
      </c>
      <c r="J598" s="1">
        <f>+SUMIFS('VOLCADO '!H:H,'VOLCADO '!C:C,'Produccion por productor'!A:A,'VOLCADO '!B:B,'Produccion por productor'!B:B,'VOLCADO '!I:I,'Produccion por productor'!C:C,'VOLCADO '!J:J,'Produccion por productor'!E:E)*370</f>
        <v>0</v>
      </c>
      <c r="M598" s="91" t="e">
        <f t="shared" si="48"/>
        <v>#DIV/0!</v>
      </c>
      <c r="N598" s="88" t="e">
        <f t="shared" si="45"/>
        <v>#DIV/0!</v>
      </c>
    </row>
    <row r="599" spans="6:14" x14ac:dyDescent="0.25">
      <c r="F599" s="1"/>
      <c r="G599" s="114">
        <f t="shared" si="46"/>
        <v>0</v>
      </c>
      <c r="H599" s="37">
        <f t="shared" si="47"/>
        <v>0</v>
      </c>
      <c r="I599">
        <f t="shared" si="49"/>
        <v>0</v>
      </c>
      <c r="J599" s="1">
        <f>+SUMIFS('VOLCADO '!H:H,'VOLCADO '!C:C,'Produccion por productor'!A:A,'VOLCADO '!B:B,'Produccion por productor'!B:B,'VOLCADO '!I:I,'Produccion por productor'!C:C,'VOLCADO '!J:J,'Produccion por productor'!E:E)*370</f>
        <v>0</v>
      </c>
      <c r="M599" s="91" t="e">
        <f t="shared" si="48"/>
        <v>#DIV/0!</v>
      </c>
      <c r="N599" s="88" t="e">
        <f t="shared" si="45"/>
        <v>#DIV/0!</v>
      </c>
    </row>
    <row r="600" spans="6:14" x14ac:dyDescent="0.25">
      <c r="F600" s="1"/>
      <c r="G600" s="114">
        <f t="shared" si="46"/>
        <v>0</v>
      </c>
      <c r="H600" s="37">
        <f t="shared" si="47"/>
        <v>0</v>
      </c>
      <c r="I600">
        <f t="shared" si="49"/>
        <v>0</v>
      </c>
      <c r="J600" s="1">
        <f>+SUMIFS('VOLCADO '!H:H,'VOLCADO '!C:C,'Produccion por productor'!A:A,'VOLCADO '!B:B,'Produccion por productor'!B:B,'VOLCADO '!I:I,'Produccion por productor'!C:C,'VOLCADO '!J:J,'Produccion por productor'!E:E)*370</f>
        <v>0</v>
      </c>
      <c r="M600" s="91" t="e">
        <f t="shared" si="48"/>
        <v>#DIV/0!</v>
      </c>
      <c r="N600" s="88" t="e">
        <f t="shared" si="45"/>
        <v>#DIV/0!</v>
      </c>
    </row>
    <row r="601" spans="6:14" x14ac:dyDescent="0.25">
      <c r="F601" s="1"/>
      <c r="G601" s="114">
        <f t="shared" si="46"/>
        <v>0</v>
      </c>
      <c r="H601" s="37">
        <f t="shared" si="47"/>
        <v>0</v>
      </c>
      <c r="I601">
        <f t="shared" si="49"/>
        <v>0</v>
      </c>
      <c r="J601" s="1">
        <f>+SUMIFS('VOLCADO '!H:H,'VOLCADO '!C:C,'Produccion por productor'!A:A,'VOLCADO '!B:B,'Produccion por productor'!B:B,'VOLCADO '!I:I,'Produccion por productor'!C:C,'VOLCADO '!J:J,'Produccion por productor'!E:E)*370</f>
        <v>0</v>
      </c>
      <c r="M601" s="91" t="e">
        <f t="shared" si="48"/>
        <v>#DIV/0!</v>
      </c>
      <c r="N601" s="88" t="e">
        <f t="shared" si="45"/>
        <v>#DIV/0!</v>
      </c>
    </row>
    <row r="602" spans="6:14" x14ac:dyDescent="0.25">
      <c r="F602" s="1"/>
      <c r="G602" s="114">
        <f t="shared" si="46"/>
        <v>0</v>
      </c>
      <c r="H602" s="37">
        <f t="shared" si="47"/>
        <v>0</v>
      </c>
      <c r="I602">
        <f t="shared" si="49"/>
        <v>0</v>
      </c>
      <c r="J602" s="1">
        <f>+SUMIFS('VOLCADO '!H:H,'VOLCADO '!C:C,'Produccion por productor'!A:A,'VOLCADO '!B:B,'Produccion por productor'!B:B,'VOLCADO '!I:I,'Produccion por productor'!C:C,'VOLCADO '!J:J,'Produccion por productor'!E:E)*370</f>
        <v>0</v>
      </c>
      <c r="M602" s="91" t="e">
        <f t="shared" si="48"/>
        <v>#DIV/0!</v>
      </c>
      <c r="N602" s="88" t="e">
        <f t="shared" si="45"/>
        <v>#DIV/0!</v>
      </c>
    </row>
    <row r="603" spans="6:14" x14ac:dyDescent="0.25">
      <c r="F603" s="1"/>
      <c r="G603" s="114">
        <f t="shared" si="46"/>
        <v>0</v>
      </c>
      <c r="H603" s="37">
        <f t="shared" si="47"/>
        <v>0</v>
      </c>
      <c r="I603">
        <f t="shared" si="49"/>
        <v>0</v>
      </c>
      <c r="J603" s="1">
        <f>+SUMIFS('VOLCADO '!H:H,'VOLCADO '!C:C,'Produccion por productor'!A:A,'VOLCADO '!B:B,'Produccion por productor'!B:B,'VOLCADO '!I:I,'Produccion por productor'!C:C,'VOLCADO '!J:J,'Produccion por productor'!E:E)*370</f>
        <v>0</v>
      </c>
      <c r="M603" s="91" t="e">
        <f t="shared" si="48"/>
        <v>#DIV/0!</v>
      </c>
      <c r="N603" s="88" t="e">
        <f t="shared" si="45"/>
        <v>#DIV/0!</v>
      </c>
    </row>
    <row r="604" spans="6:14" x14ac:dyDescent="0.25">
      <c r="F604" s="1"/>
      <c r="G604" s="114">
        <f t="shared" si="46"/>
        <v>0</v>
      </c>
      <c r="H604" s="37">
        <f t="shared" si="47"/>
        <v>0</v>
      </c>
      <c r="I604">
        <f t="shared" si="49"/>
        <v>0</v>
      </c>
      <c r="J604" s="1">
        <f>+SUMIFS('VOLCADO '!H:H,'VOLCADO '!C:C,'Produccion por productor'!A:A,'VOLCADO '!B:B,'Produccion por productor'!B:B,'VOLCADO '!I:I,'Produccion por productor'!C:C,'VOLCADO '!J:J,'Produccion por productor'!E:E)*370</f>
        <v>0</v>
      </c>
      <c r="M604" s="91" t="e">
        <f t="shared" si="48"/>
        <v>#DIV/0!</v>
      </c>
      <c r="N604" s="88" t="e">
        <f t="shared" si="45"/>
        <v>#DIV/0!</v>
      </c>
    </row>
    <row r="605" spans="6:14" x14ac:dyDescent="0.25">
      <c r="F605" s="1"/>
      <c r="G605" s="114">
        <f t="shared" si="46"/>
        <v>0</v>
      </c>
      <c r="H605" s="37">
        <f t="shared" si="47"/>
        <v>0</v>
      </c>
      <c r="I605">
        <f t="shared" si="49"/>
        <v>0</v>
      </c>
      <c r="J605" s="1">
        <f>+SUMIFS('VOLCADO '!H:H,'VOLCADO '!C:C,'Produccion por productor'!A:A,'VOLCADO '!B:B,'Produccion por productor'!B:B,'VOLCADO '!I:I,'Produccion por productor'!C:C,'VOLCADO '!J:J,'Produccion por productor'!E:E)*370</f>
        <v>0</v>
      </c>
      <c r="M605" s="91" t="e">
        <f t="shared" si="48"/>
        <v>#DIV/0!</v>
      </c>
      <c r="N605" s="88" t="e">
        <f t="shared" si="45"/>
        <v>#DIV/0!</v>
      </c>
    </row>
    <row r="606" spans="6:14" x14ac:dyDescent="0.25">
      <c r="F606" s="1"/>
      <c r="G606" s="114">
        <f t="shared" si="46"/>
        <v>0</v>
      </c>
      <c r="H606" s="37">
        <f t="shared" si="47"/>
        <v>0</v>
      </c>
      <c r="I606">
        <f t="shared" si="49"/>
        <v>0</v>
      </c>
      <c r="J606" s="1">
        <f>+SUMIFS('VOLCADO '!H:H,'VOLCADO '!C:C,'Produccion por productor'!A:A,'VOLCADO '!B:B,'Produccion por productor'!B:B,'VOLCADO '!I:I,'Produccion por productor'!C:C,'VOLCADO '!J:J,'Produccion por productor'!E:E)*370</f>
        <v>0</v>
      </c>
      <c r="M606" s="91" t="e">
        <f t="shared" si="48"/>
        <v>#DIV/0!</v>
      </c>
      <c r="N606" s="88" t="e">
        <f t="shared" si="45"/>
        <v>#DIV/0!</v>
      </c>
    </row>
    <row r="607" spans="6:14" x14ac:dyDescent="0.25">
      <c r="F607" s="1"/>
      <c r="G607" s="114">
        <f t="shared" si="46"/>
        <v>0</v>
      </c>
      <c r="H607" s="37">
        <f t="shared" si="47"/>
        <v>0</v>
      </c>
      <c r="I607">
        <f t="shared" si="49"/>
        <v>0</v>
      </c>
      <c r="J607" s="1">
        <f>+SUMIFS('VOLCADO '!H:H,'VOLCADO '!C:C,'Produccion por productor'!A:A,'VOLCADO '!B:B,'Produccion por productor'!B:B,'VOLCADO '!I:I,'Produccion por productor'!C:C,'VOLCADO '!J:J,'Produccion por productor'!E:E)*370</f>
        <v>0</v>
      </c>
      <c r="M607" s="91" t="e">
        <f t="shared" si="48"/>
        <v>#DIV/0!</v>
      </c>
      <c r="N607" s="88" t="e">
        <f t="shared" si="45"/>
        <v>#DIV/0!</v>
      </c>
    </row>
    <row r="608" spans="6:14" x14ac:dyDescent="0.25">
      <c r="F608" s="1"/>
      <c r="G608" s="114">
        <f t="shared" si="46"/>
        <v>0</v>
      </c>
      <c r="H608" s="37">
        <f t="shared" si="47"/>
        <v>0</v>
      </c>
      <c r="I608">
        <f t="shared" si="49"/>
        <v>0</v>
      </c>
      <c r="J608" s="1">
        <f>+SUMIFS('VOLCADO '!H:H,'VOLCADO '!C:C,'Produccion por productor'!A:A,'VOLCADO '!B:B,'Produccion por productor'!B:B,'VOLCADO '!I:I,'Produccion por productor'!C:C,'VOLCADO '!J:J,'Produccion por productor'!E:E)*370</f>
        <v>0</v>
      </c>
      <c r="M608" s="91" t="e">
        <f t="shared" si="48"/>
        <v>#DIV/0!</v>
      </c>
      <c r="N608" s="88" t="e">
        <f t="shared" si="45"/>
        <v>#DIV/0!</v>
      </c>
    </row>
    <row r="609" spans="6:14" x14ac:dyDescent="0.25">
      <c r="F609" s="1"/>
      <c r="G609" s="114">
        <f t="shared" si="46"/>
        <v>0</v>
      </c>
      <c r="H609" s="37">
        <f t="shared" si="47"/>
        <v>0</v>
      </c>
      <c r="I609">
        <f t="shared" si="49"/>
        <v>0</v>
      </c>
      <c r="J609" s="1">
        <f>+SUMIFS('VOLCADO '!H:H,'VOLCADO '!C:C,'Produccion por productor'!A:A,'VOLCADO '!B:B,'Produccion por productor'!B:B,'VOLCADO '!I:I,'Produccion por productor'!C:C,'VOLCADO '!J:J,'Produccion por productor'!E:E)*370</f>
        <v>0</v>
      </c>
      <c r="M609" s="91" t="e">
        <f t="shared" si="48"/>
        <v>#DIV/0!</v>
      </c>
      <c r="N609" s="88" t="e">
        <f t="shared" si="45"/>
        <v>#DIV/0!</v>
      </c>
    </row>
    <row r="610" spans="6:14" x14ac:dyDescent="0.25">
      <c r="F610" s="1"/>
      <c r="G610" s="114">
        <f t="shared" si="46"/>
        <v>0</v>
      </c>
      <c r="H610" s="37">
        <f t="shared" si="47"/>
        <v>0</v>
      </c>
      <c r="I610">
        <f t="shared" si="49"/>
        <v>0</v>
      </c>
      <c r="J610" s="1">
        <f>+SUMIFS('VOLCADO '!H:H,'VOLCADO '!C:C,'Produccion por productor'!A:A,'VOLCADO '!B:B,'Produccion por productor'!B:B,'VOLCADO '!I:I,'Produccion por productor'!C:C,'VOLCADO '!J:J,'Produccion por productor'!E:E)*370</f>
        <v>0</v>
      </c>
      <c r="M610" s="91" t="e">
        <f t="shared" si="48"/>
        <v>#DIV/0!</v>
      </c>
      <c r="N610" s="88" t="e">
        <f t="shared" si="45"/>
        <v>#DIV/0!</v>
      </c>
    </row>
    <row r="611" spans="6:14" x14ac:dyDescent="0.25">
      <c r="F611" s="1"/>
      <c r="G611" s="114">
        <f t="shared" si="46"/>
        <v>0</v>
      </c>
      <c r="H611" s="37">
        <f t="shared" si="47"/>
        <v>0</v>
      </c>
      <c r="I611">
        <f t="shared" si="49"/>
        <v>0</v>
      </c>
      <c r="J611" s="1">
        <f>+SUMIFS('VOLCADO '!H:H,'VOLCADO '!C:C,'Produccion por productor'!A:A,'VOLCADO '!B:B,'Produccion por productor'!B:B,'VOLCADO '!I:I,'Produccion por productor'!C:C,'VOLCADO '!J:J,'Produccion por productor'!E:E)*370</f>
        <v>0</v>
      </c>
      <c r="M611" s="91" t="e">
        <f t="shared" si="48"/>
        <v>#DIV/0!</v>
      </c>
      <c r="N611" s="88" t="e">
        <f t="shared" si="45"/>
        <v>#DIV/0!</v>
      </c>
    </row>
    <row r="612" spans="6:14" x14ac:dyDescent="0.25">
      <c r="F612" s="1"/>
      <c r="G612" s="114">
        <f t="shared" si="46"/>
        <v>0</v>
      </c>
      <c r="H612" s="37">
        <f t="shared" si="47"/>
        <v>0</v>
      </c>
      <c r="I612">
        <f t="shared" si="49"/>
        <v>0</v>
      </c>
      <c r="J612" s="1">
        <f>+SUMIFS('VOLCADO '!H:H,'VOLCADO '!C:C,'Produccion por productor'!A:A,'VOLCADO '!B:B,'Produccion por productor'!B:B,'VOLCADO '!I:I,'Produccion por productor'!C:C,'VOLCADO '!J:J,'Produccion por productor'!E:E)*370</f>
        <v>0</v>
      </c>
      <c r="M612" s="91" t="e">
        <f t="shared" si="48"/>
        <v>#DIV/0!</v>
      </c>
      <c r="N612" s="88" t="e">
        <f t="shared" si="45"/>
        <v>#DIV/0!</v>
      </c>
    </row>
    <row r="613" spans="6:14" x14ac:dyDescent="0.25">
      <c r="F613" s="1"/>
      <c r="G613" s="114">
        <f t="shared" si="46"/>
        <v>0</v>
      </c>
      <c r="H613" s="37">
        <f t="shared" si="47"/>
        <v>0</v>
      </c>
      <c r="I613">
        <f t="shared" si="49"/>
        <v>0</v>
      </c>
      <c r="J613" s="1">
        <f>+SUMIFS('VOLCADO '!H:H,'VOLCADO '!C:C,'Produccion por productor'!A:A,'VOLCADO '!B:B,'Produccion por productor'!B:B,'VOLCADO '!I:I,'Produccion por productor'!C:C,'VOLCADO '!J:J,'Produccion por productor'!E:E)*370</f>
        <v>0</v>
      </c>
      <c r="M613" s="91" t="e">
        <f t="shared" si="48"/>
        <v>#DIV/0!</v>
      </c>
      <c r="N613" s="88" t="e">
        <f t="shared" si="45"/>
        <v>#DIV/0!</v>
      </c>
    </row>
    <row r="614" spans="6:14" x14ac:dyDescent="0.25">
      <c r="F614" s="1"/>
      <c r="G614" s="114">
        <f t="shared" si="46"/>
        <v>0</v>
      </c>
      <c r="H614" s="37">
        <f t="shared" si="47"/>
        <v>0</v>
      </c>
      <c r="I614">
        <f t="shared" si="49"/>
        <v>0</v>
      </c>
      <c r="J614" s="1">
        <f>+SUMIFS('VOLCADO '!H:H,'VOLCADO '!C:C,'Produccion por productor'!A:A,'VOLCADO '!B:B,'Produccion por productor'!B:B,'VOLCADO '!I:I,'Produccion por productor'!C:C,'VOLCADO '!J:J,'Produccion por productor'!E:E)*370</f>
        <v>0</v>
      </c>
      <c r="M614" s="91" t="e">
        <f t="shared" si="48"/>
        <v>#DIV/0!</v>
      </c>
      <c r="N614" s="88" t="e">
        <f t="shared" si="45"/>
        <v>#DIV/0!</v>
      </c>
    </row>
    <row r="615" spans="6:14" x14ac:dyDescent="0.25">
      <c r="F615" s="1"/>
      <c r="G615" s="114">
        <f t="shared" si="46"/>
        <v>0</v>
      </c>
      <c r="H615" s="37">
        <f t="shared" si="47"/>
        <v>0</v>
      </c>
      <c r="I615">
        <f t="shared" si="49"/>
        <v>0</v>
      </c>
      <c r="J615" s="1">
        <f>+SUMIFS('VOLCADO '!H:H,'VOLCADO '!C:C,'Produccion por productor'!A:A,'VOLCADO '!B:B,'Produccion por productor'!B:B,'VOLCADO '!I:I,'Produccion por productor'!C:C,'VOLCADO '!J:J,'Produccion por productor'!E:E)*370</f>
        <v>0</v>
      </c>
      <c r="M615" s="91" t="e">
        <f t="shared" si="48"/>
        <v>#DIV/0!</v>
      </c>
      <c r="N615" s="88" t="e">
        <f t="shared" si="45"/>
        <v>#DIV/0!</v>
      </c>
    </row>
    <row r="616" spans="6:14" x14ac:dyDescent="0.25">
      <c r="F616" s="1"/>
      <c r="G616" s="114">
        <f t="shared" si="46"/>
        <v>0</v>
      </c>
      <c r="H616" s="37">
        <f t="shared" si="47"/>
        <v>0</v>
      </c>
      <c r="I616">
        <f t="shared" si="49"/>
        <v>0</v>
      </c>
      <c r="J616" s="1">
        <f>+SUMIFS('VOLCADO '!H:H,'VOLCADO '!C:C,'Produccion por productor'!A:A,'VOLCADO '!B:B,'Produccion por productor'!B:B,'VOLCADO '!I:I,'Produccion por productor'!C:C,'VOLCADO '!J:J,'Produccion por productor'!E:E)*370</f>
        <v>0</v>
      </c>
      <c r="M616" s="91" t="e">
        <f t="shared" si="48"/>
        <v>#DIV/0!</v>
      </c>
      <c r="N616" s="88" t="e">
        <f t="shared" si="45"/>
        <v>#DIV/0!</v>
      </c>
    </row>
    <row r="617" spans="6:14" x14ac:dyDescent="0.25">
      <c r="F617" s="1"/>
      <c r="G617" s="114">
        <f t="shared" si="46"/>
        <v>0</v>
      </c>
      <c r="H617" s="37">
        <f t="shared" si="47"/>
        <v>0</v>
      </c>
      <c r="I617">
        <f t="shared" si="49"/>
        <v>0</v>
      </c>
      <c r="J617" s="1">
        <f>+SUMIFS('VOLCADO '!H:H,'VOLCADO '!C:C,'Produccion por productor'!A:A,'VOLCADO '!B:B,'Produccion por productor'!B:B,'VOLCADO '!I:I,'Produccion por productor'!C:C,'VOLCADO '!J:J,'Produccion por productor'!E:E)*370</f>
        <v>0</v>
      </c>
      <c r="M617" s="91" t="e">
        <f t="shared" si="48"/>
        <v>#DIV/0!</v>
      </c>
      <c r="N617" s="88" t="e">
        <f t="shared" si="45"/>
        <v>#DIV/0!</v>
      </c>
    </row>
    <row r="618" spans="6:14" x14ac:dyDescent="0.25">
      <c r="F618" s="1"/>
      <c r="G618" s="114">
        <f t="shared" si="46"/>
        <v>0</v>
      </c>
      <c r="H618" s="37">
        <f t="shared" si="47"/>
        <v>0</v>
      </c>
      <c r="I618">
        <f t="shared" si="49"/>
        <v>0</v>
      </c>
      <c r="J618" s="1">
        <f>+SUMIFS('VOLCADO '!H:H,'VOLCADO '!C:C,'Produccion por productor'!A:A,'VOLCADO '!B:B,'Produccion por productor'!B:B,'VOLCADO '!I:I,'Produccion por productor'!C:C,'VOLCADO '!J:J,'Produccion por productor'!E:E)*370</f>
        <v>0</v>
      </c>
      <c r="M618" s="91" t="e">
        <f t="shared" si="48"/>
        <v>#DIV/0!</v>
      </c>
      <c r="N618" s="88" t="e">
        <f t="shared" si="45"/>
        <v>#DIV/0!</v>
      </c>
    </row>
    <row r="619" spans="6:14" x14ac:dyDescent="0.25">
      <c r="F619" s="1"/>
      <c r="G619" s="114">
        <f t="shared" si="46"/>
        <v>0</v>
      </c>
      <c r="H619" s="37">
        <f t="shared" si="47"/>
        <v>0</v>
      </c>
      <c r="I619">
        <f t="shared" si="49"/>
        <v>0</v>
      </c>
      <c r="J619" s="1">
        <f>+SUMIFS('VOLCADO '!H:H,'VOLCADO '!C:C,'Produccion por productor'!A:A,'VOLCADO '!B:B,'Produccion por productor'!B:B,'VOLCADO '!I:I,'Produccion por productor'!C:C,'VOLCADO '!J:J,'Produccion por productor'!E:E)*370</f>
        <v>0</v>
      </c>
      <c r="M619" s="91" t="e">
        <f t="shared" si="48"/>
        <v>#DIV/0!</v>
      </c>
      <c r="N619" s="88" t="e">
        <f t="shared" si="45"/>
        <v>#DIV/0!</v>
      </c>
    </row>
    <row r="620" spans="6:14" x14ac:dyDescent="0.25">
      <c r="F620" s="1"/>
      <c r="G620" s="114">
        <f t="shared" si="46"/>
        <v>0</v>
      </c>
      <c r="H620" s="37">
        <f t="shared" si="47"/>
        <v>0</v>
      </c>
      <c r="I620">
        <f t="shared" si="49"/>
        <v>0</v>
      </c>
      <c r="J620" s="1">
        <f>+SUMIFS('VOLCADO '!H:H,'VOLCADO '!C:C,'Produccion por productor'!A:A,'VOLCADO '!B:B,'Produccion por productor'!B:B,'VOLCADO '!I:I,'Produccion por productor'!C:C,'VOLCADO '!J:J,'Produccion por productor'!E:E)*370</f>
        <v>0</v>
      </c>
      <c r="M620" s="91" t="e">
        <f t="shared" si="48"/>
        <v>#DIV/0!</v>
      </c>
      <c r="N620" s="88" t="e">
        <f t="shared" si="45"/>
        <v>#DIV/0!</v>
      </c>
    </row>
    <row r="621" spans="6:14" x14ac:dyDescent="0.25">
      <c r="F621" s="1"/>
      <c r="G621" s="114">
        <f t="shared" si="46"/>
        <v>0</v>
      </c>
      <c r="H621" s="37">
        <f t="shared" si="47"/>
        <v>0</v>
      </c>
      <c r="I621">
        <f t="shared" si="49"/>
        <v>0</v>
      </c>
      <c r="J621" s="1">
        <f>+SUMIFS('VOLCADO '!H:H,'VOLCADO '!C:C,'Produccion por productor'!A:A,'VOLCADO '!B:B,'Produccion por productor'!B:B,'VOLCADO '!I:I,'Produccion por productor'!C:C,'VOLCADO '!J:J,'Produccion por productor'!E:E)*370</f>
        <v>0</v>
      </c>
      <c r="M621" s="91" t="e">
        <f t="shared" si="48"/>
        <v>#DIV/0!</v>
      </c>
      <c r="N621" s="88" t="e">
        <f t="shared" si="45"/>
        <v>#DIV/0!</v>
      </c>
    </row>
    <row r="622" spans="6:14" x14ac:dyDescent="0.25">
      <c r="F622" s="1"/>
      <c r="G622" s="114">
        <f t="shared" si="46"/>
        <v>0</v>
      </c>
      <c r="H622" s="37">
        <f t="shared" si="47"/>
        <v>0</v>
      </c>
      <c r="I622">
        <f t="shared" si="49"/>
        <v>0</v>
      </c>
      <c r="J622" s="1">
        <f>+SUMIFS('VOLCADO '!H:H,'VOLCADO '!C:C,'Produccion por productor'!A:A,'VOLCADO '!B:B,'Produccion por productor'!B:B,'VOLCADO '!I:I,'Produccion por productor'!C:C,'VOLCADO '!J:J,'Produccion por productor'!E:E)*370</f>
        <v>0</v>
      </c>
      <c r="M622" s="91" t="e">
        <f t="shared" si="48"/>
        <v>#DIV/0!</v>
      </c>
      <c r="N622" s="88" t="e">
        <f t="shared" si="45"/>
        <v>#DIV/0!</v>
      </c>
    </row>
    <row r="623" spans="6:14" x14ac:dyDescent="0.25">
      <c r="F623" s="1"/>
      <c r="G623" s="114">
        <f t="shared" si="46"/>
        <v>0</v>
      </c>
      <c r="H623" s="37">
        <f t="shared" si="47"/>
        <v>0</v>
      </c>
      <c r="I623">
        <f t="shared" si="49"/>
        <v>0</v>
      </c>
      <c r="J623" s="1">
        <f>+SUMIFS('VOLCADO '!H:H,'VOLCADO '!C:C,'Produccion por productor'!A:A,'VOLCADO '!B:B,'Produccion por productor'!B:B,'VOLCADO '!I:I,'Produccion por productor'!C:C,'VOLCADO '!J:J,'Produccion por productor'!E:E)*370</f>
        <v>0</v>
      </c>
      <c r="M623" s="91" t="e">
        <f t="shared" si="48"/>
        <v>#DIV/0!</v>
      </c>
      <c r="N623" s="88" t="e">
        <f t="shared" si="45"/>
        <v>#DIV/0!</v>
      </c>
    </row>
    <row r="624" spans="6:14" x14ac:dyDescent="0.25">
      <c r="F624" s="1"/>
      <c r="G624" s="114">
        <f t="shared" si="46"/>
        <v>0</v>
      </c>
      <c r="H624" s="37">
        <f t="shared" si="47"/>
        <v>0</v>
      </c>
      <c r="I624">
        <f t="shared" si="49"/>
        <v>0</v>
      </c>
      <c r="J624" s="1">
        <f>+SUMIFS('VOLCADO '!H:H,'VOLCADO '!C:C,'Produccion por productor'!A:A,'VOLCADO '!B:B,'Produccion por productor'!B:B,'VOLCADO '!I:I,'Produccion por productor'!C:C,'VOLCADO '!J:J,'Produccion por productor'!E:E)*370</f>
        <v>0</v>
      </c>
      <c r="M624" s="91" t="e">
        <f t="shared" si="48"/>
        <v>#DIV/0!</v>
      </c>
      <c r="N624" s="88" t="e">
        <f t="shared" si="45"/>
        <v>#DIV/0!</v>
      </c>
    </row>
    <row r="625" spans="6:14" x14ac:dyDescent="0.25">
      <c r="F625" s="1"/>
      <c r="G625" s="114">
        <f t="shared" si="46"/>
        <v>0</v>
      </c>
      <c r="H625" s="37">
        <f t="shared" si="47"/>
        <v>0</v>
      </c>
      <c r="I625">
        <f t="shared" si="49"/>
        <v>0</v>
      </c>
      <c r="J625" s="1">
        <f>+SUMIFS('VOLCADO '!H:H,'VOLCADO '!C:C,'Produccion por productor'!A:A,'VOLCADO '!B:B,'Produccion por productor'!B:B,'VOLCADO '!I:I,'Produccion por productor'!C:C,'VOLCADO '!J:J,'Produccion por productor'!E:E)*370</f>
        <v>0</v>
      </c>
      <c r="M625" s="91" t="e">
        <f t="shared" si="48"/>
        <v>#DIV/0!</v>
      </c>
      <c r="N625" s="88" t="e">
        <f t="shared" si="45"/>
        <v>#DIV/0!</v>
      </c>
    </row>
    <row r="626" spans="6:14" x14ac:dyDescent="0.25">
      <c r="F626" s="1"/>
      <c r="G626" s="114">
        <f t="shared" si="46"/>
        <v>0</v>
      </c>
      <c r="H626" s="37">
        <f t="shared" si="47"/>
        <v>0</v>
      </c>
      <c r="I626">
        <f t="shared" si="49"/>
        <v>0</v>
      </c>
      <c r="J626" s="1">
        <f>+SUMIFS('VOLCADO '!H:H,'VOLCADO '!C:C,'Produccion por productor'!A:A,'VOLCADO '!B:B,'Produccion por productor'!B:B,'VOLCADO '!I:I,'Produccion por productor'!C:C,'VOLCADO '!J:J,'Produccion por productor'!E:E)*370</f>
        <v>0</v>
      </c>
      <c r="M626" s="91" t="e">
        <f t="shared" si="48"/>
        <v>#DIV/0!</v>
      </c>
      <c r="N626" s="88" t="e">
        <f t="shared" si="45"/>
        <v>#DIV/0!</v>
      </c>
    </row>
    <row r="627" spans="6:14" x14ac:dyDescent="0.25">
      <c r="F627" s="1"/>
      <c r="G627" s="114">
        <f t="shared" si="46"/>
        <v>0</v>
      </c>
      <c r="H627" s="37">
        <f t="shared" si="47"/>
        <v>0</v>
      </c>
      <c r="I627">
        <f t="shared" si="49"/>
        <v>0</v>
      </c>
      <c r="J627" s="1">
        <f>+SUMIFS('VOLCADO '!H:H,'VOLCADO '!C:C,'Produccion por productor'!A:A,'VOLCADO '!B:B,'Produccion por productor'!B:B,'VOLCADO '!I:I,'Produccion por productor'!C:C,'VOLCADO '!J:J,'Produccion por productor'!E:E)*370</f>
        <v>0</v>
      </c>
      <c r="M627" s="91" t="e">
        <f t="shared" si="48"/>
        <v>#DIV/0!</v>
      </c>
      <c r="N627" s="88" t="e">
        <f t="shared" si="45"/>
        <v>#DIV/0!</v>
      </c>
    </row>
    <row r="628" spans="6:14" x14ac:dyDescent="0.25">
      <c r="F628" s="1"/>
      <c r="G628" s="114">
        <f t="shared" si="46"/>
        <v>0</v>
      </c>
      <c r="H628" s="37">
        <f t="shared" si="47"/>
        <v>0</v>
      </c>
      <c r="I628">
        <f t="shared" si="49"/>
        <v>0</v>
      </c>
      <c r="J628" s="1">
        <f>+SUMIFS('VOLCADO '!H:H,'VOLCADO '!C:C,'Produccion por productor'!A:A,'VOLCADO '!B:B,'Produccion por productor'!B:B,'VOLCADO '!I:I,'Produccion por productor'!C:C,'VOLCADO '!J:J,'Produccion por productor'!E:E)*370</f>
        <v>0</v>
      </c>
      <c r="M628" s="91" t="e">
        <f t="shared" si="48"/>
        <v>#DIV/0!</v>
      </c>
      <c r="N628" s="88" t="e">
        <f t="shared" si="45"/>
        <v>#DIV/0!</v>
      </c>
    </row>
    <row r="629" spans="6:14" x14ac:dyDescent="0.25">
      <c r="F629" s="1"/>
      <c r="G629" s="114">
        <f t="shared" si="46"/>
        <v>0</v>
      </c>
      <c r="H629" s="37">
        <f t="shared" si="47"/>
        <v>0</v>
      </c>
      <c r="I629">
        <f t="shared" si="49"/>
        <v>0</v>
      </c>
      <c r="J629" s="1">
        <f>+SUMIFS('VOLCADO '!H:H,'VOLCADO '!C:C,'Produccion por productor'!A:A,'VOLCADO '!B:B,'Produccion por productor'!B:B,'VOLCADO '!I:I,'Produccion por productor'!C:C,'VOLCADO '!J:J,'Produccion por productor'!E:E)*370</f>
        <v>0</v>
      </c>
      <c r="M629" s="91" t="e">
        <f t="shared" si="48"/>
        <v>#DIV/0!</v>
      </c>
      <c r="N629" s="88" t="e">
        <f t="shared" si="45"/>
        <v>#DIV/0!</v>
      </c>
    </row>
    <row r="630" spans="6:14" x14ac:dyDescent="0.25">
      <c r="F630" s="1"/>
      <c r="G630" s="114">
        <f t="shared" si="46"/>
        <v>0</v>
      </c>
      <c r="H630" s="37">
        <f t="shared" si="47"/>
        <v>0</v>
      </c>
      <c r="I630">
        <f t="shared" si="49"/>
        <v>0</v>
      </c>
      <c r="J630" s="1">
        <f>+SUMIFS('VOLCADO '!H:H,'VOLCADO '!C:C,'Produccion por productor'!A:A,'VOLCADO '!B:B,'Produccion por productor'!B:B,'VOLCADO '!I:I,'Produccion por productor'!C:C,'VOLCADO '!J:J,'Produccion por productor'!E:E)*370</f>
        <v>0</v>
      </c>
      <c r="M630" s="91" t="e">
        <f t="shared" si="48"/>
        <v>#DIV/0!</v>
      </c>
      <c r="N630" s="88" t="e">
        <f t="shared" si="45"/>
        <v>#DIV/0!</v>
      </c>
    </row>
    <row r="631" spans="6:14" x14ac:dyDescent="0.25">
      <c r="F631" s="1"/>
      <c r="G631" s="114">
        <f t="shared" si="46"/>
        <v>0</v>
      </c>
      <c r="H631" s="37">
        <f t="shared" si="47"/>
        <v>0</v>
      </c>
      <c r="I631">
        <f t="shared" si="49"/>
        <v>0</v>
      </c>
      <c r="J631" s="1">
        <f>+SUMIFS('VOLCADO '!H:H,'VOLCADO '!C:C,'Produccion por productor'!A:A,'VOLCADO '!B:B,'Produccion por productor'!B:B,'VOLCADO '!I:I,'Produccion por productor'!C:C,'VOLCADO '!J:J,'Produccion por productor'!E:E)*370</f>
        <v>0</v>
      </c>
      <c r="M631" s="91" t="e">
        <f t="shared" si="48"/>
        <v>#DIV/0!</v>
      </c>
      <c r="N631" s="88" t="e">
        <f t="shared" si="45"/>
        <v>#DIV/0!</v>
      </c>
    </row>
    <row r="632" spans="6:14" x14ac:dyDescent="0.25">
      <c r="F632" s="1"/>
      <c r="G632" s="114">
        <f t="shared" si="46"/>
        <v>0</v>
      </c>
      <c r="H632" s="37">
        <f t="shared" si="47"/>
        <v>0</v>
      </c>
      <c r="I632">
        <f t="shared" si="49"/>
        <v>0</v>
      </c>
      <c r="J632" s="1">
        <f>+SUMIFS('VOLCADO '!H:H,'VOLCADO '!C:C,'Produccion por productor'!A:A,'VOLCADO '!B:B,'Produccion por productor'!B:B,'VOLCADO '!I:I,'Produccion por productor'!C:C,'VOLCADO '!J:J,'Produccion por productor'!E:E)*370</f>
        <v>0</v>
      </c>
      <c r="M632" s="91" t="e">
        <f t="shared" si="48"/>
        <v>#DIV/0!</v>
      </c>
      <c r="N632" s="88" t="e">
        <f t="shared" si="45"/>
        <v>#DIV/0!</v>
      </c>
    </row>
    <row r="633" spans="6:14" x14ac:dyDescent="0.25">
      <c r="F633" s="1"/>
      <c r="G633" s="114">
        <f t="shared" si="46"/>
        <v>0</v>
      </c>
      <c r="H633" s="37">
        <f t="shared" si="47"/>
        <v>0</v>
      </c>
      <c r="I633">
        <f t="shared" si="49"/>
        <v>0</v>
      </c>
      <c r="J633" s="1">
        <f>+SUMIFS('VOLCADO '!H:H,'VOLCADO '!C:C,'Produccion por productor'!A:A,'VOLCADO '!B:B,'Produccion por productor'!B:B,'VOLCADO '!I:I,'Produccion por productor'!C:C,'VOLCADO '!J:J,'Produccion por productor'!E:E)*370</f>
        <v>0</v>
      </c>
      <c r="M633" s="91" t="e">
        <f t="shared" si="48"/>
        <v>#DIV/0!</v>
      </c>
      <c r="N633" s="88" t="e">
        <f t="shared" si="45"/>
        <v>#DIV/0!</v>
      </c>
    </row>
    <row r="634" spans="6:14" x14ac:dyDescent="0.25">
      <c r="F634" s="1"/>
      <c r="G634" s="114">
        <f t="shared" si="46"/>
        <v>0</v>
      </c>
      <c r="H634" s="37">
        <f t="shared" si="47"/>
        <v>0</v>
      </c>
      <c r="I634">
        <f t="shared" si="49"/>
        <v>0</v>
      </c>
      <c r="J634" s="1">
        <f>+SUMIFS('VOLCADO '!H:H,'VOLCADO '!C:C,'Produccion por productor'!A:A,'VOLCADO '!B:B,'Produccion por productor'!B:B,'VOLCADO '!I:I,'Produccion por productor'!C:C,'VOLCADO '!J:J,'Produccion por productor'!E:E)*370</f>
        <v>0</v>
      </c>
      <c r="M634" s="91" t="e">
        <f t="shared" si="48"/>
        <v>#DIV/0!</v>
      </c>
      <c r="N634" s="88" t="e">
        <f t="shared" si="45"/>
        <v>#DIV/0!</v>
      </c>
    </row>
    <row r="635" spans="6:14" x14ac:dyDescent="0.25">
      <c r="F635" s="1"/>
      <c r="G635" s="114">
        <f t="shared" si="46"/>
        <v>0</v>
      </c>
      <c r="H635" s="37">
        <f t="shared" si="47"/>
        <v>0</v>
      </c>
      <c r="I635">
        <f t="shared" si="49"/>
        <v>0</v>
      </c>
      <c r="J635" s="1">
        <f>+SUMIFS('VOLCADO '!H:H,'VOLCADO '!C:C,'Produccion por productor'!A:A,'VOLCADO '!B:B,'Produccion por productor'!B:B,'VOLCADO '!I:I,'Produccion por productor'!C:C,'VOLCADO '!J:J,'Produccion por productor'!E:E)*370</f>
        <v>0</v>
      </c>
      <c r="M635" s="91" t="e">
        <f t="shared" si="48"/>
        <v>#DIV/0!</v>
      </c>
      <c r="N635" s="88" t="e">
        <f t="shared" si="45"/>
        <v>#DIV/0!</v>
      </c>
    </row>
    <row r="636" spans="6:14" x14ac:dyDescent="0.25">
      <c r="F636" s="1"/>
      <c r="G636" s="114">
        <f t="shared" si="46"/>
        <v>0</v>
      </c>
      <c r="H636" s="37">
        <f t="shared" si="47"/>
        <v>0</v>
      </c>
      <c r="I636">
        <f t="shared" si="49"/>
        <v>0</v>
      </c>
      <c r="J636" s="1">
        <f>+SUMIFS('VOLCADO '!H:H,'VOLCADO '!C:C,'Produccion por productor'!A:A,'VOLCADO '!B:B,'Produccion por productor'!B:B,'VOLCADO '!I:I,'Produccion por productor'!C:C,'VOLCADO '!J:J,'Produccion por productor'!E:E)*370</f>
        <v>0</v>
      </c>
      <c r="M636" s="91" t="e">
        <f t="shared" si="48"/>
        <v>#DIV/0!</v>
      </c>
      <c r="N636" s="88" t="e">
        <f t="shared" si="45"/>
        <v>#DIV/0!</v>
      </c>
    </row>
    <row r="637" spans="6:14" x14ac:dyDescent="0.25">
      <c r="F637" s="1"/>
      <c r="G637" s="114">
        <f t="shared" si="46"/>
        <v>0</v>
      </c>
      <c r="H637" s="37">
        <f t="shared" si="47"/>
        <v>0</v>
      </c>
      <c r="I637">
        <f t="shared" si="49"/>
        <v>0</v>
      </c>
      <c r="J637" s="1">
        <f>+SUMIFS('VOLCADO '!H:H,'VOLCADO '!C:C,'Produccion por productor'!A:A,'VOLCADO '!B:B,'Produccion por productor'!B:B,'VOLCADO '!I:I,'Produccion por productor'!C:C,'VOLCADO '!J:J,'Produccion por productor'!E:E)*370</f>
        <v>0</v>
      </c>
      <c r="M637" s="91" t="e">
        <f t="shared" si="48"/>
        <v>#DIV/0!</v>
      </c>
      <c r="N637" s="88" t="e">
        <f t="shared" si="45"/>
        <v>#DIV/0!</v>
      </c>
    </row>
    <row r="638" spans="6:14" x14ac:dyDescent="0.25">
      <c r="F638" s="1"/>
      <c r="G638" s="114">
        <f t="shared" si="46"/>
        <v>0</v>
      </c>
      <c r="H638" s="37">
        <f t="shared" si="47"/>
        <v>0</v>
      </c>
      <c r="I638">
        <f t="shared" si="49"/>
        <v>0</v>
      </c>
      <c r="J638" s="1">
        <f>+SUMIFS('VOLCADO '!H:H,'VOLCADO '!C:C,'Produccion por productor'!A:A,'VOLCADO '!B:B,'Produccion por productor'!B:B,'VOLCADO '!I:I,'Produccion por productor'!C:C,'VOLCADO '!J:J,'Produccion por productor'!E:E)*370</f>
        <v>0</v>
      </c>
      <c r="M638" s="91" t="e">
        <f t="shared" si="48"/>
        <v>#DIV/0!</v>
      </c>
      <c r="N638" s="88" t="e">
        <f t="shared" si="45"/>
        <v>#DIV/0!</v>
      </c>
    </row>
    <row r="639" spans="6:14" x14ac:dyDescent="0.25">
      <c r="F639" s="1"/>
      <c r="G639" s="114">
        <f t="shared" si="46"/>
        <v>0</v>
      </c>
      <c r="H639" s="37">
        <f t="shared" si="47"/>
        <v>0</v>
      </c>
      <c r="I639">
        <f t="shared" si="49"/>
        <v>0</v>
      </c>
      <c r="J639" s="1">
        <f>+SUMIFS('VOLCADO '!H:H,'VOLCADO '!C:C,'Produccion por productor'!A:A,'VOLCADO '!B:B,'Produccion por productor'!B:B,'VOLCADO '!I:I,'Produccion por productor'!C:C,'VOLCADO '!J:J,'Produccion por productor'!E:E)*370</f>
        <v>0</v>
      </c>
      <c r="M639" s="91" t="e">
        <f t="shared" si="48"/>
        <v>#DIV/0!</v>
      </c>
      <c r="N639" s="88" t="e">
        <f t="shared" si="45"/>
        <v>#DIV/0!</v>
      </c>
    </row>
    <row r="640" spans="6:14" x14ac:dyDescent="0.25">
      <c r="F640" s="1"/>
      <c r="G640" s="114">
        <f t="shared" si="46"/>
        <v>0</v>
      </c>
      <c r="H640" s="37">
        <f t="shared" si="47"/>
        <v>0</v>
      </c>
      <c r="I640">
        <f t="shared" si="49"/>
        <v>0</v>
      </c>
      <c r="J640" s="1">
        <f>+SUMIFS('VOLCADO '!H:H,'VOLCADO '!C:C,'Produccion por productor'!A:A,'VOLCADO '!B:B,'Produccion por productor'!B:B,'VOLCADO '!I:I,'Produccion por productor'!C:C,'VOLCADO '!J:J,'Produccion por productor'!E:E)*370</f>
        <v>0</v>
      </c>
      <c r="M640" s="91" t="e">
        <f t="shared" si="48"/>
        <v>#DIV/0!</v>
      </c>
      <c r="N640" s="88" t="e">
        <f t="shared" si="45"/>
        <v>#DIV/0!</v>
      </c>
    </row>
    <row r="641" spans="6:14" x14ac:dyDescent="0.25">
      <c r="F641" s="1"/>
      <c r="G641" s="114">
        <f t="shared" si="46"/>
        <v>0</v>
      </c>
      <c r="H641" s="37">
        <f t="shared" si="47"/>
        <v>0</v>
      </c>
      <c r="I641">
        <f t="shared" si="49"/>
        <v>0</v>
      </c>
      <c r="J641" s="1">
        <f>+SUMIFS('VOLCADO '!H:H,'VOLCADO '!C:C,'Produccion por productor'!A:A,'VOLCADO '!B:B,'Produccion por productor'!B:B,'VOLCADO '!I:I,'Produccion por productor'!C:C,'VOLCADO '!J:J,'Produccion por productor'!E:E)*370</f>
        <v>0</v>
      </c>
      <c r="M641" s="91" t="e">
        <f t="shared" si="48"/>
        <v>#DIV/0!</v>
      </c>
      <c r="N641" s="88" t="e">
        <f t="shared" ref="N641:N704" si="50">+((F641+I641)/J641)*100</f>
        <v>#DIV/0!</v>
      </c>
    </row>
    <row r="642" spans="6:14" x14ac:dyDescent="0.25">
      <c r="F642" s="1"/>
      <c r="G642" s="114">
        <f t="shared" ref="G642:G705" si="51">+F642+I642</f>
        <v>0</v>
      </c>
      <c r="H642" s="37">
        <f t="shared" ref="H642:H705" si="52">+(F642*0.05)+F642</f>
        <v>0</v>
      </c>
      <c r="I642">
        <f t="shared" si="49"/>
        <v>0</v>
      </c>
      <c r="J642" s="1">
        <f>+SUMIFS('VOLCADO '!H:H,'VOLCADO '!C:C,'Produccion por productor'!A:A,'VOLCADO '!B:B,'Produccion por productor'!B:B,'VOLCADO '!I:I,'Produccion por productor'!C:C,'VOLCADO '!J:J,'Produccion por productor'!E:E)*370</f>
        <v>0</v>
      </c>
      <c r="M642" s="91" t="e">
        <f t="shared" si="48"/>
        <v>#DIV/0!</v>
      </c>
      <c r="N642" s="88" t="e">
        <f t="shared" si="50"/>
        <v>#DIV/0!</v>
      </c>
    </row>
    <row r="643" spans="6:14" x14ac:dyDescent="0.25">
      <c r="F643" s="1"/>
      <c r="G643" s="114">
        <f t="shared" si="51"/>
        <v>0</v>
      </c>
      <c r="H643" s="37">
        <f t="shared" si="52"/>
        <v>0</v>
      </c>
      <c r="I643">
        <f t="shared" si="49"/>
        <v>0</v>
      </c>
      <c r="J643" s="1">
        <f>+SUMIFS('VOLCADO '!H:H,'VOLCADO '!C:C,'Produccion por productor'!A:A,'VOLCADO '!B:B,'Produccion por productor'!B:B,'VOLCADO '!I:I,'Produccion por productor'!C:C,'VOLCADO '!J:J,'Produccion por productor'!E:E)*370</f>
        <v>0</v>
      </c>
      <c r="M643" s="91" t="e">
        <f t="shared" ref="M643:M706" si="53">+((H643+I643)/J643)*100</f>
        <v>#DIV/0!</v>
      </c>
      <c r="N643" s="88" t="e">
        <f t="shared" si="50"/>
        <v>#DIV/0!</v>
      </c>
    </row>
    <row r="644" spans="6:14" x14ac:dyDescent="0.25">
      <c r="F644" s="1"/>
      <c r="G644" s="114">
        <f t="shared" si="51"/>
        <v>0</v>
      </c>
      <c r="H644" s="37">
        <f t="shared" si="52"/>
        <v>0</v>
      </c>
      <c r="I644">
        <f t="shared" si="49"/>
        <v>0</v>
      </c>
      <c r="J644" s="1">
        <f>+SUMIFS('VOLCADO '!H:H,'VOLCADO '!C:C,'Produccion por productor'!A:A,'VOLCADO '!B:B,'Produccion por productor'!B:B,'VOLCADO '!I:I,'Produccion por productor'!C:C,'VOLCADO '!J:J,'Produccion por productor'!E:E)*370</f>
        <v>0</v>
      </c>
      <c r="M644" s="91" t="e">
        <f t="shared" si="53"/>
        <v>#DIV/0!</v>
      </c>
      <c r="N644" s="88" t="e">
        <f t="shared" si="50"/>
        <v>#DIV/0!</v>
      </c>
    </row>
    <row r="645" spans="6:14" x14ac:dyDescent="0.25">
      <c r="F645" s="1"/>
      <c r="G645" s="114">
        <f t="shared" si="51"/>
        <v>0</v>
      </c>
      <c r="H645" s="37">
        <f t="shared" si="52"/>
        <v>0</v>
      </c>
      <c r="I645">
        <f t="shared" si="49"/>
        <v>0</v>
      </c>
      <c r="J645" s="1">
        <f>+SUMIFS('VOLCADO '!H:H,'VOLCADO '!C:C,'Produccion por productor'!A:A,'VOLCADO '!B:B,'Produccion por productor'!B:B,'VOLCADO '!I:I,'Produccion por productor'!C:C,'VOLCADO '!J:J,'Produccion por productor'!E:E)*370</f>
        <v>0</v>
      </c>
      <c r="M645" s="91" t="e">
        <f t="shared" si="53"/>
        <v>#DIV/0!</v>
      </c>
      <c r="N645" s="88" t="e">
        <f t="shared" si="50"/>
        <v>#DIV/0!</v>
      </c>
    </row>
    <row r="646" spans="6:14" x14ac:dyDescent="0.25">
      <c r="F646" s="1"/>
      <c r="G646" s="114">
        <f t="shared" si="51"/>
        <v>0</v>
      </c>
      <c r="H646" s="37">
        <f t="shared" si="52"/>
        <v>0</v>
      </c>
      <c r="I646">
        <f t="shared" si="49"/>
        <v>0</v>
      </c>
      <c r="J646" s="1">
        <f>+SUMIFS('VOLCADO '!H:H,'VOLCADO '!C:C,'Produccion por productor'!A:A,'VOLCADO '!B:B,'Produccion por productor'!B:B,'VOLCADO '!I:I,'Produccion por productor'!C:C,'VOLCADO '!J:J,'Produccion por productor'!E:E)*370</f>
        <v>0</v>
      </c>
      <c r="M646" s="91" t="e">
        <f t="shared" si="53"/>
        <v>#DIV/0!</v>
      </c>
      <c r="N646" s="88" t="e">
        <f t="shared" si="50"/>
        <v>#DIV/0!</v>
      </c>
    </row>
    <row r="647" spans="6:14" x14ac:dyDescent="0.25">
      <c r="F647" s="1"/>
      <c r="G647" s="114">
        <f t="shared" si="51"/>
        <v>0</v>
      </c>
      <c r="H647" s="37">
        <f t="shared" si="52"/>
        <v>0</v>
      </c>
      <c r="I647">
        <f t="shared" si="49"/>
        <v>0</v>
      </c>
      <c r="J647" s="1">
        <f>+SUMIFS('VOLCADO '!H:H,'VOLCADO '!C:C,'Produccion por productor'!A:A,'VOLCADO '!B:B,'Produccion por productor'!B:B,'VOLCADO '!I:I,'Produccion por productor'!C:C,'VOLCADO '!J:J,'Produccion por productor'!E:E)*370</f>
        <v>0</v>
      </c>
      <c r="M647" s="91" t="e">
        <f t="shared" si="53"/>
        <v>#DIV/0!</v>
      </c>
      <c r="N647" s="88" t="e">
        <f t="shared" si="50"/>
        <v>#DIV/0!</v>
      </c>
    </row>
    <row r="648" spans="6:14" x14ac:dyDescent="0.25">
      <c r="F648" s="1"/>
      <c r="G648" s="114">
        <f t="shared" si="51"/>
        <v>0</v>
      </c>
      <c r="H648" s="37">
        <f t="shared" si="52"/>
        <v>0</v>
      </c>
      <c r="I648">
        <f t="shared" si="49"/>
        <v>0</v>
      </c>
      <c r="J648" s="1">
        <f>+SUMIFS('VOLCADO '!H:H,'VOLCADO '!C:C,'Produccion por productor'!A:A,'VOLCADO '!B:B,'Produccion por productor'!B:B,'VOLCADO '!I:I,'Produccion por productor'!C:C,'VOLCADO '!J:J,'Produccion por productor'!E:E)*370</f>
        <v>0</v>
      </c>
      <c r="M648" s="91" t="e">
        <f t="shared" si="53"/>
        <v>#DIV/0!</v>
      </c>
      <c r="N648" s="88" t="e">
        <f t="shared" si="50"/>
        <v>#DIV/0!</v>
      </c>
    </row>
    <row r="649" spans="6:14" x14ac:dyDescent="0.25">
      <c r="F649" s="1"/>
      <c r="G649" s="114">
        <f t="shared" si="51"/>
        <v>0</v>
      </c>
      <c r="H649" s="37">
        <f t="shared" si="52"/>
        <v>0</v>
      </c>
      <c r="I649">
        <f t="shared" si="49"/>
        <v>0</v>
      </c>
      <c r="J649" s="1">
        <f>+SUMIFS('VOLCADO '!H:H,'VOLCADO '!C:C,'Produccion por productor'!A:A,'VOLCADO '!B:B,'Produccion por productor'!B:B,'VOLCADO '!I:I,'Produccion por productor'!C:C,'VOLCADO '!J:J,'Produccion por productor'!E:E)*370</f>
        <v>0</v>
      </c>
      <c r="M649" s="91" t="e">
        <f t="shared" si="53"/>
        <v>#DIV/0!</v>
      </c>
      <c r="N649" s="88" t="e">
        <f t="shared" si="50"/>
        <v>#DIV/0!</v>
      </c>
    </row>
    <row r="650" spans="6:14" x14ac:dyDescent="0.25">
      <c r="F650" s="1"/>
      <c r="G650" s="114">
        <f t="shared" si="51"/>
        <v>0</v>
      </c>
      <c r="H650" s="37">
        <f t="shared" si="52"/>
        <v>0</v>
      </c>
      <c r="I650">
        <f t="shared" si="49"/>
        <v>0</v>
      </c>
      <c r="J650" s="1">
        <f>+SUMIFS('VOLCADO '!H:H,'VOLCADO '!C:C,'Produccion por productor'!A:A,'VOLCADO '!B:B,'Produccion por productor'!B:B,'VOLCADO '!I:I,'Produccion por productor'!C:C,'VOLCADO '!J:J,'Produccion por productor'!E:E)*370</f>
        <v>0</v>
      </c>
      <c r="M650" s="91" t="e">
        <f t="shared" si="53"/>
        <v>#DIV/0!</v>
      </c>
      <c r="N650" s="88" t="e">
        <f t="shared" si="50"/>
        <v>#DIV/0!</v>
      </c>
    </row>
    <row r="651" spans="6:14" x14ac:dyDescent="0.25">
      <c r="F651" s="1"/>
      <c r="G651" s="114">
        <f t="shared" si="51"/>
        <v>0</v>
      </c>
      <c r="H651" s="37">
        <f t="shared" si="52"/>
        <v>0</v>
      </c>
      <c r="I651">
        <f t="shared" si="49"/>
        <v>0</v>
      </c>
      <c r="J651" s="1">
        <f>+SUMIFS('VOLCADO '!H:H,'VOLCADO '!C:C,'Produccion por productor'!A:A,'VOLCADO '!B:B,'Produccion por productor'!B:B,'VOLCADO '!I:I,'Produccion por productor'!C:C,'VOLCADO '!J:J,'Produccion por productor'!E:E)*370</f>
        <v>0</v>
      </c>
      <c r="M651" s="91" t="e">
        <f t="shared" si="53"/>
        <v>#DIV/0!</v>
      </c>
      <c r="N651" s="88" t="e">
        <f t="shared" si="50"/>
        <v>#DIV/0!</v>
      </c>
    </row>
    <row r="652" spans="6:14" x14ac:dyDescent="0.25">
      <c r="F652" s="1"/>
      <c r="G652" s="114">
        <f t="shared" si="51"/>
        <v>0</v>
      </c>
      <c r="H652" s="37">
        <f t="shared" si="52"/>
        <v>0</v>
      </c>
      <c r="I652">
        <f t="shared" si="49"/>
        <v>0</v>
      </c>
      <c r="J652" s="1">
        <f>+SUMIFS('VOLCADO '!H:H,'VOLCADO '!C:C,'Produccion por productor'!A:A,'VOLCADO '!B:B,'Produccion por productor'!B:B,'VOLCADO '!I:I,'Produccion por productor'!C:C,'VOLCADO '!J:J,'Produccion por productor'!E:E)*370</f>
        <v>0</v>
      </c>
      <c r="M652" s="91" t="e">
        <f t="shared" si="53"/>
        <v>#DIV/0!</v>
      </c>
      <c r="N652" s="88" t="e">
        <f t="shared" si="50"/>
        <v>#DIV/0!</v>
      </c>
    </row>
    <row r="653" spans="6:14" x14ac:dyDescent="0.25">
      <c r="F653" s="1"/>
      <c r="G653" s="114">
        <f t="shared" si="51"/>
        <v>0</v>
      </c>
      <c r="H653" s="37">
        <f t="shared" si="52"/>
        <v>0</v>
      </c>
      <c r="I653">
        <f t="shared" si="49"/>
        <v>0</v>
      </c>
      <c r="J653" s="1">
        <f>+SUMIFS('VOLCADO '!H:H,'VOLCADO '!C:C,'Produccion por productor'!A:A,'VOLCADO '!B:B,'Produccion por productor'!B:B,'VOLCADO '!I:I,'Produccion por productor'!C:C,'VOLCADO '!J:J,'Produccion por productor'!E:E)*370</f>
        <v>0</v>
      </c>
      <c r="M653" s="91" t="e">
        <f t="shared" si="53"/>
        <v>#DIV/0!</v>
      </c>
      <c r="N653" s="88" t="e">
        <f t="shared" si="50"/>
        <v>#DIV/0!</v>
      </c>
    </row>
    <row r="654" spans="6:14" x14ac:dyDescent="0.25">
      <c r="F654" s="1"/>
      <c r="G654" s="114">
        <f t="shared" si="51"/>
        <v>0</v>
      </c>
      <c r="H654" s="37">
        <f t="shared" si="52"/>
        <v>0</v>
      </c>
      <c r="I654">
        <f t="shared" ref="I654:I717" si="54">+L654-K654</f>
        <v>0</v>
      </c>
      <c r="J654" s="1">
        <f>+SUMIFS('VOLCADO '!H:H,'VOLCADO '!C:C,'Produccion por productor'!A:A,'VOLCADO '!B:B,'Produccion por productor'!B:B,'VOLCADO '!I:I,'Produccion por productor'!C:C,'VOLCADO '!J:J,'Produccion por productor'!E:E)*370</f>
        <v>0</v>
      </c>
      <c r="M654" s="91" t="e">
        <f t="shared" si="53"/>
        <v>#DIV/0!</v>
      </c>
      <c r="N654" s="88" t="e">
        <f t="shared" si="50"/>
        <v>#DIV/0!</v>
      </c>
    </row>
    <row r="655" spans="6:14" x14ac:dyDescent="0.25">
      <c r="F655" s="1"/>
      <c r="G655" s="114">
        <f t="shared" si="51"/>
        <v>0</v>
      </c>
      <c r="H655" s="37">
        <f t="shared" si="52"/>
        <v>0</v>
      </c>
      <c r="I655">
        <f t="shared" si="54"/>
        <v>0</v>
      </c>
      <c r="J655" s="1">
        <f>+SUMIFS('VOLCADO '!H:H,'VOLCADO '!C:C,'Produccion por productor'!A:A,'VOLCADO '!B:B,'Produccion por productor'!B:B,'VOLCADO '!I:I,'Produccion por productor'!C:C,'VOLCADO '!J:J,'Produccion por productor'!E:E)*370</f>
        <v>0</v>
      </c>
      <c r="M655" s="91" t="e">
        <f t="shared" si="53"/>
        <v>#DIV/0!</v>
      </c>
      <c r="N655" s="88" t="e">
        <f t="shared" si="50"/>
        <v>#DIV/0!</v>
      </c>
    </row>
    <row r="656" spans="6:14" x14ac:dyDescent="0.25">
      <c r="F656" s="1"/>
      <c r="G656" s="114">
        <f t="shared" si="51"/>
        <v>0</v>
      </c>
      <c r="H656" s="37">
        <f t="shared" si="52"/>
        <v>0</v>
      </c>
      <c r="I656">
        <f t="shared" si="54"/>
        <v>0</v>
      </c>
      <c r="J656" s="1">
        <f>+SUMIFS('VOLCADO '!H:H,'VOLCADO '!C:C,'Produccion por productor'!A:A,'VOLCADO '!B:B,'Produccion por productor'!B:B,'VOLCADO '!I:I,'Produccion por productor'!C:C,'VOLCADO '!J:J,'Produccion por productor'!E:E)*370</f>
        <v>0</v>
      </c>
      <c r="M656" s="91" t="e">
        <f t="shared" si="53"/>
        <v>#DIV/0!</v>
      </c>
      <c r="N656" s="88" t="e">
        <f t="shared" si="50"/>
        <v>#DIV/0!</v>
      </c>
    </row>
    <row r="657" spans="6:14" x14ac:dyDescent="0.25">
      <c r="F657" s="1"/>
      <c r="G657" s="114">
        <f t="shared" si="51"/>
        <v>0</v>
      </c>
      <c r="H657" s="37">
        <f t="shared" si="52"/>
        <v>0</v>
      </c>
      <c r="I657">
        <f t="shared" si="54"/>
        <v>0</v>
      </c>
      <c r="J657" s="1">
        <f>+SUMIFS('VOLCADO '!H:H,'VOLCADO '!C:C,'Produccion por productor'!A:A,'VOLCADO '!B:B,'Produccion por productor'!B:B,'VOLCADO '!I:I,'Produccion por productor'!C:C,'VOLCADO '!J:J,'Produccion por productor'!E:E)*370</f>
        <v>0</v>
      </c>
      <c r="M657" s="91" t="e">
        <f t="shared" si="53"/>
        <v>#DIV/0!</v>
      </c>
      <c r="N657" s="88" t="e">
        <f t="shared" si="50"/>
        <v>#DIV/0!</v>
      </c>
    </row>
    <row r="658" spans="6:14" x14ac:dyDescent="0.25">
      <c r="F658" s="1"/>
      <c r="G658" s="114">
        <f t="shared" si="51"/>
        <v>0</v>
      </c>
      <c r="H658" s="37">
        <f t="shared" si="52"/>
        <v>0</v>
      </c>
      <c r="I658">
        <f t="shared" si="54"/>
        <v>0</v>
      </c>
      <c r="J658" s="1">
        <f>+SUMIFS('VOLCADO '!H:H,'VOLCADO '!C:C,'Produccion por productor'!A:A,'VOLCADO '!B:B,'Produccion por productor'!B:B,'VOLCADO '!I:I,'Produccion por productor'!C:C,'VOLCADO '!J:J,'Produccion por productor'!E:E)*370</f>
        <v>0</v>
      </c>
      <c r="M658" s="91" t="e">
        <f t="shared" si="53"/>
        <v>#DIV/0!</v>
      </c>
      <c r="N658" s="88" t="e">
        <f t="shared" si="50"/>
        <v>#DIV/0!</v>
      </c>
    </row>
    <row r="659" spans="6:14" x14ac:dyDescent="0.25">
      <c r="F659" s="1"/>
      <c r="G659" s="114">
        <f t="shared" si="51"/>
        <v>0</v>
      </c>
      <c r="H659" s="37">
        <f t="shared" si="52"/>
        <v>0</v>
      </c>
      <c r="I659">
        <f t="shared" si="54"/>
        <v>0</v>
      </c>
      <c r="J659" s="1">
        <f>+SUMIFS('VOLCADO '!H:H,'VOLCADO '!C:C,'Produccion por productor'!A:A,'VOLCADO '!B:B,'Produccion por productor'!B:B,'VOLCADO '!I:I,'Produccion por productor'!C:C,'VOLCADO '!J:J,'Produccion por productor'!E:E)*370</f>
        <v>0</v>
      </c>
      <c r="M659" s="91" t="e">
        <f t="shared" si="53"/>
        <v>#DIV/0!</v>
      </c>
      <c r="N659" s="88" t="e">
        <f t="shared" si="50"/>
        <v>#DIV/0!</v>
      </c>
    </row>
    <row r="660" spans="6:14" x14ac:dyDescent="0.25">
      <c r="F660" s="1"/>
      <c r="G660" s="114">
        <f t="shared" si="51"/>
        <v>0</v>
      </c>
      <c r="H660" s="37">
        <f t="shared" si="52"/>
        <v>0</v>
      </c>
      <c r="I660">
        <f t="shared" si="54"/>
        <v>0</v>
      </c>
      <c r="J660" s="1">
        <f>+SUMIFS('VOLCADO '!H:H,'VOLCADO '!C:C,'Produccion por productor'!A:A,'VOLCADO '!B:B,'Produccion por productor'!B:B,'VOLCADO '!I:I,'Produccion por productor'!C:C,'VOLCADO '!J:J,'Produccion por productor'!E:E)*370</f>
        <v>0</v>
      </c>
      <c r="M660" s="91" t="e">
        <f t="shared" si="53"/>
        <v>#DIV/0!</v>
      </c>
      <c r="N660" s="88" t="e">
        <f t="shared" si="50"/>
        <v>#DIV/0!</v>
      </c>
    </row>
    <row r="661" spans="6:14" x14ac:dyDescent="0.25">
      <c r="F661" s="1"/>
      <c r="G661" s="114">
        <f t="shared" si="51"/>
        <v>0</v>
      </c>
      <c r="H661" s="37">
        <f t="shared" si="52"/>
        <v>0</v>
      </c>
      <c r="I661">
        <f t="shared" si="54"/>
        <v>0</v>
      </c>
      <c r="J661" s="1">
        <f>+SUMIFS('VOLCADO '!H:H,'VOLCADO '!C:C,'Produccion por productor'!A:A,'VOLCADO '!B:B,'Produccion por productor'!B:B,'VOLCADO '!I:I,'Produccion por productor'!C:C,'VOLCADO '!J:J,'Produccion por productor'!E:E)*370</f>
        <v>0</v>
      </c>
      <c r="M661" s="91" t="e">
        <f t="shared" si="53"/>
        <v>#DIV/0!</v>
      </c>
      <c r="N661" s="88" t="e">
        <f t="shared" si="50"/>
        <v>#DIV/0!</v>
      </c>
    </row>
    <row r="662" spans="6:14" x14ac:dyDescent="0.25">
      <c r="F662" s="1"/>
      <c r="G662" s="114">
        <f t="shared" si="51"/>
        <v>0</v>
      </c>
      <c r="H662" s="37">
        <f t="shared" si="52"/>
        <v>0</v>
      </c>
      <c r="I662">
        <f t="shared" si="54"/>
        <v>0</v>
      </c>
      <c r="J662" s="1">
        <f>+SUMIFS('VOLCADO '!H:H,'VOLCADO '!C:C,'Produccion por productor'!A:A,'VOLCADO '!B:B,'Produccion por productor'!B:B,'VOLCADO '!I:I,'Produccion por productor'!C:C,'VOLCADO '!J:J,'Produccion por productor'!E:E)*370</f>
        <v>0</v>
      </c>
      <c r="M662" s="91" t="e">
        <f t="shared" si="53"/>
        <v>#DIV/0!</v>
      </c>
      <c r="N662" s="88" t="e">
        <f t="shared" si="50"/>
        <v>#DIV/0!</v>
      </c>
    </row>
    <row r="663" spans="6:14" x14ac:dyDescent="0.25">
      <c r="F663" s="1"/>
      <c r="G663" s="114">
        <f t="shared" si="51"/>
        <v>0</v>
      </c>
      <c r="H663" s="37">
        <f t="shared" si="52"/>
        <v>0</v>
      </c>
      <c r="I663">
        <f t="shared" si="54"/>
        <v>0</v>
      </c>
      <c r="J663" s="1">
        <f>+SUMIFS('VOLCADO '!H:H,'VOLCADO '!C:C,'Produccion por productor'!A:A,'VOLCADO '!B:B,'Produccion por productor'!B:B,'VOLCADO '!I:I,'Produccion por productor'!C:C,'VOLCADO '!J:J,'Produccion por productor'!E:E)*370</f>
        <v>0</v>
      </c>
      <c r="M663" s="91" t="e">
        <f t="shared" si="53"/>
        <v>#DIV/0!</v>
      </c>
      <c r="N663" s="88" t="e">
        <f t="shared" si="50"/>
        <v>#DIV/0!</v>
      </c>
    </row>
    <row r="664" spans="6:14" x14ac:dyDescent="0.25">
      <c r="F664" s="1"/>
      <c r="G664" s="114">
        <f t="shared" si="51"/>
        <v>0</v>
      </c>
      <c r="H664" s="37">
        <f t="shared" si="52"/>
        <v>0</v>
      </c>
      <c r="I664">
        <f t="shared" si="54"/>
        <v>0</v>
      </c>
      <c r="J664" s="1">
        <f>+SUMIFS('VOLCADO '!H:H,'VOLCADO '!C:C,'Produccion por productor'!A:A,'VOLCADO '!B:B,'Produccion por productor'!B:B,'VOLCADO '!I:I,'Produccion por productor'!C:C,'VOLCADO '!J:J,'Produccion por productor'!E:E)*370</f>
        <v>0</v>
      </c>
      <c r="M664" s="91" t="e">
        <f t="shared" si="53"/>
        <v>#DIV/0!</v>
      </c>
      <c r="N664" s="88" t="e">
        <f t="shared" si="50"/>
        <v>#DIV/0!</v>
      </c>
    </row>
    <row r="665" spans="6:14" x14ac:dyDescent="0.25">
      <c r="F665" s="1"/>
      <c r="G665" s="114">
        <f t="shared" si="51"/>
        <v>0</v>
      </c>
      <c r="H665" s="37">
        <f t="shared" si="52"/>
        <v>0</v>
      </c>
      <c r="I665">
        <f t="shared" si="54"/>
        <v>0</v>
      </c>
      <c r="J665" s="1">
        <f>+SUMIFS('VOLCADO '!H:H,'VOLCADO '!C:C,'Produccion por productor'!A:A,'VOLCADO '!B:B,'Produccion por productor'!B:B,'VOLCADO '!I:I,'Produccion por productor'!C:C,'VOLCADO '!J:J,'Produccion por productor'!E:E)*370</f>
        <v>0</v>
      </c>
      <c r="M665" s="91" t="e">
        <f t="shared" si="53"/>
        <v>#DIV/0!</v>
      </c>
      <c r="N665" s="88" t="e">
        <f t="shared" si="50"/>
        <v>#DIV/0!</v>
      </c>
    </row>
    <row r="666" spans="6:14" x14ac:dyDescent="0.25">
      <c r="F666" s="1"/>
      <c r="G666" s="114">
        <f t="shared" si="51"/>
        <v>0</v>
      </c>
      <c r="H666" s="37">
        <f t="shared" si="52"/>
        <v>0</v>
      </c>
      <c r="I666">
        <f t="shared" si="54"/>
        <v>0</v>
      </c>
      <c r="J666" s="1">
        <f>+SUMIFS('VOLCADO '!H:H,'VOLCADO '!C:C,'Produccion por productor'!A:A,'VOLCADO '!B:B,'Produccion por productor'!B:B,'VOLCADO '!I:I,'Produccion por productor'!C:C,'VOLCADO '!J:J,'Produccion por productor'!E:E)*370</f>
        <v>0</v>
      </c>
      <c r="M666" s="91" t="e">
        <f t="shared" si="53"/>
        <v>#DIV/0!</v>
      </c>
      <c r="N666" s="88" t="e">
        <f t="shared" si="50"/>
        <v>#DIV/0!</v>
      </c>
    </row>
    <row r="667" spans="6:14" x14ac:dyDescent="0.25">
      <c r="F667" s="1"/>
      <c r="G667" s="114">
        <f t="shared" si="51"/>
        <v>0</v>
      </c>
      <c r="H667" s="37">
        <f t="shared" si="52"/>
        <v>0</v>
      </c>
      <c r="I667">
        <f t="shared" si="54"/>
        <v>0</v>
      </c>
      <c r="J667" s="1">
        <f>+SUMIFS('VOLCADO '!H:H,'VOLCADO '!C:C,'Produccion por productor'!A:A,'VOLCADO '!B:B,'Produccion por productor'!B:B,'VOLCADO '!I:I,'Produccion por productor'!C:C,'VOLCADO '!J:J,'Produccion por productor'!E:E)*370</f>
        <v>0</v>
      </c>
      <c r="M667" s="91" t="e">
        <f t="shared" si="53"/>
        <v>#DIV/0!</v>
      </c>
      <c r="N667" s="88" t="e">
        <f t="shared" si="50"/>
        <v>#DIV/0!</v>
      </c>
    </row>
    <row r="668" spans="6:14" x14ac:dyDescent="0.25">
      <c r="F668" s="1"/>
      <c r="G668" s="114">
        <f t="shared" si="51"/>
        <v>0</v>
      </c>
      <c r="H668" s="37">
        <f t="shared" si="52"/>
        <v>0</v>
      </c>
      <c r="I668">
        <f t="shared" si="54"/>
        <v>0</v>
      </c>
      <c r="J668" s="1">
        <f>+SUMIFS('VOLCADO '!H:H,'VOLCADO '!C:C,'Produccion por productor'!A:A,'VOLCADO '!B:B,'Produccion por productor'!B:B,'VOLCADO '!I:I,'Produccion por productor'!C:C,'VOLCADO '!J:J,'Produccion por productor'!E:E)*370</f>
        <v>0</v>
      </c>
      <c r="M668" s="91" t="e">
        <f t="shared" si="53"/>
        <v>#DIV/0!</v>
      </c>
      <c r="N668" s="88" t="e">
        <f t="shared" si="50"/>
        <v>#DIV/0!</v>
      </c>
    </row>
    <row r="669" spans="6:14" x14ac:dyDescent="0.25">
      <c r="F669" s="1"/>
      <c r="G669" s="114">
        <f t="shared" si="51"/>
        <v>0</v>
      </c>
      <c r="H669" s="37">
        <f t="shared" si="52"/>
        <v>0</v>
      </c>
      <c r="I669">
        <f t="shared" si="54"/>
        <v>0</v>
      </c>
      <c r="J669" s="1">
        <f>+SUMIFS('VOLCADO '!H:H,'VOLCADO '!C:C,'Produccion por productor'!A:A,'VOLCADO '!B:B,'Produccion por productor'!B:B,'VOLCADO '!I:I,'Produccion por productor'!C:C,'VOLCADO '!J:J,'Produccion por productor'!E:E)*370</f>
        <v>0</v>
      </c>
      <c r="M669" s="91" t="e">
        <f t="shared" si="53"/>
        <v>#DIV/0!</v>
      </c>
      <c r="N669" s="88" t="e">
        <f t="shared" si="50"/>
        <v>#DIV/0!</v>
      </c>
    </row>
    <row r="670" spans="6:14" x14ac:dyDescent="0.25">
      <c r="F670" s="1"/>
      <c r="G670" s="114">
        <f t="shared" si="51"/>
        <v>0</v>
      </c>
      <c r="H670" s="37">
        <f t="shared" si="52"/>
        <v>0</v>
      </c>
      <c r="I670">
        <f t="shared" si="54"/>
        <v>0</v>
      </c>
      <c r="J670" s="1">
        <f>+SUMIFS('VOLCADO '!H:H,'VOLCADO '!C:C,'Produccion por productor'!A:A,'VOLCADO '!B:B,'Produccion por productor'!B:B,'VOLCADO '!I:I,'Produccion por productor'!C:C,'VOLCADO '!J:J,'Produccion por productor'!E:E)*370</f>
        <v>0</v>
      </c>
      <c r="M670" s="91" t="e">
        <f t="shared" si="53"/>
        <v>#DIV/0!</v>
      </c>
      <c r="N670" s="88" t="e">
        <f t="shared" si="50"/>
        <v>#DIV/0!</v>
      </c>
    </row>
    <row r="671" spans="6:14" x14ac:dyDescent="0.25">
      <c r="F671" s="1"/>
      <c r="G671" s="114">
        <f t="shared" si="51"/>
        <v>0</v>
      </c>
      <c r="H671" s="37">
        <f t="shared" si="52"/>
        <v>0</v>
      </c>
      <c r="I671">
        <f t="shared" si="54"/>
        <v>0</v>
      </c>
      <c r="J671" s="1">
        <f>+SUMIFS('VOLCADO '!H:H,'VOLCADO '!C:C,'Produccion por productor'!A:A,'VOLCADO '!B:B,'Produccion por productor'!B:B,'VOLCADO '!I:I,'Produccion por productor'!C:C,'VOLCADO '!J:J,'Produccion por productor'!E:E)*370</f>
        <v>0</v>
      </c>
      <c r="M671" s="91" t="e">
        <f t="shared" si="53"/>
        <v>#DIV/0!</v>
      </c>
      <c r="N671" s="88" t="e">
        <f t="shared" si="50"/>
        <v>#DIV/0!</v>
      </c>
    </row>
    <row r="672" spans="6:14" x14ac:dyDescent="0.25">
      <c r="F672" s="1"/>
      <c r="G672" s="114">
        <f t="shared" si="51"/>
        <v>0</v>
      </c>
      <c r="H672" s="37">
        <f t="shared" si="52"/>
        <v>0</v>
      </c>
      <c r="I672">
        <f t="shared" si="54"/>
        <v>0</v>
      </c>
      <c r="J672" s="1">
        <f>+SUMIFS('VOLCADO '!H:H,'VOLCADO '!C:C,'Produccion por productor'!A:A,'VOLCADO '!B:B,'Produccion por productor'!B:B,'VOLCADO '!I:I,'Produccion por productor'!C:C,'VOLCADO '!J:J,'Produccion por productor'!E:E)*370</f>
        <v>0</v>
      </c>
      <c r="M672" s="91" t="e">
        <f t="shared" si="53"/>
        <v>#DIV/0!</v>
      </c>
      <c r="N672" s="88" t="e">
        <f t="shared" si="50"/>
        <v>#DIV/0!</v>
      </c>
    </row>
    <row r="673" spans="6:14" x14ac:dyDescent="0.25">
      <c r="F673" s="1"/>
      <c r="G673" s="114">
        <f t="shared" si="51"/>
        <v>0</v>
      </c>
      <c r="H673" s="37">
        <f t="shared" si="52"/>
        <v>0</v>
      </c>
      <c r="I673">
        <f t="shared" si="54"/>
        <v>0</v>
      </c>
      <c r="J673" s="1">
        <f>+SUMIFS('VOLCADO '!H:H,'VOLCADO '!C:C,'Produccion por productor'!A:A,'VOLCADO '!B:B,'Produccion por productor'!B:B,'VOLCADO '!I:I,'Produccion por productor'!C:C,'VOLCADO '!J:J,'Produccion por productor'!E:E)*370</f>
        <v>0</v>
      </c>
      <c r="M673" s="91" t="e">
        <f t="shared" si="53"/>
        <v>#DIV/0!</v>
      </c>
      <c r="N673" s="88" t="e">
        <f t="shared" si="50"/>
        <v>#DIV/0!</v>
      </c>
    </row>
    <row r="674" spans="6:14" x14ac:dyDescent="0.25">
      <c r="F674" s="1"/>
      <c r="G674" s="114">
        <f t="shared" si="51"/>
        <v>0</v>
      </c>
      <c r="H674" s="37">
        <f t="shared" si="52"/>
        <v>0</v>
      </c>
      <c r="I674">
        <f t="shared" si="54"/>
        <v>0</v>
      </c>
      <c r="J674" s="1">
        <f>+SUMIFS('VOLCADO '!H:H,'VOLCADO '!C:C,'Produccion por productor'!A:A,'VOLCADO '!B:B,'Produccion por productor'!B:B,'VOLCADO '!I:I,'Produccion por productor'!C:C,'VOLCADO '!J:J,'Produccion por productor'!E:E)*370</f>
        <v>0</v>
      </c>
      <c r="M674" s="91" t="e">
        <f t="shared" si="53"/>
        <v>#DIV/0!</v>
      </c>
      <c r="N674" s="88" t="e">
        <f t="shared" si="50"/>
        <v>#DIV/0!</v>
      </c>
    </row>
    <row r="675" spans="6:14" x14ac:dyDescent="0.25">
      <c r="F675" s="1"/>
      <c r="G675" s="114">
        <f t="shared" si="51"/>
        <v>0</v>
      </c>
      <c r="H675" s="37">
        <f t="shared" si="52"/>
        <v>0</v>
      </c>
      <c r="I675">
        <f t="shared" si="54"/>
        <v>0</v>
      </c>
      <c r="J675" s="1">
        <f>+SUMIFS('VOLCADO '!H:H,'VOLCADO '!C:C,'Produccion por productor'!A:A,'VOLCADO '!B:B,'Produccion por productor'!B:B,'VOLCADO '!I:I,'Produccion por productor'!C:C,'VOLCADO '!J:J,'Produccion por productor'!E:E)*370</f>
        <v>0</v>
      </c>
      <c r="M675" s="91" t="e">
        <f t="shared" si="53"/>
        <v>#DIV/0!</v>
      </c>
      <c r="N675" s="88" t="e">
        <f t="shared" si="50"/>
        <v>#DIV/0!</v>
      </c>
    </row>
    <row r="676" spans="6:14" x14ac:dyDescent="0.25">
      <c r="F676" s="1"/>
      <c r="G676" s="114">
        <f t="shared" si="51"/>
        <v>0</v>
      </c>
      <c r="H676" s="37">
        <f t="shared" si="52"/>
        <v>0</v>
      </c>
      <c r="I676">
        <f t="shared" si="54"/>
        <v>0</v>
      </c>
      <c r="J676" s="1">
        <f>+SUMIFS('VOLCADO '!H:H,'VOLCADO '!C:C,'Produccion por productor'!A:A,'VOLCADO '!B:B,'Produccion por productor'!B:B,'VOLCADO '!I:I,'Produccion por productor'!C:C,'VOLCADO '!J:J,'Produccion por productor'!E:E)*370</f>
        <v>0</v>
      </c>
      <c r="M676" s="91" t="e">
        <f t="shared" si="53"/>
        <v>#DIV/0!</v>
      </c>
      <c r="N676" s="88" t="e">
        <f t="shared" si="50"/>
        <v>#DIV/0!</v>
      </c>
    </row>
    <row r="677" spans="6:14" x14ac:dyDescent="0.25">
      <c r="F677" s="1"/>
      <c r="G677" s="114">
        <f t="shared" si="51"/>
        <v>0</v>
      </c>
      <c r="H677" s="37">
        <f t="shared" si="52"/>
        <v>0</v>
      </c>
      <c r="I677">
        <f t="shared" si="54"/>
        <v>0</v>
      </c>
      <c r="J677" s="1">
        <f>+SUMIFS('VOLCADO '!H:H,'VOLCADO '!C:C,'Produccion por productor'!A:A,'VOLCADO '!B:B,'Produccion por productor'!B:B,'VOLCADO '!I:I,'Produccion por productor'!C:C,'VOLCADO '!J:J,'Produccion por productor'!E:E)*370</f>
        <v>0</v>
      </c>
      <c r="M677" s="91" t="e">
        <f t="shared" si="53"/>
        <v>#DIV/0!</v>
      </c>
      <c r="N677" s="88" t="e">
        <f t="shared" si="50"/>
        <v>#DIV/0!</v>
      </c>
    </row>
    <row r="678" spans="6:14" x14ac:dyDescent="0.25">
      <c r="F678" s="1"/>
      <c r="G678" s="114">
        <f t="shared" si="51"/>
        <v>0</v>
      </c>
      <c r="H678" s="37">
        <f t="shared" si="52"/>
        <v>0</v>
      </c>
      <c r="I678">
        <f t="shared" si="54"/>
        <v>0</v>
      </c>
      <c r="J678" s="1">
        <f>+SUMIFS('VOLCADO '!H:H,'VOLCADO '!C:C,'Produccion por productor'!A:A,'VOLCADO '!B:B,'Produccion por productor'!B:B,'VOLCADO '!I:I,'Produccion por productor'!C:C,'VOLCADO '!J:J,'Produccion por productor'!E:E)*370</f>
        <v>0</v>
      </c>
      <c r="M678" s="91" t="e">
        <f t="shared" si="53"/>
        <v>#DIV/0!</v>
      </c>
      <c r="N678" s="88" t="e">
        <f t="shared" si="50"/>
        <v>#DIV/0!</v>
      </c>
    </row>
    <row r="679" spans="6:14" x14ac:dyDescent="0.25">
      <c r="F679" s="1"/>
      <c r="G679" s="114">
        <f t="shared" si="51"/>
        <v>0</v>
      </c>
      <c r="H679" s="37">
        <f t="shared" si="52"/>
        <v>0</v>
      </c>
      <c r="I679">
        <f t="shared" si="54"/>
        <v>0</v>
      </c>
      <c r="J679" s="1">
        <f>+SUMIFS('VOLCADO '!H:H,'VOLCADO '!C:C,'Produccion por productor'!A:A,'VOLCADO '!B:B,'Produccion por productor'!B:B,'VOLCADO '!I:I,'Produccion por productor'!C:C,'VOLCADO '!J:J,'Produccion por productor'!E:E)*370</f>
        <v>0</v>
      </c>
      <c r="M679" s="91" t="e">
        <f t="shared" si="53"/>
        <v>#DIV/0!</v>
      </c>
      <c r="N679" s="88" t="e">
        <f t="shared" si="50"/>
        <v>#DIV/0!</v>
      </c>
    </row>
    <row r="680" spans="6:14" x14ac:dyDescent="0.25">
      <c r="F680" s="1"/>
      <c r="G680" s="114">
        <f t="shared" si="51"/>
        <v>0</v>
      </c>
      <c r="H680" s="37">
        <f t="shared" si="52"/>
        <v>0</v>
      </c>
      <c r="I680">
        <f t="shared" si="54"/>
        <v>0</v>
      </c>
      <c r="J680" s="1">
        <f>+SUMIFS('VOLCADO '!H:H,'VOLCADO '!C:C,'Produccion por productor'!A:A,'VOLCADO '!B:B,'Produccion por productor'!B:B,'VOLCADO '!I:I,'Produccion por productor'!C:C,'VOLCADO '!J:J,'Produccion por productor'!E:E)*370</f>
        <v>0</v>
      </c>
      <c r="M680" s="91" t="e">
        <f t="shared" si="53"/>
        <v>#DIV/0!</v>
      </c>
      <c r="N680" s="88" t="e">
        <f t="shared" si="50"/>
        <v>#DIV/0!</v>
      </c>
    </row>
    <row r="681" spans="6:14" x14ac:dyDescent="0.25">
      <c r="F681" s="1"/>
      <c r="G681" s="114">
        <f t="shared" si="51"/>
        <v>0</v>
      </c>
      <c r="H681" s="37">
        <f t="shared" si="52"/>
        <v>0</v>
      </c>
      <c r="I681">
        <f t="shared" si="54"/>
        <v>0</v>
      </c>
      <c r="J681" s="1">
        <f>+SUMIFS('VOLCADO '!H:H,'VOLCADO '!C:C,'Produccion por productor'!A:A,'VOLCADO '!B:B,'Produccion por productor'!B:B,'VOLCADO '!I:I,'Produccion por productor'!C:C,'VOLCADO '!J:J,'Produccion por productor'!E:E)*370</f>
        <v>0</v>
      </c>
      <c r="M681" s="91" t="e">
        <f t="shared" si="53"/>
        <v>#DIV/0!</v>
      </c>
      <c r="N681" s="88" t="e">
        <f t="shared" si="50"/>
        <v>#DIV/0!</v>
      </c>
    </row>
    <row r="682" spans="6:14" x14ac:dyDescent="0.25">
      <c r="F682" s="1"/>
      <c r="G682" s="114">
        <f t="shared" si="51"/>
        <v>0</v>
      </c>
      <c r="H682" s="37">
        <f t="shared" si="52"/>
        <v>0</v>
      </c>
      <c r="I682">
        <f t="shared" si="54"/>
        <v>0</v>
      </c>
      <c r="J682" s="1">
        <f>+SUMIFS('VOLCADO '!H:H,'VOLCADO '!C:C,'Produccion por productor'!A:A,'VOLCADO '!B:B,'Produccion por productor'!B:B,'VOLCADO '!I:I,'Produccion por productor'!C:C,'VOLCADO '!J:J,'Produccion por productor'!E:E)*370</f>
        <v>0</v>
      </c>
      <c r="M682" s="91" t="e">
        <f t="shared" si="53"/>
        <v>#DIV/0!</v>
      </c>
      <c r="N682" s="88" t="e">
        <f t="shared" si="50"/>
        <v>#DIV/0!</v>
      </c>
    </row>
    <row r="683" spans="6:14" x14ac:dyDescent="0.25">
      <c r="F683" s="1"/>
      <c r="G683" s="114">
        <f t="shared" si="51"/>
        <v>0</v>
      </c>
      <c r="H683" s="37">
        <f t="shared" si="52"/>
        <v>0</v>
      </c>
      <c r="I683">
        <f t="shared" si="54"/>
        <v>0</v>
      </c>
      <c r="J683" s="1">
        <f>+SUMIFS('VOLCADO '!H:H,'VOLCADO '!C:C,'Produccion por productor'!A:A,'VOLCADO '!B:B,'Produccion por productor'!B:B,'VOLCADO '!I:I,'Produccion por productor'!C:C,'VOLCADO '!J:J,'Produccion por productor'!E:E)*370</f>
        <v>0</v>
      </c>
      <c r="M683" s="91" t="e">
        <f t="shared" si="53"/>
        <v>#DIV/0!</v>
      </c>
      <c r="N683" s="88" t="e">
        <f t="shared" si="50"/>
        <v>#DIV/0!</v>
      </c>
    </row>
    <row r="684" spans="6:14" x14ac:dyDescent="0.25">
      <c r="F684" s="1"/>
      <c r="G684" s="114">
        <f t="shared" si="51"/>
        <v>0</v>
      </c>
      <c r="H684" s="37">
        <f t="shared" si="52"/>
        <v>0</v>
      </c>
      <c r="I684">
        <f t="shared" si="54"/>
        <v>0</v>
      </c>
      <c r="J684" s="1">
        <f>+SUMIFS('VOLCADO '!H:H,'VOLCADO '!C:C,'Produccion por productor'!A:A,'VOLCADO '!B:B,'Produccion por productor'!B:B,'VOLCADO '!I:I,'Produccion por productor'!C:C,'VOLCADO '!J:J,'Produccion por productor'!E:E)*370</f>
        <v>0</v>
      </c>
      <c r="M684" s="91" t="e">
        <f t="shared" si="53"/>
        <v>#DIV/0!</v>
      </c>
      <c r="N684" s="88" t="e">
        <f t="shared" si="50"/>
        <v>#DIV/0!</v>
      </c>
    </row>
    <row r="685" spans="6:14" x14ac:dyDescent="0.25">
      <c r="F685" s="1"/>
      <c r="G685" s="114">
        <f t="shared" si="51"/>
        <v>0</v>
      </c>
      <c r="H685" s="37">
        <f t="shared" si="52"/>
        <v>0</v>
      </c>
      <c r="I685">
        <f t="shared" si="54"/>
        <v>0</v>
      </c>
      <c r="J685" s="1">
        <f>+SUMIFS('VOLCADO '!H:H,'VOLCADO '!C:C,'Produccion por productor'!A:A,'VOLCADO '!B:B,'Produccion por productor'!B:B,'VOLCADO '!I:I,'Produccion por productor'!C:C,'VOLCADO '!J:J,'Produccion por productor'!E:E)*370</f>
        <v>0</v>
      </c>
      <c r="M685" s="91" t="e">
        <f t="shared" si="53"/>
        <v>#DIV/0!</v>
      </c>
      <c r="N685" s="88" t="e">
        <f t="shared" si="50"/>
        <v>#DIV/0!</v>
      </c>
    </row>
    <row r="686" spans="6:14" x14ac:dyDescent="0.25">
      <c r="F686" s="1"/>
      <c r="G686" s="114">
        <f t="shared" si="51"/>
        <v>0</v>
      </c>
      <c r="H686" s="37">
        <f t="shared" si="52"/>
        <v>0</v>
      </c>
      <c r="I686">
        <f t="shared" si="54"/>
        <v>0</v>
      </c>
      <c r="J686" s="1">
        <f>+SUMIFS('VOLCADO '!H:H,'VOLCADO '!C:C,'Produccion por productor'!A:A,'VOLCADO '!B:B,'Produccion por productor'!B:B,'VOLCADO '!I:I,'Produccion por productor'!C:C,'VOLCADO '!J:J,'Produccion por productor'!E:E)*370</f>
        <v>0</v>
      </c>
      <c r="M686" s="91" t="e">
        <f t="shared" si="53"/>
        <v>#DIV/0!</v>
      </c>
      <c r="N686" s="88" t="e">
        <f t="shared" si="50"/>
        <v>#DIV/0!</v>
      </c>
    </row>
    <row r="687" spans="6:14" x14ac:dyDescent="0.25">
      <c r="F687" s="1"/>
      <c r="G687" s="114">
        <f t="shared" si="51"/>
        <v>0</v>
      </c>
      <c r="H687" s="37">
        <f t="shared" si="52"/>
        <v>0</v>
      </c>
      <c r="I687">
        <f t="shared" si="54"/>
        <v>0</v>
      </c>
      <c r="J687" s="1">
        <f>+SUMIFS('VOLCADO '!H:H,'VOLCADO '!C:C,'Produccion por productor'!A:A,'VOLCADO '!B:B,'Produccion por productor'!B:B,'VOLCADO '!I:I,'Produccion por productor'!C:C,'VOLCADO '!J:J,'Produccion por productor'!E:E)*370</f>
        <v>0</v>
      </c>
      <c r="M687" s="91" t="e">
        <f t="shared" si="53"/>
        <v>#DIV/0!</v>
      </c>
      <c r="N687" s="88" t="e">
        <f t="shared" si="50"/>
        <v>#DIV/0!</v>
      </c>
    </row>
    <row r="688" spans="6:14" x14ac:dyDescent="0.25">
      <c r="F688" s="1"/>
      <c r="G688" s="114">
        <f t="shared" si="51"/>
        <v>0</v>
      </c>
      <c r="H688" s="37">
        <f t="shared" si="52"/>
        <v>0</v>
      </c>
      <c r="I688">
        <f t="shared" si="54"/>
        <v>0</v>
      </c>
      <c r="J688" s="1">
        <f>+SUMIFS('VOLCADO '!H:H,'VOLCADO '!C:C,'Produccion por productor'!A:A,'VOLCADO '!B:B,'Produccion por productor'!B:B,'VOLCADO '!I:I,'Produccion por productor'!C:C,'VOLCADO '!J:J,'Produccion por productor'!E:E)*370</f>
        <v>0</v>
      </c>
      <c r="M688" s="91" t="e">
        <f t="shared" si="53"/>
        <v>#DIV/0!</v>
      </c>
      <c r="N688" s="88" t="e">
        <f t="shared" si="50"/>
        <v>#DIV/0!</v>
      </c>
    </row>
    <row r="689" spans="6:14" x14ac:dyDescent="0.25">
      <c r="F689" s="1"/>
      <c r="G689" s="114">
        <f t="shared" si="51"/>
        <v>0</v>
      </c>
      <c r="H689" s="37">
        <f t="shared" si="52"/>
        <v>0</v>
      </c>
      <c r="I689">
        <f t="shared" si="54"/>
        <v>0</v>
      </c>
      <c r="J689" s="1">
        <f>+SUMIFS('VOLCADO '!H:H,'VOLCADO '!C:C,'Produccion por productor'!A:A,'VOLCADO '!B:B,'Produccion por productor'!B:B,'VOLCADO '!I:I,'Produccion por productor'!C:C,'VOLCADO '!J:J,'Produccion por productor'!E:E)*370</f>
        <v>0</v>
      </c>
      <c r="M689" s="91" t="e">
        <f t="shared" si="53"/>
        <v>#DIV/0!</v>
      </c>
      <c r="N689" s="88" t="e">
        <f t="shared" si="50"/>
        <v>#DIV/0!</v>
      </c>
    </row>
    <row r="690" spans="6:14" x14ac:dyDescent="0.25">
      <c r="F690" s="1"/>
      <c r="G690" s="114">
        <f t="shared" si="51"/>
        <v>0</v>
      </c>
      <c r="H690" s="37">
        <f t="shared" si="52"/>
        <v>0</v>
      </c>
      <c r="I690">
        <f t="shared" si="54"/>
        <v>0</v>
      </c>
      <c r="J690" s="1">
        <f>+SUMIFS('VOLCADO '!H:H,'VOLCADO '!C:C,'Produccion por productor'!A:A,'VOLCADO '!B:B,'Produccion por productor'!B:B,'VOLCADO '!I:I,'Produccion por productor'!C:C,'VOLCADO '!J:J,'Produccion por productor'!E:E)*370</f>
        <v>0</v>
      </c>
      <c r="M690" s="91" t="e">
        <f t="shared" si="53"/>
        <v>#DIV/0!</v>
      </c>
      <c r="N690" s="88" t="e">
        <f t="shared" si="50"/>
        <v>#DIV/0!</v>
      </c>
    </row>
    <row r="691" spans="6:14" x14ac:dyDescent="0.25">
      <c r="F691" s="1"/>
      <c r="G691" s="114">
        <f t="shared" si="51"/>
        <v>0</v>
      </c>
      <c r="H691" s="37">
        <f t="shared" si="52"/>
        <v>0</v>
      </c>
      <c r="I691">
        <f t="shared" si="54"/>
        <v>0</v>
      </c>
      <c r="J691" s="1">
        <f>+SUMIFS('VOLCADO '!H:H,'VOLCADO '!C:C,'Produccion por productor'!A:A,'VOLCADO '!B:B,'Produccion por productor'!B:B,'VOLCADO '!I:I,'Produccion por productor'!C:C,'VOLCADO '!J:J,'Produccion por productor'!E:E)*370</f>
        <v>0</v>
      </c>
      <c r="M691" s="91" t="e">
        <f t="shared" si="53"/>
        <v>#DIV/0!</v>
      </c>
      <c r="N691" s="88" t="e">
        <f t="shared" si="50"/>
        <v>#DIV/0!</v>
      </c>
    </row>
    <row r="692" spans="6:14" x14ac:dyDescent="0.25">
      <c r="F692" s="1"/>
      <c r="G692" s="114">
        <f t="shared" si="51"/>
        <v>0</v>
      </c>
      <c r="H692" s="37">
        <f t="shared" si="52"/>
        <v>0</v>
      </c>
      <c r="I692">
        <f t="shared" si="54"/>
        <v>0</v>
      </c>
      <c r="J692" s="1">
        <f>+SUMIFS('VOLCADO '!H:H,'VOLCADO '!C:C,'Produccion por productor'!A:A,'VOLCADO '!B:B,'Produccion por productor'!B:B,'VOLCADO '!I:I,'Produccion por productor'!C:C,'VOLCADO '!J:J,'Produccion por productor'!E:E)*370</f>
        <v>0</v>
      </c>
      <c r="M692" s="91" t="e">
        <f t="shared" si="53"/>
        <v>#DIV/0!</v>
      </c>
      <c r="N692" s="88" t="e">
        <f t="shared" si="50"/>
        <v>#DIV/0!</v>
      </c>
    </row>
    <row r="693" spans="6:14" x14ac:dyDescent="0.25">
      <c r="F693" s="1"/>
      <c r="G693" s="114">
        <f t="shared" si="51"/>
        <v>0</v>
      </c>
      <c r="H693" s="37">
        <f t="shared" si="52"/>
        <v>0</v>
      </c>
      <c r="I693">
        <f t="shared" si="54"/>
        <v>0</v>
      </c>
      <c r="J693" s="1">
        <f>+SUMIFS('VOLCADO '!H:H,'VOLCADO '!C:C,'Produccion por productor'!A:A,'VOLCADO '!B:B,'Produccion por productor'!B:B,'VOLCADO '!I:I,'Produccion por productor'!C:C,'VOLCADO '!J:J,'Produccion por productor'!E:E)*370</f>
        <v>0</v>
      </c>
      <c r="M693" s="91" t="e">
        <f t="shared" si="53"/>
        <v>#DIV/0!</v>
      </c>
      <c r="N693" s="88" t="e">
        <f t="shared" si="50"/>
        <v>#DIV/0!</v>
      </c>
    </row>
    <row r="694" spans="6:14" x14ac:dyDescent="0.25">
      <c r="F694" s="1"/>
      <c r="G694" s="114">
        <f t="shared" si="51"/>
        <v>0</v>
      </c>
      <c r="H694" s="37">
        <f t="shared" si="52"/>
        <v>0</v>
      </c>
      <c r="I694">
        <f t="shared" si="54"/>
        <v>0</v>
      </c>
      <c r="J694" s="1">
        <f>+SUMIFS('VOLCADO '!H:H,'VOLCADO '!C:C,'Produccion por productor'!A:A,'VOLCADO '!B:B,'Produccion por productor'!B:B,'VOLCADO '!I:I,'Produccion por productor'!C:C,'VOLCADO '!J:J,'Produccion por productor'!E:E)*370</f>
        <v>0</v>
      </c>
      <c r="M694" s="91" t="e">
        <f t="shared" si="53"/>
        <v>#DIV/0!</v>
      </c>
      <c r="N694" s="88" t="e">
        <f t="shared" si="50"/>
        <v>#DIV/0!</v>
      </c>
    </row>
    <row r="695" spans="6:14" x14ac:dyDescent="0.25">
      <c r="F695" s="1"/>
      <c r="G695" s="114">
        <f t="shared" si="51"/>
        <v>0</v>
      </c>
      <c r="H695" s="37">
        <f t="shared" si="52"/>
        <v>0</v>
      </c>
      <c r="I695">
        <f t="shared" si="54"/>
        <v>0</v>
      </c>
      <c r="J695" s="1">
        <f>+SUMIFS('VOLCADO '!H:H,'VOLCADO '!C:C,'Produccion por productor'!A:A,'VOLCADO '!B:B,'Produccion por productor'!B:B,'VOLCADO '!I:I,'Produccion por productor'!C:C,'VOLCADO '!J:J,'Produccion por productor'!E:E)*370</f>
        <v>0</v>
      </c>
      <c r="M695" s="91" t="e">
        <f t="shared" si="53"/>
        <v>#DIV/0!</v>
      </c>
      <c r="N695" s="88" t="e">
        <f t="shared" si="50"/>
        <v>#DIV/0!</v>
      </c>
    </row>
    <row r="696" spans="6:14" x14ac:dyDescent="0.25">
      <c r="F696" s="1"/>
      <c r="G696" s="114">
        <f t="shared" si="51"/>
        <v>0</v>
      </c>
      <c r="H696" s="37">
        <f t="shared" si="52"/>
        <v>0</v>
      </c>
      <c r="I696">
        <f t="shared" si="54"/>
        <v>0</v>
      </c>
      <c r="J696" s="1">
        <f>+SUMIFS('VOLCADO '!H:H,'VOLCADO '!C:C,'Produccion por productor'!A:A,'VOLCADO '!B:B,'Produccion por productor'!B:B,'VOLCADO '!I:I,'Produccion por productor'!C:C,'VOLCADO '!J:J,'Produccion por productor'!E:E)*370</f>
        <v>0</v>
      </c>
      <c r="M696" s="91" t="e">
        <f t="shared" si="53"/>
        <v>#DIV/0!</v>
      </c>
      <c r="N696" s="88" t="e">
        <f t="shared" si="50"/>
        <v>#DIV/0!</v>
      </c>
    </row>
    <row r="697" spans="6:14" x14ac:dyDescent="0.25">
      <c r="F697" s="1"/>
      <c r="G697" s="114">
        <f t="shared" si="51"/>
        <v>0</v>
      </c>
      <c r="H697" s="37">
        <f t="shared" si="52"/>
        <v>0</v>
      </c>
      <c r="I697">
        <f t="shared" si="54"/>
        <v>0</v>
      </c>
      <c r="J697" s="1">
        <f>+SUMIFS('VOLCADO '!H:H,'VOLCADO '!C:C,'Produccion por productor'!A:A,'VOLCADO '!B:B,'Produccion por productor'!B:B,'VOLCADO '!I:I,'Produccion por productor'!C:C,'VOLCADO '!J:J,'Produccion por productor'!E:E)*370</f>
        <v>0</v>
      </c>
      <c r="M697" s="91" t="e">
        <f t="shared" si="53"/>
        <v>#DIV/0!</v>
      </c>
      <c r="N697" s="88" t="e">
        <f t="shared" si="50"/>
        <v>#DIV/0!</v>
      </c>
    </row>
    <row r="698" spans="6:14" x14ac:dyDescent="0.25">
      <c r="F698" s="1"/>
      <c r="G698" s="114">
        <f t="shared" si="51"/>
        <v>0</v>
      </c>
      <c r="H698" s="37">
        <f t="shared" si="52"/>
        <v>0</v>
      </c>
      <c r="I698">
        <f t="shared" si="54"/>
        <v>0</v>
      </c>
      <c r="J698" s="1">
        <f>+SUMIFS('VOLCADO '!H:H,'VOLCADO '!C:C,'Produccion por productor'!A:A,'VOLCADO '!B:B,'Produccion por productor'!B:B,'VOLCADO '!I:I,'Produccion por productor'!C:C,'VOLCADO '!J:J,'Produccion por productor'!E:E)*370</f>
        <v>0</v>
      </c>
      <c r="M698" s="91" t="e">
        <f t="shared" si="53"/>
        <v>#DIV/0!</v>
      </c>
      <c r="N698" s="88" t="e">
        <f t="shared" si="50"/>
        <v>#DIV/0!</v>
      </c>
    </row>
    <row r="699" spans="6:14" x14ac:dyDescent="0.25">
      <c r="F699" s="1"/>
      <c r="G699" s="114">
        <f t="shared" si="51"/>
        <v>0</v>
      </c>
      <c r="H699" s="37">
        <f t="shared" si="52"/>
        <v>0</v>
      </c>
      <c r="I699">
        <f t="shared" si="54"/>
        <v>0</v>
      </c>
      <c r="J699" s="1">
        <f>+SUMIFS('VOLCADO '!H:H,'VOLCADO '!C:C,'Produccion por productor'!A:A,'VOLCADO '!B:B,'Produccion por productor'!B:B,'VOLCADO '!I:I,'Produccion por productor'!C:C,'VOLCADO '!J:J,'Produccion por productor'!E:E)*370</f>
        <v>0</v>
      </c>
      <c r="M699" s="91" t="e">
        <f t="shared" si="53"/>
        <v>#DIV/0!</v>
      </c>
      <c r="N699" s="88" t="e">
        <f t="shared" si="50"/>
        <v>#DIV/0!</v>
      </c>
    </row>
    <row r="700" spans="6:14" x14ac:dyDescent="0.25">
      <c r="F700" s="1"/>
      <c r="G700" s="114">
        <f t="shared" si="51"/>
        <v>0</v>
      </c>
      <c r="H700" s="37">
        <f t="shared" si="52"/>
        <v>0</v>
      </c>
      <c r="I700">
        <f t="shared" si="54"/>
        <v>0</v>
      </c>
      <c r="J700" s="1">
        <f>+SUMIFS('VOLCADO '!H:H,'VOLCADO '!C:C,'Produccion por productor'!A:A,'VOLCADO '!B:B,'Produccion por productor'!B:B,'VOLCADO '!I:I,'Produccion por productor'!C:C,'VOLCADO '!J:J,'Produccion por productor'!E:E)*370</f>
        <v>0</v>
      </c>
      <c r="M700" s="91" t="e">
        <f t="shared" si="53"/>
        <v>#DIV/0!</v>
      </c>
      <c r="N700" s="88" t="e">
        <f t="shared" si="50"/>
        <v>#DIV/0!</v>
      </c>
    </row>
    <row r="701" spans="6:14" x14ac:dyDescent="0.25">
      <c r="F701" s="1"/>
      <c r="G701" s="114">
        <f t="shared" si="51"/>
        <v>0</v>
      </c>
      <c r="H701" s="37">
        <f t="shared" si="52"/>
        <v>0</v>
      </c>
      <c r="I701">
        <f t="shared" si="54"/>
        <v>0</v>
      </c>
      <c r="J701" s="1">
        <f>+SUMIFS('VOLCADO '!H:H,'VOLCADO '!C:C,'Produccion por productor'!A:A,'VOLCADO '!B:B,'Produccion por productor'!B:B,'VOLCADO '!I:I,'Produccion por productor'!C:C,'VOLCADO '!J:J,'Produccion por productor'!E:E)*370</f>
        <v>0</v>
      </c>
      <c r="M701" s="91" t="e">
        <f t="shared" si="53"/>
        <v>#DIV/0!</v>
      </c>
      <c r="N701" s="88" t="e">
        <f t="shared" si="50"/>
        <v>#DIV/0!</v>
      </c>
    </row>
    <row r="702" spans="6:14" x14ac:dyDescent="0.25">
      <c r="F702" s="1"/>
      <c r="G702" s="114">
        <f t="shared" si="51"/>
        <v>0</v>
      </c>
      <c r="H702" s="37">
        <f t="shared" si="52"/>
        <v>0</v>
      </c>
      <c r="I702">
        <f t="shared" si="54"/>
        <v>0</v>
      </c>
      <c r="J702" s="1">
        <f>+SUMIFS('VOLCADO '!H:H,'VOLCADO '!C:C,'Produccion por productor'!A:A,'VOLCADO '!B:B,'Produccion por productor'!B:B,'VOLCADO '!I:I,'Produccion por productor'!C:C,'VOLCADO '!J:J,'Produccion por productor'!E:E)*370</f>
        <v>0</v>
      </c>
      <c r="M702" s="91" t="e">
        <f t="shared" si="53"/>
        <v>#DIV/0!</v>
      </c>
      <c r="N702" s="88" t="e">
        <f t="shared" si="50"/>
        <v>#DIV/0!</v>
      </c>
    </row>
    <row r="703" spans="6:14" x14ac:dyDescent="0.25">
      <c r="F703" s="1"/>
      <c r="G703" s="114">
        <f t="shared" si="51"/>
        <v>0</v>
      </c>
      <c r="H703" s="37">
        <f t="shared" si="52"/>
        <v>0</v>
      </c>
      <c r="I703">
        <f t="shared" si="54"/>
        <v>0</v>
      </c>
      <c r="J703" s="1">
        <f>+SUMIFS('VOLCADO '!H:H,'VOLCADO '!C:C,'Produccion por productor'!A:A,'VOLCADO '!B:B,'Produccion por productor'!B:B,'VOLCADO '!I:I,'Produccion por productor'!C:C,'VOLCADO '!J:J,'Produccion por productor'!E:E)*370</f>
        <v>0</v>
      </c>
      <c r="M703" s="91" t="e">
        <f t="shared" si="53"/>
        <v>#DIV/0!</v>
      </c>
      <c r="N703" s="88" t="e">
        <f t="shared" si="50"/>
        <v>#DIV/0!</v>
      </c>
    </row>
    <row r="704" spans="6:14" x14ac:dyDescent="0.25">
      <c r="F704" s="1"/>
      <c r="G704" s="114">
        <f t="shared" si="51"/>
        <v>0</v>
      </c>
      <c r="H704" s="37">
        <f t="shared" si="52"/>
        <v>0</v>
      </c>
      <c r="I704">
        <f t="shared" si="54"/>
        <v>0</v>
      </c>
      <c r="J704" s="1">
        <f>+SUMIFS('VOLCADO '!H:H,'VOLCADO '!C:C,'Produccion por productor'!A:A,'VOLCADO '!B:B,'Produccion por productor'!B:B,'VOLCADO '!I:I,'Produccion por productor'!C:C,'VOLCADO '!J:J,'Produccion por productor'!E:E)*370</f>
        <v>0</v>
      </c>
      <c r="M704" s="91" t="e">
        <f t="shared" si="53"/>
        <v>#DIV/0!</v>
      </c>
      <c r="N704" s="88" t="e">
        <f t="shared" si="50"/>
        <v>#DIV/0!</v>
      </c>
    </row>
    <row r="705" spans="6:14" x14ac:dyDescent="0.25">
      <c r="F705" s="1"/>
      <c r="G705" s="114">
        <f t="shared" si="51"/>
        <v>0</v>
      </c>
      <c r="H705" s="37">
        <f t="shared" si="52"/>
        <v>0</v>
      </c>
      <c r="I705">
        <f t="shared" si="54"/>
        <v>0</v>
      </c>
      <c r="J705" s="1">
        <f>+SUMIFS('VOLCADO '!H:H,'VOLCADO '!C:C,'Produccion por productor'!A:A,'VOLCADO '!B:B,'Produccion por productor'!B:B,'VOLCADO '!I:I,'Produccion por productor'!C:C,'VOLCADO '!J:J,'Produccion por productor'!E:E)*370</f>
        <v>0</v>
      </c>
      <c r="M705" s="91" t="e">
        <f t="shared" si="53"/>
        <v>#DIV/0!</v>
      </c>
      <c r="N705" s="88" t="e">
        <f t="shared" ref="N705:N768" si="55">+((F705+I705)/J705)*100</f>
        <v>#DIV/0!</v>
      </c>
    </row>
    <row r="706" spans="6:14" x14ac:dyDescent="0.25">
      <c r="F706" s="1"/>
      <c r="G706" s="114">
        <f t="shared" ref="G706:G769" si="56">+F706+I706</f>
        <v>0</v>
      </c>
      <c r="H706" s="37">
        <f t="shared" ref="H706:H769" si="57">+(F706*0.05)+F706</f>
        <v>0</v>
      </c>
      <c r="I706">
        <f t="shared" si="54"/>
        <v>0</v>
      </c>
      <c r="J706" s="1">
        <f>+SUMIFS('VOLCADO '!H:H,'VOLCADO '!C:C,'Produccion por productor'!A:A,'VOLCADO '!B:B,'Produccion por productor'!B:B,'VOLCADO '!I:I,'Produccion por productor'!C:C,'VOLCADO '!J:J,'Produccion por productor'!E:E)*370</f>
        <v>0</v>
      </c>
      <c r="M706" s="91" t="e">
        <f t="shared" si="53"/>
        <v>#DIV/0!</v>
      </c>
      <c r="N706" s="88" t="e">
        <f t="shared" si="55"/>
        <v>#DIV/0!</v>
      </c>
    </row>
    <row r="707" spans="6:14" x14ac:dyDescent="0.25">
      <c r="F707" s="1"/>
      <c r="G707" s="114">
        <f t="shared" si="56"/>
        <v>0</v>
      </c>
      <c r="H707" s="37">
        <f t="shared" si="57"/>
        <v>0</v>
      </c>
      <c r="I707">
        <f t="shared" si="54"/>
        <v>0</v>
      </c>
      <c r="J707" s="1">
        <f>+SUMIFS('VOLCADO '!H:H,'VOLCADO '!C:C,'Produccion por productor'!A:A,'VOLCADO '!B:B,'Produccion por productor'!B:B,'VOLCADO '!I:I,'Produccion por productor'!C:C,'VOLCADO '!J:J,'Produccion por productor'!E:E)*370</f>
        <v>0</v>
      </c>
      <c r="M707" s="91" t="e">
        <f t="shared" ref="M707:M770" si="58">+((H707+I707)/J707)*100</f>
        <v>#DIV/0!</v>
      </c>
      <c r="N707" s="88" t="e">
        <f t="shared" si="55"/>
        <v>#DIV/0!</v>
      </c>
    </row>
    <row r="708" spans="6:14" x14ac:dyDescent="0.25">
      <c r="F708" s="1"/>
      <c r="G708" s="114">
        <f t="shared" si="56"/>
        <v>0</v>
      </c>
      <c r="H708" s="37">
        <f t="shared" si="57"/>
        <v>0</v>
      </c>
      <c r="I708">
        <f t="shared" si="54"/>
        <v>0</v>
      </c>
      <c r="J708" s="1">
        <f>+SUMIFS('VOLCADO '!H:H,'VOLCADO '!C:C,'Produccion por productor'!A:A,'VOLCADO '!B:B,'Produccion por productor'!B:B,'VOLCADO '!I:I,'Produccion por productor'!C:C,'VOLCADO '!J:J,'Produccion por productor'!E:E)*370</f>
        <v>0</v>
      </c>
      <c r="M708" s="91" t="e">
        <f t="shared" si="58"/>
        <v>#DIV/0!</v>
      </c>
      <c r="N708" s="88" t="e">
        <f t="shared" si="55"/>
        <v>#DIV/0!</v>
      </c>
    </row>
    <row r="709" spans="6:14" x14ac:dyDescent="0.25">
      <c r="F709" s="1"/>
      <c r="G709" s="114">
        <f t="shared" si="56"/>
        <v>0</v>
      </c>
      <c r="H709" s="37">
        <f t="shared" si="57"/>
        <v>0</v>
      </c>
      <c r="I709">
        <f t="shared" si="54"/>
        <v>0</v>
      </c>
      <c r="J709" s="1">
        <f>+SUMIFS('VOLCADO '!H:H,'VOLCADO '!C:C,'Produccion por productor'!A:A,'VOLCADO '!B:B,'Produccion por productor'!B:B,'VOLCADO '!I:I,'Produccion por productor'!C:C,'VOLCADO '!J:J,'Produccion por productor'!E:E)*370</f>
        <v>0</v>
      </c>
      <c r="M709" s="91" t="e">
        <f t="shared" si="58"/>
        <v>#DIV/0!</v>
      </c>
      <c r="N709" s="88" t="e">
        <f t="shared" si="55"/>
        <v>#DIV/0!</v>
      </c>
    </row>
    <row r="710" spans="6:14" x14ac:dyDescent="0.25">
      <c r="F710" s="1"/>
      <c r="G710" s="114">
        <f t="shared" si="56"/>
        <v>0</v>
      </c>
      <c r="H710" s="37">
        <f t="shared" si="57"/>
        <v>0</v>
      </c>
      <c r="I710">
        <f t="shared" si="54"/>
        <v>0</v>
      </c>
      <c r="J710" s="1">
        <f>+SUMIFS('VOLCADO '!H:H,'VOLCADO '!C:C,'Produccion por productor'!A:A,'VOLCADO '!B:B,'Produccion por productor'!B:B,'VOLCADO '!I:I,'Produccion por productor'!C:C,'VOLCADO '!J:J,'Produccion por productor'!E:E)*370</f>
        <v>0</v>
      </c>
      <c r="M710" s="91" t="e">
        <f t="shared" si="58"/>
        <v>#DIV/0!</v>
      </c>
      <c r="N710" s="88" t="e">
        <f t="shared" si="55"/>
        <v>#DIV/0!</v>
      </c>
    </row>
    <row r="711" spans="6:14" x14ac:dyDescent="0.25">
      <c r="F711" s="1"/>
      <c r="G711" s="114">
        <f t="shared" si="56"/>
        <v>0</v>
      </c>
      <c r="H711" s="37">
        <f t="shared" si="57"/>
        <v>0</v>
      </c>
      <c r="I711">
        <f t="shared" si="54"/>
        <v>0</v>
      </c>
      <c r="J711" s="1">
        <f>+SUMIFS('VOLCADO '!H:H,'VOLCADO '!C:C,'Produccion por productor'!A:A,'VOLCADO '!B:B,'Produccion por productor'!B:B,'VOLCADO '!I:I,'Produccion por productor'!C:C,'VOLCADO '!J:J,'Produccion por productor'!E:E)*370</f>
        <v>0</v>
      </c>
      <c r="M711" s="91" t="e">
        <f t="shared" si="58"/>
        <v>#DIV/0!</v>
      </c>
      <c r="N711" s="88" t="e">
        <f t="shared" si="55"/>
        <v>#DIV/0!</v>
      </c>
    </row>
    <row r="712" spans="6:14" x14ac:dyDescent="0.25">
      <c r="F712" s="1"/>
      <c r="G712" s="114">
        <f t="shared" si="56"/>
        <v>0</v>
      </c>
      <c r="H712" s="37">
        <f t="shared" si="57"/>
        <v>0</v>
      </c>
      <c r="I712">
        <f t="shared" si="54"/>
        <v>0</v>
      </c>
      <c r="J712" s="1">
        <f>+SUMIFS('VOLCADO '!H:H,'VOLCADO '!C:C,'Produccion por productor'!A:A,'VOLCADO '!B:B,'Produccion por productor'!B:B,'VOLCADO '!I:I,'Produccion por productor'!C:C,'VOLCADO '!J:J,'Produccion por productor'!E:E)*370</f>
        <v>0</v>
      </c>
      <c r="M712" s="91" t="e">
        <f t="shared" si="58"/>
        <v>#DIV/0!</v>
      </c>
      <c r="N712" s="88" t="e">
        <f t="shared" si="55"/>
        <v>#DIV/0!</v>
      </c>
    </row>
    <row r="713" spans="6:14" x14ac:dyDescent="0.25">
      <c r="F713" s="1"/>
      <c r="G713" s="114">
        <f t="shared" si="56"/>
        <v>0</v>
      </c>
      <c r="H713" s="37">
        <f t="shared" si="57"/>
        <v>0</v>
      </c>
      <c r="I713">
        <f t="shared" si="54"/>
        <v>0</v>
      </c>
      <c r="J713" s="1">
        <f>+SUMIFS('VOLCADO '!H:H,'VOLCADO '!C:C,'Produccion por productor'!A:A,'VOLCADO '!B:B,'Produccion por productor'!B:B,'VOLCADO '!I:I,'Produccion por productor'!C:C,'VOLCADO '!J:J,'Produccion por productor'!E:E)*370</f>
        <v>0</v>
      </c>
      <c r="M713" s="91" t="e">
        <f t="shared" si="58"/>
        <v>#DIV/0!</v>
      </c>
      <c r="N713" s="88" t="e">
        <f t="shared" si="55"/>
        <v>#DIV/0!</v>
      </c>
    </row>
    <row r="714" spans="6:14" x14ac:dyDescent="0.25">
      <c r="F714" s="1"/>
      <c r="G714" s="114">
        <f t="shared" si="56"/>
        <v>0</v>
      </c>
      <c r="H714" s="37">
        <f t="shared" si="57"/>
        <v>0</v>
      </c>
      <c r="I714">
        <f t="shared" si="54"/>
        <v>0</v>
      </c>
      <c r="J714" s="1">
        <f>+SUMIFS('VOLCADO '!H:H,'VOLCADO '!C:C,'Produccion por productor'!A:A,'VOLCADO '!B:B,'Produccion por productor'!B:B,'VOLCADO '!I:I,'Produccion por productor'!C:C,'VOLCADO '!J:J,'Produccion por productor'!E:E)*370</f>
        <v>0</v>
      </c>
      <c r="M714" s="91" t="e">
        <f t="shared" si="58"/>
        <v>#DIV/0!</v>
      </c>
      <c r="N714" s="88" t="e">
        <f t="shared" si="55"/>
        <v>#DIV/0!</v>
      </c>
    </row>
    <row r="715" spans="6:14" x14ac:dyDescent="0.25">
      <c r="F715" s="1"/>
      <c r="G715" s="114">
        <f t="shared" si="56"/>
        <v>0</v>
      </c>
      <c r="H715" s="37">
        <f t="shared" si="57"/>
        <v>0</v>
      </c>
      <c r="I715">
        <f t="shared" si="54"/>
        <v>0</v>
      </c>
      <c r="J715" s="1">
        <f>+SUMIFS('VOLCADO '!H:H,'VOLCADO '!C:C,'Produccion por productor'!A:A,'VOLCADO '!B:B,'Produccion por productor'!B:B,'VOLCADO '!I:I,'Produccion por productor'!C:C,'VOLCADO '!J:J,'Produccion por productor'!E:E)*370</f>
        <v>0</v>
      </c>
      <c r="M715" s="91" t="e">
        <f t="shared" si="58"/>
        <v>#DIV/0!</v>
      </c>
      <c r="N715" s="88" t="e">
        <f t="shared" si="55"/>
        <v>#DIV/0!</v>
      </c>
    </row>
    <row r="716" spans="6:14" x14ac:dyDescent="0.25">
      <c r="F716" s="1"/>
      <c r="G716" s="114">
        <f t="shared" si="56"/>
        <v>0</v>
      </c>
      <c r="H716" s="37">
        <f t="shared" si="57"/>
        <v>0</v>
      </c>
      <c r="I716">
        <f t="shared" si="54"/>
        <v>0</v>
      </c>
      <c r="J716" s="1">
        <f>+SUMIFS('VOLCADO '!H:H,'VOLCADO '!C:C,'Produccion por productor'!A:A,'VOLCADO '!B:B,'Produccion por productor'!B:B,'VOLCADO '!I:I,'Produccion por productor'!C:C,'VOLCADO '!J:J,'Produccion por productor'!E:E)*370</f>
        <v>0</v>
      </c>
      <c r="M716" s="91" t="e">
        <f t="shared" si="58"/>
        <v>#DIV/0!</v>
      </c>
      <c r="N716" s="88" t="e">
        <f t="shared" si="55"/>
        <v>#DIV/0!</v>
      </c>
    </row>
    <row r="717" spans="6:14" x14ac:dyDescent="0.25">
      <c r="F717" s="1"/>
      <c r="G717" s="114">
        <f t="shared" si="56"/>
        <v>0</v>
      </c>
      <c r="H717" s="37">
        <f t="shared" si="57"/>
        <v>0</v>
      </c>
      <c r="I717">
        <f t="shared" si="54"/>
        <v>0</v>
      </c>
      <c r="J717" s="1">
        <f>+SUMIFS('VOLCADO '!H:H,'VOLCADO '!C:C,'Produccion por productor'!A:A,'VOLCADO '!B:B,'Produccion por productor'!B:B,'VOLCADO '!I:I,'Produccion por productor'!C:C,'VOLCADO '!J:J,'Produccion por productor'!E:E)*370</f>
        <v>0</v>
      </c>
      <c r="M717" s="91" t="e">
        <f t="shared" si="58"/>
        <v>#DIV/0!</v>
      </c>
      <c r="N717" s="88" t="e">
        <f t="shared" si="55"/>
        <v>#DIV/0!</v>
      </c>
    </row>
    <row r="718" spans="6:14" x14ac:dyDescent="0.25">
      <c r="F718" s="1"/>
      <c r="G718" s="114">
        <f t="shared" si="56"/>
        <v>0</v>
      </c>
      <c r="H718" s="37">
        <f t="shared" si="57"/>
        <v>0</v>
      </c>
      <c r="I718">
        <f t="shared" ref="I718:I781" si="59">+L718-K718</f>
        <v>0</v>
      </c>
      <c r="J718" s="1">
        <f>+SUMIFS('VOLCADO '!H:H,'VOLCADO '!C:C,'Produccion por productor'!A:A,'VOLCADO '!B:B,'Produccion por productor'!B:B,'VOLCADO '!I:I,'Produccion por productor'!C:C,'VOLCADO '!J:J,'Produccion por productor'!E:E)*370</f>
        <v>0</v>
      </c>
      <c r="M718" s="91" t="e">
        <f t="shared" si="58"/>
        <v>#DIV/0!</v>
      </c>
      <c r="N718" s="88" t="e">
        <f t="shared" si="55"/>
        <v>#DIV/0!</v>
      </c>
    </row>
    <row r="719" spans="6:14" x14ac:dyDescent="0.25">
      <c r="F719" s="1"/>
      <c r="G719" s="114">
        <f t="shared" si="56"/>
        <v>0</v>
      </c>
      <c r="H719" s="37">
        <f t="shared" si="57"/>
        <v>0</v>
      </c>
      <c r="I719">
        <f t="shared" si="59"/>
        <v>0</v>
      </c>
      <c r="J719" s="1">
        <f>+SUMIFS('VOLCADO '!H:H,'VOLCADO '!C:C,'Produccion por productor'!A:A,'VOLCADO '!B:B,'Produccion por productor'!B:B,'VOLCADO '!I:I,'Produccion por productor'!C:C,'VOLCADO '!J:J,'Produccion por productor'!E:E)*370</f>
        <v>0</v>
      </c>
      <c r="M719" s="91" t="e">
        <f t="shared" si="58"/>
        <v>#DIV/0!</v>
      </c>
      <c r="N719" s="88" t="e">
        <f t="shared" si="55"/>
        <v>#DIV/0!</v>
      </c>
    </row>
    <row r="720" spans="6:14" x14ac:dyDescent="0.25">
      <c r="F720" s="1"/>
      <c r="G720" s="114">
        <f t="shared" si="56"/>
        <v>0</v>
      </c>
      <c r="H720" s="37">
        <f t="shared" si="57"/>
        <v>0</v>
      </c>
      <c r="I720">
        <f t="shared" si="59"/>
        <v>0</v>
      </c>
      <c r="J720" s="1">
        <f>+SUMIFS('VOLCADO '!H:H,'VOLCADO '!C:C,'Produccion por productor'!A:A,'VOLCADO '!B:B,'Produccion por productor'!B:B,'VOLCADO '!I:I,'Produccion por productor'!C:C,'VOLCADO '!J:J,'Produccion por productor'!E:E)*370</f>
        <v>0</v>
      </c>
      <c r="M720" s="91" t="e">
        <f t="shared" si="58"/>
        <v>#DIV/0!</v>
      </c>
      <c r="N720" s="88" t="e">
        <f t="shared" si="55"/>
        <v>#DIV/0!</v>
      </c>
    </row>
    <row r="721" spans="6:14" x14ac:dyDescent="0.25">
      <c r="F721" s="1"/>
      <c r="G721" s="114">
        <f t="shared" si="56"/>
        <v>0</v>
      </c>
      <c r="H721" s="37">
        <f t="shared" si="57"/>
        <v>0</v>
      </c>
      <c r="I721">
        <f t="shared" si="59"/>
        <v>0</v>
      </c>
      <c r="J721" s="1">
        <f>+SUMIFS('VOLCADO '!H:H,'VOLCADO '!C:C,'Produccion por productor'!A:A,'VOLCADO '!B:B,'Produccion por productor'!B:B,'VOLCADO '!I:I,'Produccion por productor'!C:C,'VOLCADO '!J:J,'Produccion por productor'!E:E)*370</f>
        <v>0</v>
      </c>
      <c r="M721" s="91" t="e">
        <f t="shared" si="58"/>
        <v>#DIV/0!</v>
      </c>
      <c r="N721" s="88" t="e">
        <f t="shared" si="55"/>
        <v>#DIV/0!</v>
      </c>
    </row>
    <row r="722" spans="6:14" x14ac:dyDescent="0.25">
      <c r="F722" s="1"/>
      <c r="G722" s="114">
        <f t="shared" si="56"/>
        <v>0</v>
      </c>
      <c r="H722" s="37">
        <f t="shared" si="57"/>
        <v>0</v>
      </c>
      <c r="I722">
        <f t="shared" si="59"/>
        <v>0</v>
      </c>
      <c r="J722" s="1">
        <f>+SUMIFS('VOLCADO '!H:H,'VOLCADO '!C:C,'Produccion por productor'!A:A,'VOLCADO '!B:B,'Produccion por productor'!B:B,'VOLCADO '!I:I,'Produccion por productor'!C:C,'VOLCADO '!J:J,'Produccion por productor'!E:E)*370</f>
        <v>0</v>
      </c>
      <c r="M722" s="91" t="e">
        <f t="shared" si="58"/>
        <v>#DIV/0!</v>
      </c>
      <c r="N722" s="88" t="e">
        <f t="shared" si="55"/>
        <v>#DIV/0!</v>
      </c>
    </row>
    <row r="723" spans="6:14" x14ac:dyDescent="0.25">
      <c r="F723" s="1"/>
      <c r="G723" s="114">
        <f t="shared" si="56"/>
        <v>0</v>
      </c>
      <c r="H723" s="37">
        <f t="shared" si="57"/>
        <v>0</v>
      </c>
      <c r="I723">
        <f t="shared" si="59"/>
        <v>0</v>
      </c>
      <c r="J723" s="1">
        <f>+SUMIFS('VOLCADO '!H:H,'VOLCADO '!C:C,'Produccion por productor'!A:A,'VOLCADO '!B:B,'Produccion por productor'!B:B,'VOLCADO '!I:I,'Produccion por productor'!C:C,'VOLCADO '!J:J,'Produccion por productor'!E:E)*370</f>
        <v>0</v>
      </c>
      <c r="M723" s="91" t="e">
        <f t="shared" si="58"/>
        <v>#DIV/0!</v>
      </c>
      <c r="N723" s="88" t="e">
        <f t="shared" si="55"/>
        <v>#DIV/0!</v>
      </c>
    </row>
    <row r="724" spans="6:14" x14ac:dyDescent="0.25">
      <c r="F724" s="1"/>
      <c r="G724" s="114">
        <f t="shared" si="56"/>
        <v>0</v>
      </c>
      <c r="H724" s="37">
        <f t="shared" si="57"/>
        <v>0</v>
      </c>
      <c r="I724">
        <f t="shared" si="59"/>
        <v>0</v>
      </c>
      <c r="J724" s="1">
        <f>+SUMIFS('VOLCADO '!H:H,'VOLCADO '!C:C,'Produccion por productor'!A:A,'VOLCADO '!B:B,'Produccion por productor'!B:B,'VOLCADO '!I:I,'Produccion por productor'!C:C,'VOLCADO '!J:J,'Produccion por productor'!E:E)*370</f>
        <v>0</v>
      </c>
      <c r="M724" s="91" t="e">
        <f t="shared" si="58"/>
        <v>#DIV/0!</v>
      </c>
      <c r="N724" s="88" t="e">
        <f t="shared" si="55"/>
        <v>#DIV/0!</v>
      </c>
    </row>
    <row r="725" spans="6:14" x14ac:dyDescent="0.25">
      <c r="F725" s="1"/>
      <c r="G725" s="114">
        <f t="shared" si="56"/>
        <v>0</v>
      </c>
      <c r="H725" s="37">
        <f t="shared" si="57"/>
        <v>0</v>
      </c>
      <c r="I725">
        <f t="shared" si="59"/>
        <v>0</v>
      </c>
      <c r="J725" s="1">
        <f>+SUMIFS('VOLCADO '!H:H,'VOLCADO '!C:C,'Produccion por productor'!A:A,'VOLCADO '!B:B,'Produccion por productor'!B:B,'VOLCADO '!I:I,'Produccion por productor'!C:C,'VOLCADO '!J:J,'Produccion por productor'!E:E)*370</f>
        <v>0</v>
      </c>
      <c r="M725" s="91" t="e">
        <f t="shared" si="58"/>
        <v>#DIV/0!</v>
      </c>
      <c r="N725" s="88" t="e">
        <f t="shared" si="55"/>
        <v>#DIV/0!</v>
      </c>
    </row>
    <row r="726" spans="6:14" x14ac:dyDescent="0.25">
      <c r="F726" s="1"/>
      <c r="G726" s="114">
        <f t="shared" si="56"/>
        <v>0</v>
      </c>
      <c r="H726" s="37">
        <f t="shared" si="57"/>
        <v>0</v>
      </c>
      <c r="I726">
        <f t="shared" si="59"/>
        <v>0</v>
      </c>
      <c r="J726" s="1">
        <f>+SUMIFS('VOLCADO '!H:H,'VOLCADO '!C:C,'Produccion por productor'!A:A,'VOLCADO '!B:B,'Produccion por productor'!B:B,'VOLCADO '!I:I,'Produccion por productor'!C:C,'VOLCADO '!J:J,'Produccion por productor'!E:E)*370</f>
        <v>0</v>
      </c>
      <c r="M726" s="91" t="e">
        <f t="shared" si="58"/>
        <v>#DIV/0!</v>
      </c>
      <c r="N726" s="88" t="e">
        <f t="shared" si="55"/>
        <v>#DIV/0!</v>
      </c>
    </row>
    <row r="727" spans="6:14" x14ac:dyDescent="0.25">
      <c r="F727" s="1"/>
      <c r="G727" s="114">
        <f t="shared" si="56"/>
        <v>0</v>
      </c>
      <c r="H727" s="37">
        <f t="shared" si="57"/>
        <v>0</v>
      </c>
      <c r="I727">
        <f t="shared" si="59"/>
        <v>0</v>
      </c>
      <c r="J727" s="1">
        <f>+SUMIFS('VOLCADO '!H:H,'VOLCADO '!C:C,'Produccion por productor'!A:A,'VOLCADO '!B:B,'Produccion por productor'!B:B,'VOLCADO '!I:I,'Produccion por productor'!C:C,'VOLCADO '!J:J,'Produccion por productor'!E:E)*370</f>
        <v>0</v>
      </c>
      <c r="M727" s="91" t="e">
        <f t="shared" si="58"/>
        <v>#DIV/0!</v>
      </c>
      <c r="N727" s="88" t="e">
        <f t="shared" si="55"/>
        <v>#DIV/0!</v>
      </c>
    </row>
    <row r="728" spans="6:14" x14ac:dyDescent="0.25">
      <c r="F728" s="1"/>
      <c r="G728" s="114">
        <f t="shared" si="56"/>
        <v>0</v>
      </c>
      <c r="H728" s="37">
        <f t="shared" si="57"/>
        <v>0</v>
      </c>
      <c r="I728">
        <f t="shared" si="59"/>
        <v>0</v>
      </c>
      <c r="J728" s="1">
        <f>+SUMIFS('VOLCADO '!H:H,'VOLCADO '!C:C,'Produccion por productor'!A:A,'VOLCADO '!B:B,'Produccion por productor'!B:B,'VOLCADO '!I:I,'Produccion por productor'!C:C,'VOLCADO '!J:J,'Produccion por productor'!E:E)*370</f>
        <v>0</v>
      </c>
      <c r="M728" s="91" t="e">
        <f t="shared" si="58"/>
        <v>#DIV/0!</v>
      </c>
      <c r="N728" s="88" t="e">
        <f t="shared" si="55"/>
        <v>#DIV/0!</v>
      </c>
    </row>
    <row r="729" spans="6:14" x14ac:dyDescent="0.25">
      <c r="F729" s="1"/>
      <c r="G729" s="114">
        <f t="shared" si="56"/>
        <v>0</v>
      </c>
      <c r="H729" s="37">
        <f t="shared" si="57"/>
        <v>0</v>
      </c>
      <c r="I729">
        <f t="shared" si="59"/>
        <v>0</v>
      </c>
      <c r="J729" s="1">
        <f>+SUMIFS('VOLCADO '!H:H,'VOLCADO '!C:C,'Produccion por productor'!A:A,'VOLCADO '!B:B,'Produccion por productor'!B:B,'VOLCADO '!I:I,'Produccion por productor'!C:C,'VOLCADO '!J:J,'Produccion por productor'!E:E)*370</f>
        <v>0</v>
      </c>
      <c r="M729" s="91" t="e">
        <f t="shared" si="58"/>
        <v>#DIV/0!</v>
      </c>
      <c r="N729" s="88" t="e">
        <f t="shared" si="55"/>
        <v>#DIV/0!</v>
      </c>
    </row>
    <row r="730" spans="6:14" x14ac:dyDescent="0.25">
      <c r="F730" s="1"/>
      <c r="G730" s="114">
        <f t="shared" si="56"/>
        <v>0</v>
      </c>
      <c r="H730" s="37">
        <f t="shared" si="57"/>
        <v>0</v>
      </c>
      <c r="I730">
        <f t="shared" si="59"/>
        <v>0</v>
      </c>
      <c r="J730" s="1">
        <f>+SUMIFS('VOLCADO '!H:H,'VOLCADO '!C:C,'Produccion por productor'!A:A,'VOLCADO '!B:B,'Produccion por productor'!B:B,'VOLCADO '!I:I,'Produccion por productor'!C:C,'VOLCADO '!J:J,'Produccion por productor'!E:E)*370</f>
        <v>0</v>
      </c>
      <c r="M730" s="91" t="e">
        <f t="shared" si="58"/>
        <v>#DIV/0!</v>
      </c>
      <c r="N730" s="88" t="e">
        <f t="shared" si="55"/>
        <v>#DIV/0!</v>
      </c>
    </row>
    <row r="731" spans="6:14" x14ac:dyDescent="0.25">
      <c r="F731" s="1"/>
      <c r="G731" s="114">
        <f t="shared" si="56"/>
        <v>0</v>
      </c>
      <c r="H731" s="37">
        <f t="shared" si="57"/>
        <v>0</v>
      </c>
      <c r="I731">
        <f t="shared" si="59"/>
        <v>0</v>
      </c>
      <c r="J731" s="1">
        <f>+SUMIFS('VOLCADO '!H:H,'VOLCADO '!C:C,'Produccion por productor'!A:A,'VOLCADO '!B:B,'Produccion por productor'!B:B,'VOLCADO '!I:I,'Produccion por productor'!C:C,'VOLCADO '!J:J,'Produccion por productor'!E:E)*370</f>
        <v>0</v>
      </c>
      <c r="M731" s="91" t="e">
        <f t="shared" si="58"/>
        <v>#DIV/0!</v>
      </c>
      <c r="N731" s="88" t="e">
        <f t="shared" si="55"/>
        <v>#DIV/0!</v>
      </c>
    </row>
    <row r="732" spans="6:14" x14ac:dyDescent="0.25">
      <c r="F732" s="1"/>
      <c r="G732" s="114">
        <f t="shared" si="56"/>
        <v>0</v>
      </c>
      <c r="H732" s="37">
        <f t="shared" si="57"/>
        <v>0</v>
      </c>
      <c r="I732">
        <f t="shared" si="59"/>
        <v>0</v>
      </c>
      <c r="J732" s="1">
        <f>+SUMIFS('VOLCADO '!H:H,'VOLCADO '!C:C,'Produccion por productor'!A:A,'VOLCADO '!B:B,'Produccion por productor'!B:B,'VOLCADO '!I:I,'Produccion por productor'!C:C,'VOLCADO '!J:J,'Produccion por productor'!E:E)*370</f>
        <v>0</v>
      </c>
      <c r="M732" s="91" t="e">
        <f t="shared" si="58"/>
        <v>#DIV/0!</v>
      </c>
      <c r="N732" s="88" t="e">
        <f t="shared" si="55"/>
        <v>#DIV/0!</v>
      </c>
    </row>
    <row r="733" spans="6:14" x14ac:dyDescent="0.25">
      <c r="F733" s="1"/>
      <c r="G733" s="114">
        <f t="shared" si="56"/>
        <v>0</v>
      </c>
      <c r="H733" s="37">
        <f t="shared" si="57"/>
        <v>0</v>
      </c>
      <c r="I733">
        <f t="shared" si="59"/>
        <v>0</v>
      </c>
      <c r="J733" s="1">
        <f>+SUMIFS('VOLCADO '!H:H,'VOLCADO '!C:C,'Produccion por productor'!A:A,'VOLCADO '!B:B,'Produccion por productor'!B:B,'VOLCADO '!I:I,'Produccion por productor'!C:C,'VOLCADO '!J:J,'Produccion por productor'!E:E)*370</f>
        <v>0</v>
      </c>
      <c r="M733" s="91" t="e">
        <f t="shared" si="58"/>
        <v>#DIV/0!</v>
      </c>
      <c r="N733" s="88" t="e">
        <f t="shared" si="55"/>
        <v>#DIV/0!</v>
      </c>
    </row>
    <row r="734" spans="6:14" x14ac:dyDescent="0.25">
      <c r="F734" s="1"/>
      <c r="G734" s="114">
        <f t="shared" si="56"/>
        <v>0</v>
      </c>
      <c r="H734" s="37">
        <f t="shared" si="57"/>
        <v>0</v>
      </c>
      <c r="I734">
        <f t="shared" si="59"/>
        <v>0</v>
      </c>
      <c r="J734" s="1">
        <f>+SUMIFS('VOLCADO '!H:H,'VOLCADO '!C:C,'Produccion por productor'!A:A,'VOLCADO '!B:B,'Produccion por productor'!B:B,'VOLCADO '!I:I,'Produccion por productor'!C:C,'VOLCADO '!J:J,'Produccion por productor'!E:E)*370</f>
        <v>0</v>
      </c>
      <c r="M734" s="91" t="e">
        <f t="shared" si="58"/>
        <v>#DIV/0!</v>
      </c>
      <c r="N734" s="88" t="e">
        <f t="shared" si="55"/>
        <v>#DIV/0!</v>
      </c>
    </row>
    <row r="735" spans="6:14" x14ac:dyDescent="0.25">
      <c r="F735" s="1"/>
      <c r="G735" s="114">
        <f t="shared" si="56"/>
        <v>0</v>
      </c>
      <c r="H735" s="37">
        <f t="shared" si="57"/>
        <v>0</v>
      </c>
      <c r="I735">
        <f t="shared" si="59"/>
        <v>0</v>
      </c>
      <c r="J735" s="1">
        <f>+SUMIFS('VOLCADO '!H:H,'VOLCADO '!C:C,'Produccion por productor'!A:A,'VOLCADO '!B:B,'Produccion por productor'!B:B,'VOLCADO '!I:I,'Produccion por productor'!C:C,'VOLCADO '!J:J,'Produccion por productor'!E:E)*370</f>
        <v>0</v>
      </c>
      <c r="M735" s="91" t="e">
        <f t="shared" si="58"/>
        <v>#DIV/0!</v>
      </c>
      <c r="N735" s="88" t="e">
        <f t="shared" si="55"/>
        <v>#DIV/0!</v>
      </c>
    </row>
    <row r="736" spans="6:14" x14ac:dyDescent="0.25">
      <c r="F736" s="1"/>
      <c r="G736" s="114">
        <f t="shared" si="56"/>
        <v>0</v>
      </c>
      <c r="H736" s="37">
        <f t="shared" si="57"/>
        <v>0</v>
      </c>
      <c r="I736">
        <f t="shared" si="59"/>
        <v>0</v>
      </c>
      <c r="J736" s="1">
        <f>+SUMIFS('VOLCADO '!H:H,'VOLCADO '!C:C,'Produccion por productor'!A:A,'VOLCADO '!B:B,'Produccion por productor'!B:B,'VOLCADO '!I:I,'Produccion por productor'!C:C,'VOLCADO '!J:J,'Produccion por productor'!E:E)*370</f>
        <v>0</v>
      </c>
      <c r="M736" s="91" t="e">
        <f t="shared" si="58"/>
        <v>#DIV/0!</v>
      </c>
      <c r="N736" s="88" t="e">
        <f t="shared" si="55"/>
        <v>#DIV/0!</v>
      </c>
    </row>
    <row r="737" spans="6:14" x14ac:dyDescent="0.25">
      <c r="F737" s="1"/>
      <c r="G737" s="114">
        <f t="shared" si="56"/>
        <v>0</v>
      </c>
      <c r="H737" s="37">
        <f t="shared" si="57"/>
        <v>0</v>
      </c>
      <c r="I737">
        <f t="shared" si="59"/>
        <v>0</v>
      </c>
      <c r="J737" s="1">
        <f>+SUMIFS('VOLCADO '!H:H,'VOLCADO '!C:C,'Produccion por productor'!A:A,'VOLCADO '!B:B,'Produccion por productor'!B:B,'VOLCADO '!I:I,'Produccion por productor'!C:C,'VOLCADO '!J:J,'Produccion por productor'!E:E)*370</f>
        <v>0</v>
      </c>
      <c r="M737" s="91" t="e">
        <f t="shared" si="58"/>
        <v>#DIV/0!</v>
      </c>
      <c r="N737" s="88" t="e">
        <f t="shared" si="55"/>
        <v>#DIV/0!</v>
      </c>
    </row>
    <row r="738" spans="6:14" x14ac:dyDescent="0.25">
      <c r="F738" s="1"/>
      <c r="G738" s="114">
        <f t="shared" si="56"/>
        <v>0</v>
      </c>
      <c r="H738" s="37">
        <f t="shared" si="57"/>
        <v>0</v>
      </c>
      <c r="I738">
        <f t="shared" si="59"/>
        <v>0</v>
      </c>
      <c r="J738" s="1">
        <f>+SUMIFS('VOLCADO '!H:H,'VOLCADO '!C:C,'Produccion por productor'!A:A,'VOLCADO '!B:B,'Produccion por productor'!B:B,'VOLCADO '!I:I,'Produccion por productor'!C:C,'VOLCADO '!J:J,'Produccion por productor'!E:E)*370</f>
        <v>0</v>
      </c>
      <c r="M738" s="91" t="e">
        <f t="shared" si="58"/>
        <v>#DIV/0!</v>
      </c>
      <c r="N738" s="88" t="e">
        <f t="shared" si="55"/>
        <v>#DIV/0!</v>
      </c>
    </row>
    <row r="739" spans="6:14" x14ac:dyDescent="0.25">
      <c r="F739" s="1"/>
      <c r="G739" s="114">
        <f t="shared" si="56"/>
        <v>0</v>
      </c>
      <c r="H739" s="37">
        <f t="shared" si="57"/>
        <v>0</v>
      </c>
      <c r="I739">
        <f t="shared" si="59"/>
        <v>0</v>
      </c>
      <c r="J739" s="1">
        <f>+SUMIFS('VOLCADO '!H:H,'VOLCADO '!C:C,'Produccion por productor'!A:A,'VOLCADO '!B:B,'Produccion por productor'!B:B,'VOLCADO '!I:I,'Produccion por productor'!C:C,'VOLCADO '!J:J,'Produccion por productor'!E:E)*370</f>
        <v>0</v>
      </c>
      <c r="M739" s="91" t="e">
        <f t="shared" si="58"/>
        <v>#DIV/0!</v>
      </c>
      <c r="N739" s="88" t="e">
        <f t="shared" si="55"/>
        <v>#DIV/0!</v>
      </c>
    </row>
    <row r="740" spans="6:14" x14ac:dyDescent="0.25">
      <c r="F740" s="1"/>
      <c r="G740" s="114">
        <f t="shared" si="56"/>
        <v>0</v>
      </c>
      <c r="H740" s="37">
        <f t="shared" si="57"/>
        <v>0</v>
      </c>
      <c r="I740">
        <f t="shared" si="59"/>
        <v>0</v>
      </c>
      <c r="J740" s="1">
        <f>+SUMIFS('VOLCADO '!H:H,'VOLCADO '!C:C,'Produccion por productor'!A:A,'VOLCADO '!B:B,'Produccion por productor'!B:B,'VOLCADO '!I:I,'Produccion por productor'!C:C,'VOLCADO '!J:J,'Produccion por productor'!E:E)*370</f>
        <v>0</v>
      </c>
      <c r="M740" s="91" t="e">
        <f t="shared" si="58"/>
        <v>#DIV/0!</v>
      </c>
      <c r="N740" s="88" t="e">
        <f t="shared" si="55"/>
        <v>#DIV/0!</v>
      </c>
    </row>
    <row r="741" spans="6:14" x14ac:dyDescent="0.25">
      <c r="F741" s="1"/>
      <c r="G741" s="114">
        <f t="shared" si="56"/>
        <v>0</v>
      </c>
      <c r="H741" s="37">
        <f t="shared" si="57"/>
        <v>0</v>
      </c>
      <c r="I741">
        <f t="shared" si="59"/>
        <v>0</v>
      </c>
      <c r="J741" s="1">
        <f>+SUMIFS('VOLCADO '!H:H,'VOLCADO '!C:C,'Produccion por productor'!A:A,'VOLCADO '!B:B,'Produccion por productor'!B:B,'VOLCADO '!I:I,'Produccion por productor'!C:C,'VOLCADO '!J:J,'Produccion por productor'!E:E)*370</f>
        <v>0</v>
      </c>
      <c r="M741" s="91" t="e">
        <f t="shared" si="58"/>
        <v>#DIV/0!</v>
      </c>
      <c r="N741" s="88" t="e">
        <f t="shared" si="55"/>
        <v>#DIV/0!</v>
      </c>
    </row>
    <row r="742" spans="6:14" x14ac:dyDescent="0.25">
      <c r="F742" s="1"/>
      <c r="G742" s="114">
        <f t="shared" si="56"/>
        <v>0</v>
      </c>
      <c r="H742" s="37">
        <f t="shared" si="57"/>
        <v>0</v>
      </c>
      <c r="I742">
        <f t="shared" si="59"/>
        <v>0</v>
      </c>
      <c r="J742" s="1">
        <f>+SUMIFS('VOLCADO '!H:H,'VOLCADO '!C:C,'Produccion por productor'!A:A,'VOLCADO '!B:B,'Produccion por productor'!B:B,'VOLCADO '!I:I,'Produccion por productor'!C:C,'VOLCADO '!J:J,'Produccion por productor'!E:E)*370</f>
        <v>0</v>
      </c>
      <c r="M742" s="91" t="e">
        <f t="shared" si="58"/>
        <v>#DIV/0!</v>
      </c>
      <c r="N742" s="88" t="e">
        <f t="shared" si="55"/>
        <v>#DIV/0!</v>
      </c>
    </row>
    <row r="743" spans="6:14" x14ac:dyDescent="0.25">
      <c r="F743" s="1"/>
      <c r="G743" s="114">
        <f t="shared" si="56"/>
        <v>0</v>
      </c>
      <c r="H743" s="37">
        <f t="shared" si="57"/>
        <v>0</v>
      </c>
      <c r="I743">
        <f t="shared" si="59"/>
        <v>0</v>
      </c>
      <c r="J743" s="1">
        <f>+SUMIFS('VOLCADO '!H:H,'VOLCADO '!C:C,'Produccion por productor'!A:A,'VOLCADO '!B:B,'Produccion por productor'!B:B,'VOLCADO '!I:I,'Produccion por productor'!C:C,'VOLCADO '!J:J,'Produccion por productor'!E:E)*370</f>
        <v>0</v>
      </c>
      <c r="M743" s="91" t="e">
        <f t="shared" si="58"/>
        <v>#DIV/0!</v>
      </c>
      <c r="N743" s="88" t="e">
        <f t="shared" si="55"/>
        <v>#DIV/0!</v>
      </c>
    </row>
    <row r="744" spans="6:14" x14ac:dyDescent="0.25">
      <c r="F744" s="1"/>
      <c r="G744" s="114">
        <f t="shared" si="56"/>
        <v>0</v>
      </c>
      <c r="H744" s="37">
        <f t="shared" si="57"/>
        <v>0</v>
      </c>
      <c r="I744">
        <f t="shared" si="59"/>
        <v>0</v>
      </c>
      <c r="J744" s="1">
        <f>+SUMIFS('VOLCADO '!H:H,'VOLCADO '!C:C,'Produccion por productor'!A:A,'VOLCADO '!B:B,'Produccion por productor'!B:B,'VOLCADO '!I:I,'Produccion por productor'!C:C,'VOLCADO '!J:J,'Produccion por productor'!E:E)*370</f>
        <v>0</v>
      </c>
      <c r="M744" s="91" t="e">
        <f t="shared" si="58"/>
        <v>#DIV/0!</v>
      </c>
      <c r="N744" s="88" t="e">
        <f t="shared" si="55"/>
        <v>#DIV/0!</v>
      </c>
    </row>
    <row r="745" spans="6:14" x14ac:dyDescent="0.25">
      <c r="F745" s="1"/>
      <c r="G745" s="114">
        <f t="shared" si="56"/>
        <v>0</v>
      </c>
      <c r="H745" s="37">
        <f t="shared" si="57"/>
        <v>0</v>
      </c>
      <c r="I745">
        <f t="shared" si="59"/>
        <v>0</v>
      </c>
      <c r="J745" s="1">
        <f>+SUMIFS('VOLCADO '!H:H,'VOLCADO '!C:C,'Produccion por productor'!A:A,'VOLCADO '!B:B,'Produccion por productor'!B:B,'VOLCADO '!I:I,'Produccion por productor'!C:C,'VOLCADO '!J:J,'Produccion por productor'!E:E)*370</f>
        <v>0</v>
      </c>
      <c r="M745" s="91" t="e">
        <f t="shared" si="58"/>
        <v>#DIV/0!</v>
      </c>
      <c r="N745" s="88" t="e">
        <f t="shared" si="55"/>
        <v>#DIV/0!</v>
      </c>
    </row>
    <row r="746" spans="6:14" x14ac:dyDescent="0.25">
      <c r="F746" s="1"/>
      <c r="G746" s="114">
        <f t="shared" si="56"/>
        <v>0</v>
      </c>
      <c r="H746" s="37">
        <f t="shared" si="57"/>
        <v>0</v>
      </c>
      <c r="I746">
        <f t="shared" si="59"/>
        <v>0</v>
      </c>
      <c r="J746" s="1">
        <f>+SUMIFS('VOLCADO '!H:H,'VOLCADO '!C:C,'Produccion por productor'!A:A,'VOLCADO '!B:B,'Produccion por productor'!B:B,'VOLCADO '!I:I,'Produccion por productor'!C:C,'VOLCADO '!J:J,'Produccion por productor'!E:E)*370</f>
        <v>0</v>
      </c>
      <c r="M746" s="91" t="e">
        <f t="shared" si="58"/>
        <v>#DIV/0!</v>
      </c>
      <c r="N746" s="88" t="e">
        <f t="shared" si="55"/>
        <v>#DIV/0!</v>
      </c>
    </row>
    <row r="747" spans="6:14" x14ac:dyDescent="0.25">
      <c r="F747" s="1"/>
      <c r="G747" s="114">
        <f t="shared" si="56"/>
        <v>0</v>
      </c>
      <c r="H747" s="37">
        <f t="shared" si="57"/>
        <v>0</v>
      </c>
      <c r="I747">
        <f t="shared" si="59"/>
        <v>0</v>
      </c>
      <c r="J747" s="1">
        <f>+SUMIFS('VOLCADO '!H:H,'VOLCADO '!C:C,'Produccion por productor'!A:A,'VOLCADO '!B:B,'Produccion por productor'!B:B,'VOLCADO '!I:I,'Produccion por productor'!C:C,'VOLCADO '!J:J,'Produccion por productor'!E:E)*370</f>
        <v>0</v>
      </c>
      <c r="M747" s="91" t="e">
        <f t="shared" si="58"/>
        <v>#DIV/0!</v>
      </c>
      <c r="N747" s="88" t="e">
        <f t="shared" si="55"/>
        <v>#DIV/0!</v>
      </c>
    </row>
    <row r="748" spans="6:14" x14ac:dyDescent="0.25">
      <c r="F748" s="1"/>
      <c r="G748" s="114">
        <f t="shared" si="56"/>
        <v>0</v>
      </c>
      <c r="H748" s="37">
        <f t="shared" si="57"/>
        <v>0</v>
      </c>
      <c r="I748">
        <f t="shared" si="59"/>
        <v>0</v>
      </c>
      <c r="J748" s="1">
        <f>+SUMIFS('VOLCADO '!H:H,'VOLCADO '!C:C,'Produccion por productor'!A:A,'VOLCADO '!B:B,'Produccion por productor'!B:B,'VOLCADO '!I:I,'Produccion por productor'!C:C,'VOLCADO '!J:J,'Produccion por productor'!E:E)*370</f>
        <v>0</v>
      </c>
      <c r="M748" s="91" t="e">
        <f t="shared" si="58"/>
        <v>#DIV/0!</v>
      </c>
      <c r="N748" s="88" t="e">
        <f t="shared" si="55"/>
        <v>#DIV/0!</v>
      </c>
    </row>
    <row r="749" spans="6:14" x14ac:dyDescent="0.25">
      <c r="F749" s="1"/>
      <c r="G749" s="114">
        <f t="shared" si="56"/>
        <v>0</v>
      </c>
      <c r="H749" s="37">
        <f t="shared" si="57"/>
        <v>0</v>
      </c>
      <c r="I749">
        <f t="shared" si="59"/>
        <v>0</v>
      </c>
      <c r="J749" s="1">
        <f>+SUMIFS('VOLCADO '!H:H,'VOLCADO '!C:C,'Produccion por productor'!A:A,'VOLCADO '!B:B,'Produccion por productor'!B:B,'VOLCADO '!I:I,'Produccion por productor'!C:C,'VOLCADO '!J:J,'Produccion por productor'!E:E)*370</f>
        <v>0</v>
      </c>
      <c r="M749" s="91" t="e">
        <f t="shared" si="58"/>
        <v>#DIV/0!</v>
      </c>
      <c r="N749" s="88" t="e">
        <f t="shared" si="55"/>
        <v>#DIV/0!</v>
      </c>
    </row>
    <row r="750" spans="6:14" x14ac:dyDescent="0.25">
      <c r="F750" s="1"/>
      <c r="G750" s="114">
        <f t="shared" si="56"/>
        <v>0</v>
      </c>
      <c r="H750" s="37">
        <f t="shared" si="57"/>
        <v>0</v>
      </c>
      <c r="I750">
        <f t="shared" si="59"/>
        <v>0</v>
      </c>
      <c r="J750" s="1">
        <f>+SUMIFS('VOLCADO '!H:H,'VOLCADO '!C:C,'Produccion por productor'!A:A,'VOLCADO '!B:B,'Produccion por productor'!B:B,'VOLCADO '!I:I,'Produccion por productor'!C:C,'VOLCADO '!J:J,'Produccion por productor'!E:E)*370</f>
        <v>0</v>
      </c>
      <c r="M750" s="91" t="e">
        <f t="shared" si="58"/>
        <v>#DIV/0!</v>
      </c>
      <c r="N750" s="88" t="e">
        <f t="shared" si="55"/>
        <v>#DIV/0!</v>
      </c>
    </row>
    <row r="751" spans="6:14" x14ac:dyDescent="0.25">
      <c r="F751" s="1"/>
      <c r="G751" s="114">
        <f t="shared" si="56"/>
        <v>0</v>
      </c>
      <c r="H751" s="37">
        <f t="shared" si="57"/>
        <v>0</v>
      </c>
      <c r="I751">
        <f t="shared" si="59"/>
        <v>0</v>
      </c>
      <c r="J751" s="1">
        <f>+SUMIFS('VOLCADO '!H:H,'VOLCADO '!C:C,'Produccion por productor'!A:A,'VOLCADO '!B:B,'Produccion por productor'!B:B,'VOLCADO '!I:I,'Produccion por productor'!C:C,'VOLCADO '!J:J,'Produccion por productor'!E:E)*370</f>
        <v>0</v>
      </c>
      <c r="M751" s="91" t="e">
        <f t="shared" si="58"/>
        <v>#DIV/0!</v>
      </c>
      <c r="N751" s="88" t="e">
        <f t="shared" si="55"/>
        <v>#DIV/0!</v>
      </c>
    </row>
    <row r="752" spans="6:14" x14ac:dyDescent="0.25">
      <c r="F752" s="1"/>
      <c r="G752" s="114">
        <f t="shared" si="56"/>
        <v>0</v>
      </c>
      <c r="H752" s="37">
        <f t="shared" si="57"/>
        <v>0</v>
      </c>
      <c r="I752">
        <f t="shared" si="59"/>
        <v>0</v>
      </c>
      <c r="J752" s="1">
        <f>+SUMIFS('VOLCADO '!H:H,'VOLCADO '!C:C,'Produccion por productor'!A:A,'VOLCADO '!B:B,'Produccion por productor'!B:B,'VOLCADO '!I:I,'Produccion por productor'!C:C,'VOLCADO '!J:J,'Produccion por productor'!E:E)*370</f>
        <v>0</v>
      </c>
      <c r="M752" s="91" t="e">
        <f t="shared" si="58"/>
        <v>#DIV/0!</v>
      </c>
      <c r="N752" s="88" t="e">
        <f t="shared" si="55"/>
        <v>#DIV/0!</v>
      </c>
    </row>
    <row r="753" spans="6:14" x14ac:dyDescent="0.25">
      <c r="F753" s="1"/>
      <c r="G753" s="114">
        <f t="shared" si="56"/>
        <v>0</v>
      </c>
      <c r="H753" s="37">
        <f t="shared" si="57"/>
        <v>0</v>
      </c>
      <c r="I753">
        <f t="shared" si="59"/>
        <v>0</v>
      </c>
      <c r="J753" s="1">
        <f>+SUMIFS('VOLCADO '!H:H,'VOLCADO '!C:C,'Produccion por productor'!A:A,'VOLCADO '!B:B,'Produccion por productor'!B:B,'VOLCADO '!I:I,'Produccion por productor'!C:C,'VOLCADO '!J:J,'Produccion por productor'!E:E)*370</f>
        <v>0</v>
      </c>
      <c r="M753" s="91" t="e">
        <f t="shared" si="58"/>
        <v>#DIV/0!</v>
      </c>
      <c r="N753" s="88" t="e">
        <f t="shared" si="55"/>
        <v>#DIV/0!</v>
      </c>
    </row>
    <row r="754" spans="6:14" x14ac:dyDescent="0.25">
      <c r="F754" s="1"/>
      <c r="G754" s="114">
        <f t="shared" si="56"/>
        <v>0</v>
      </c>
      <c r="H754" s="37">
        <f t="shared" si="57"/>
        <v>0</v>
      </c>
      <c r="I754">
        <f t="shared" si="59"/>
        <v>0</v>
      </c>
      <c r="J754" s="1">
        <f>+SUMIFS('VOLCADO '!H:H,'VOLCADO '!C:C,'Produccion por productor'!A:A,'VOLCADO '!B:B,'Produccion por productor'!B:B,'VOLCADO '!I:I,'Produccion por productor'!C:C,'VOLCADO '!J:J,'Produccion por productor'!E:E)*370</f>
        <v>0</v>
      </c>
      <c r="M754" s="91" t="e">
        <f t="shared" si="58"/>
        <v>#DIV/0!</v>
      </c>
      <c r="N754" s="88" t="e">
        <f t="shared" si="55"/>
        <v>#DIV/0!</v>
      </c>
    </row>
    <row r="755" spans="6:14" x14ac:dyDescent="0.25">
      <c r="F755" s="1"/>
      <c r="G755" s="114">
        <f t="shared" si="56"/>
        <v>0</v>
      </c>
      <c r="H755" s="37">
        <f t="shared" si="57"/>
        <v>0</v>
      </c>
      <c r="I755">
        <f t="shared" si="59"/>
        <v>0</v>
      </c>
      <c r="J755" s="1">
        <f>+SUMIFS('VOLCADO '!H:H,'VOLCADO '!C:C,'Produccion por productor'!A:A,'VOLCADO '!B:B,'Produccion por productor'!B:B,'VOLCADO '!I:I,'Produccion por productor'!C:C,'VOLCADO '!J:J,'Produccion por productor'!E:E)*370</f>
        <v>0</v>
      </c>
      <c r="M755" s="91" t="e">
        <f t="shared" si="58"/>
        <v>#DIV/0!</v>
      </c>
      <c r="N755" s="88" t="e">
        <f t="shared" si="55"/>
        <v>#DIV/0!</v>
      </c>
    </row>
    <row r="756" spans="6:14" x14ac:dyDescent="0.25">
      <c r="F756" s="1"/>
      <c r="G756" s="114">
        <f t="shared" si="56"/>
        <v>0</v>
      </c>
      <c r="H756" s="37">
        <f t="shared" si="57"/>
        <v>0</v>
      </c>
      <c r="I756">
        <f t="shared" si="59"/>
        <v>0</v>
      </c>
      <c r="J756" s="1">
        <f>+SUMIFS('VOLCADO '!H:H,'VOLCADO '!C:C,'Produccion por productor'!A:A,'VOLCADO '!B:B,'Produccion por productor'!B:B,'VOLCADO '!I:I,'Produccion por productor'!C:C,'VOLCADO '!J:J,'Produccion por productor'!E:E)*370</f>
        <v>0</v>
      </c>
      <c r="M756" s="91" t="e">
        <f t="shared" si="58"/>
        <v>#DIV/0!</v>
      </c>
      <c r="N756" s="88" t="e">
        <f t="shared" si="55"/>
        <v>#DIV/0!</v>
      </c>
    </row>
    <row r="757" spans="6:14" x14ac:dyDescent="0.25">
      <c r="F757" s="1"/>
      <c r="G757" s="114">
        <f t="shared" si="56"/>
        <v>0</v>
      </c>
      <c r="H757" s="37">
        <f t="shared" si="57"/>
        <v>0</v>
      </c>
      <c r="I757">
        <f t="shared" si="59"/>
        <v>0</v>
      </c>
      <c r="J757" s="1">
        <f>+SUMIFS('VOLCADO '!H:H,'VOLCADO '!C:C,'Produccion por productor'!A:A,'VOLCADO '!B:B,'Produccion por productor'!B:B,'VOLCADO '!I:I,'Produccion por productor'!C:C,'VOLCADO '!J:J,'Produccion por productor'!E:E)*370</f>
        <v>0</v>
      </c>
      <c r="M757" s="91" t="e">
        <f t="shared" si="58"/>
        <v>#DIV/0!</v>
      </c>
      <c r="N757" s="88" t="e">
        <f t="shared" si="55"/>
        <v>#DIV/0!</v>
      </c>
    </row>
    <row r="758" spans="6:14" x14ac:dyDescent="0.25">
      <c r="F758" s="1"/>
      <c r="G758" s="114">
        <f t="shared" si="56"/>
        <v>0</v>
      </c>
      <c r="H758" s="37">
        <f t="shared" si="57"/>
        <v>0</v>
      </c>
      <c r="I758">
        <f t="shared" si="59"/>
        <v>0</v>
      </c>
      <c r="J758" s="1">
        <f>+SUMIFS('VOLCADO '!H:H,'VOLCADO '!C:C,'Produccion por productor'!A:A,'VOLCADO '!B:B,'Produccion por productor'!B:B,'VOLCADO '!I:I,'Produccion por productor'!C:C,'VOLCADO '!J:J,'Produccion por productor'!E:E)*370</f>
        <v>0</v>
      </c>
      <c r="M758" s="91" t="e">
        <f t="shared" si="58"/>
        <v>#DIV/0!</v>
      </c>
      <c r="N758" s="88" t="e">
        <f t="shared" si="55"/>
        <v>#DIV/0!</v>
      </c>
    </row>
    <row r="759" spans="6:14" x14ac:dyDescent="0.25">
      <c r="F759" s="1"/>
      <c r="G759" s="114">
        <f t="shared" si="56"/>
        <v>0</v>
      </c>
      <c r="H759" s="37">
        <f t="shared" si="57"/>
        <v>0</v>
      </c>
      <c r="I759">
        <f t="shared" si="59"/>
        <v>0</v>
      </c>
      <c r="J759" s="1">
        <f>+SUMIFS('VOLCADO '!H:H,'VOLCADO '!C:C,'Produccion por productor'!A:A,'VOLCADO '!B:B,'Produccion por productor'!B:B,'VOLCADO '!I:I,'Produccion por productor'!C:C,'VOLCADO '!J:J,'Produccion por productor'!E:E)*370</f>
        <v>0</v>
      </c>
      <c r="M759" s="91" t="e">
        <f t="shared" si="58"/>
        <v>#DIV/0!</v>
      </c>
      <c r="N759" s="88" t="e">
        <f t="shared" si="55"/>
        <v>#DIV/0!</v>
      </c>
    </row>
    <row r="760" spans="6:14" x14ac:dyDescent="0.25">
      <c r="F760" s="1"/>
      <c r="G760" s="114">
        <f t="shared" si="56"/>
        <v>0</v>
      </c>
      <c r="H760" s="37">
        <f t="shared" si="57"/>
        <v>0</v>
      </c>
      <c r="I760">
        <f t="shared" si="59"/>
        <v>0</v>
      </c>
      <c r="J760" s="1">
        <f>+SUMIFS('VOLCADO '!H:H,'VOLCADO '!C:C,'Produccion por productor'!A:A,'VOLCADO '!B:B,'Produccion por productor'!B:B,'VOLCADO '!I:I,'Produccion por productor'!C:C,'VOLCADO '!J:J,'Produccion por productor'!E:E)*370</f>
        <v>0</v>
      </c>
      <c r="M760" s="91" t="e">
        <f t="shared" si="58"/>
        <v>#DIV/0!</v>
      </c>
      <c r="N760" s="88" t="e">
        <f t="shared" si="55"/>
        <v>#DIV/0!</v>
      </c>
    </row>
    <row r="761" spans="6:14" x14ac:dyDescent="0.25">
      <c r="F761" s="1"/>
      <c r="G761" s="114">
        <f t="shared" si="56"/>
        <v>0</v>
      </c>
      <c r="H761" s="37">
        <f t="shared" si="57"/>
        <v>0</v>
      </c>
      <c r="I761">
        <f t="shared" si="59"/>
        <v>0</v>
      </c>
      <c r="J761" s="1">
        <f>+SUMIFS('VOLCADO '!H:H,'VOLCADO '!C:C,'Produccion por productor'!A:A,'VOLCADO '!B:B,'Produccion por productor'!B:B,'VOLCADO '!I:I,'Produccion por productor'!C:C,'VOLCADO '!J:J,'Produccion por productor'!E:E)*370</f>
        <v>0</v>
      </c>
      <c r="M761" s="91" t="e">
        <f t="shared" si="58"/>
        <v>#DIV/0!</v>
      </c>
      <c r="N761" s="88" t="e">
        <f t="shared" si="55"/>
        <v>#DIV/0!</v>
      </c>
    </row>
    <row r="762" spans="6:14" x14ac:dyDescent="0.25">
      <c r="F762" s="1"/>
      <c r="G762" s="114">
        <f t="shared" si="56"/>
        <v>0</v>
      </c>
      <c r="H762" s="37">
        <f t="shared" si="57"/>
        <v>0</v>
      </c>
      <c r="I762">
        <f t="shared" si="59"/>
        <v>0</v>
      </c>
      <c r="J762" s="1">
        <f>+SUMIFS('VOLCADO '!H:H,'VOLCADO '!C:C,'Produccion por productor'!A:A,'VOLCADO '!B:B,'Produccion por productor'!B:B,'VOLCADO '!I:I,'Produccion por productor'!C:C,'VOLCADO '!J:J,'Produccion por productor'!E:E)*370</f>
        <v>0</v>
      </c>
      <c r="M762" s="91" t="e">
        <f t="shared" si="58"/>
        <v>#DIV/0!</v>
      </c>
      <c r="N762" s="88" t="e">
        <f t="shared" si="55"/>
        <v>#DIV/0!</v>
      </c>
    </row>
    <row r="763" spans="6:14" x14ac:dyDescent="0.25">
      <c r="F763" s="1"/>
      <c r="G763" s="114">
        <f t="shared" si="56"/>
        <v>0</v>
      </c>
      <c r="H763" s="37">
        <f t="shared" si="57"/>
        <v>0</v>
      </c>
      <c r="I763">
        <f t="shared" si="59"/>
        <v>0</v>
      </c>
      <c r="J763" s="1">
        <f>+SUMIFS('VOLCADO '!H:H,'VOLCADO '!C:C,'Produccion por productor'!A:A,'VOLCADO '!B:B,'Produccion por productor'!B:B,'VOLCADO '!I:I,'Produccion por productor'!C:C,'VOLCADO '!J:J,'Produccion por productor'!E:E)*370</f>
        <v>0</v>
      </c>
      <c r="M763" s="91" t="e">
        <f t="shared" si="58"/>
        <v>#DIV/0!</v>
      </c>
      <c r="N763" s="88" t="e">
        <f t="shared" si="55"/>
        <v>#DIV/0!</v>
      </c>
    </row>
    <row r="764" spans="6:14" x14ac:dyDescent="0.25">
      <c r="F764" s="1"/>
      <c r="G764" s="114">
        <f t="shared" si="56"/>
        <v>0</v>
      </c>
      <c r="H764" s="37">
        <f t="shared" si="57"/>
        <v>0</v>
      </c>
      <c r="I764">
        <f t="shared" si="59"/>
        <v>0</v>
      </c>
      <c r="J764" s="1">
        <f>+SUMIFS('VOLCADO '!H:H,'VOLCADO '!C:C,'Produccion por productor'!A:A,'VOLCADO '!B:B,'Produccion por productor'!B:B,'VOLCADO '!I:I,'Produccion por productor'!C:C,'VOLCADO '!J:J,'Produccion por productor'!E:E)*370</f>
        <v>0</v>
      </c>
      <c r="M764" s="91" t="e">
        <f t="shared" si="58"/>
        <v>#DIV/0!</v>
      </c>
      <c r="N764" s="88" t="e">
        <f t="shared" si="55"/>
        <v>#DIV/0!</v>
      </c>
    </row>
    <row r="765" spans="6:14" x14ac:dyDescent="0.25">
      <c r="F765" s="1"/>
      <c r="G765" s="114">
        <f t="shared" si="56"/>
        <v>0</v>
      </c>
      <c r="H765" s="37">
        <f t="shared" si="57"/>
        <v>0</v>
      </c>
      <c r="I765">
        <f t="shared" si="59"/>
        <v>0</v>
      </c>
      <c r="J765" s="1">
        <f>+SUMIFS('VOLCADO '!H:H,'VOLCADO '!C:C,'Produccion por productor'!A:A,'VOLCADO '!B:B,'Produccion por productor'!B:B,'VOLCADO '!I:I,'Produccion por productor'!C:C,'VOLCADO '!J:J,'Produccion por productor'!E:E)*370</f>
        <v>0</v>
      </c>
      <c r="M765" s="91" t="e">
        <f t="shared" si="58"/>
        <v>#DIV/0!</v>
      </c>
      <c r="N765" s="88" t="e">
        <f t="shared" si="55"/>
        <v>#DIV/0!</v>
      </c>
    </row>
    <row r="766" spans="6:14" x14ac:dyDescent="0.25">
      <c r="F766" s="1"/>
      <c r="G766" s="114">
        <f t="shared" si="56"/>
        <v>0</v>
      </c>
      <c r="H766" s="37">
        <f t="shared" si="57"/>
        <v>0</v>
      </c>
      <c r="I766">
        <f t="shared" si="59"/>
        <v>0</v>
      </c>
      <c r="J766" s="1">
        <f>+SUMIFS('VOLCADO '!H:H,'VOLCADO '!C:C,'Produccion por productor'!A:A,'VOLCADO '!B:B,'Produccion por productor'!B:B,'VOLCADO '!I:I,'Produccion por productor'!C:C,'VOLCADO '!J:J,'Produccion por productor'!E:E)*370</f>
        <v>0</v>
      </c>
      <c r="M766" s="91" t="e">
        <f t="shared" si="58"/>
        <v>#DIV/0!</v>
      </c>
      <c r="N766" s="88" t="e">
        <f t="shared" si="55"/>
        <v>#DIV/0!</v>
      </c>
    </row>
    <row r="767" spans="6:14" x14ac:dyDescent="0.25">
      <c r="F767" s="1"/>
      <c r="G767" s="114">
        <f t="shared" si="56"/>
        <v>0</v>
      </c>
      <c r="H767" s="37">
        <f t="shared" si="57"/>
        <v>0</v>
      </c>
      <c r="I767">
        <f t="shared" si="59"/>
        <v>0</v>
      </c>
      <c r="J767" s="1">
        <f>+SUMIFS('VOLCADO '!H:H,'VOLCADO '!C:C,'Produccion por productor'!A:A,'VOLCADO '!B:B,'Produccion por productor'!B:B,'VOLCADO '!I:I,'Produccion por productor'!C:C,'VOLCADO '!J:J,'Produccion por productor'!E:E)*370</f>
        <v>0</v>
      </c>
      <c r="M767" s="91" t="e">
        <f t="shared" si="58"/>
        <v>#DIV/0!</v>
      </c>
      <c r="N767" s="88" t="e">
        <f t="shared" si="55"/>
        <v>#DIV/0!</v>
      </c>
    </row>
    <row r="768" spans="6:14" x14ac:dyDescent="0.25">
      <c r="F768" s="1"/>
      <c r="G768" s="114">
        <f t="shared" si="56"/>
        <v>0</v>
      </c>
      <c r="H768" s="37">
        <f t="shared" si="57"/>
        <v>0</v>
      </c>
      <c r="I768">
        <f t="shared" si="59"/>
        <v>0</v>
      </c>
      <c r="J768" s="1">
        <f>+SUMIFS('VOLCADO '!H:H,'VOLCADO '!C:C,'Produccion por productor'!A:A,'VOLCADO '!B:B,'Produccion por productor'!B:B,'VOLCADO '!I:I,'Produccion por productor'!C:C,'VOLCADO '!J:J,'Produccion por productor'!E:E)*370</f>
        <v>0</v>
      </c>
      <c r="M768" s="91" t="e">
        <f t="shared" si="58"/>
        <v>#DIV/0!</v>
      </c>
      <c r="N768" s="88" t="e">
        <f t="shared" si="55"/>
        <v>#DIV/0!</v>
      </c>
    </row>
    <row r="769" spans="6:14" x14ac:dyDescent="0.25">
      <c r="F769" s="1"/>
      <c r="G769" s="114">
        <f t="shared" si="56"/>
        <v>0</v>
      </c>
      <c r="H769" s="37">
        <f t="shared" si="57"/>
        <v>0</v>
      </c>
      <c r="I769">
        <f t="shared" si="59"/>
        <v>0</v>
      </c>
      <c r="J769" s="1">
        <f>+SUMIFS('VOLCADO '!H:H,'VOLCADO '!C:C,'Produccion por productor'!A:A,'VOLCADO '!B:B,'Produccion por productor'!B:B,'VOLCADO '!I:I,'Produccion por productor'!C:C,'VOLCADO '!J:J,'Produccion por productor'!E:E)*370</f>
        <v>0</v>
      </c>
      <c r="M769" s="91" t="e">
        <f t="shared" si="58"/>
        <v>#DIV/0!</v>
      </c>
      <c r="N769" s="88" t="e">
        <f t="shared" ref="N769:N832" si="60">+((F769+I769)/J769)*100</f>
        <v>#DIV/0!</v>
      </c>
    </row>
    <row r="770" spans="6:14" x14ac:dyDescent="0.25">
      <c r="F770" s="1"/>
      <c r="G770" s="114">
        <f t="shared" ref="G770:G833" si="61">+F770+I770</f>
        <v>0</v>
      </c>
      <c r="H770" s="37">
        <f t="shared" ref="H770:H833" si="62">+(F770*0.05)+F770</f>
        <v>0</v>
      </c>
      <c r="I770">
        <f t="shared" si="59"/>
        <v>0</v>
      </c>
      <c r="J770" s="1">
        <f>+SUMIFS('VOLCADO '!H:H,'VOLCADO '!C:C,'Produccion por productor'!A:A,'VOLCADO '!B:B,'Produccion por productor'!B:B,'VOLCADO '!I:I,'Produccion por productor'!C:C,'VOLCADO '!J:J,'Produccion por productor'!E:E)*370</f>
        <v>0</v>
      </c>
      <c r="M770" s="91" t="e">
        <f t="shared" si="58"/>
        <v>#DIV/0!</v>
      </c>
      <c r="N770" s="88" t="e">
        <f t="shared" si="60"/>
        <v>#DIV/0!</v>
      </c>
    </row>
    <row r="771" spans="6:14" x14ac:dyDescent="0.25">
      <c r="F771" s="1"/>
      <c r="G771" s="114">
        <f t="shared" si="61"/>
        <v>0</v>
      </c>
      <c r="H771" s="37">
        <f t="shared" si="62"/>
        <v>0</v>
      </c>
      <c r="I771">
        <f t="shared" si="59"/>
        <v>0</v>
      </c>
      <c r="J771" s="1">
        <f>+SUMIFS('VOLCADO '!H:H,'VOLCADO '!C:C,'Produccion por productor'!A:A,'VOLCADO '!B:B,'Produccion por productor'!B:B,'VOLCADO '!I:I,'Produccion por productor'!C:C,'VOLCADO '!J:J,'Produccion por productor'!E:E)*370</f>
        <v>0</v>
      </c>
      <c r="M771" s="91" t="e">
        <f t="shared" ref="M771:M834" si="63">+((H771+I771)/J771)*100</f>
        <v>#DIV/0!</v>
      </c>
      <c r="N771" s="88" t="e">
        <f t="shared" si="60"/>
        <v>#DIV/0!</v>
      </c>
    </row>
    <row r="772" spans="6:14" x14ac:dyDescent="0.25">
      <c r="F772" s="1"/>
      <c r="G772" s="114">
        <f t="shared" si="61"/>
        <v>0</v>
      </c>
      <c r="H772" s="37">
        <f t="shared" si="62"/>
        <v>0</v>
      </c>
      <c r="I772">
        <f t="shared" si="59"/>
        <v>0</v>
      </c>
      <c r="J772" s="1">
        <f>+SUMIFS('VOLCADO '!H:H,'VOLCADO '!C:C,'Produccion por productor'!A:A,'VOLCADO '!B:B,'Produccion por productor'!B:B,'VOLCADO '!I:I,'Produccion por productor'!C:C,'VOLCADO '!J:J,'Produccion por productor'!E:E)*370</f>
        <v>0</v>
      </c>
      <c r="M772" s="91" t="e">
        <f t="shared" si="63"/>
        <v>#DIV/0!</v>
      </c>
      <c r="N772" s="88" t="e">
        <f t="shared" si="60"/>
        <v>#DIV/0!</v>
      </c>
    </row>
    <row r="773" spans="6:14" x14ac:dyDescent="0.25">
      <c r="F773" s="1"/>
      <c r="G773" s="114">
        <f t="shared" si="61"/>
        <v>0</v>
      </c>
      <c r="H773" s="37">
        <f t="shared" si="62"/>
        <v>0</v>
      </c>
      <c r="I773">
        <f t="shared" si="59"/>
        <v>0</v>
      </c>
      <c r="J773" s="1">
        <f>+SUMIFS('VOLCADO '!H:H,'VOLCADO '!C:C,'Produccion por productor'!A:A,'VOLCADO '!B:B,'Produccion por productor'!B:B,'VOLCADO '!I:I,'Produccion por productor'!C:C,'VOLCADO '!J:J,'Produccion por productor'!E:E)*370</f>
        <v>0</v>
      </c>
      <c r="M773" s="91" t="e">
        <f t="shared" si="63"/>
        <v>#DIV/0!</v>
      </c>
      <c r="N773" s="88" t="e">
        <f t="shared" si="60"/>
        <v>#DIV/0!</v>
      </c>
    </row>
    <row r="774" spans="6:14" x14ac:dyDescent="0.25">
      <c r="F774" s="1"/>
      <c r="G774" s="114">
        <f t="shared" si="61"/>
        <v>0</v>
      </c>
      <c r="H774" s="37">
        <f t="shared" si="62"/>
        <v>0</v>
      </c>
      <c r="I774">
        <f t="shared" si="59"/>
        <v>0</v>
      </c>
      <c r="J774" s="1">
        <f>+SUMIFS('VOLCADO '!H:H,'VOLCADO '!C:C,'Produccion por productor'!A:A,'VOLCADO '!B:B,'Produccion por productor'!B:B,'VOLCADO '!I:I,'Produccion por productor'!C:C,'VOLCADO '!J:J,'Produccion por productor'!E:E)*370</f>
        <v>0</v>
      </c>
      <c r="M774" s="91" t="e">
        <f t="shared" si="63"/>
        <v>#DIV/0!</v>
      </c>
      <c r="N774" s="88" t="e">
        <f t="shared" si="60"/>
        <v>#DIV/0!</v>
      </c>
    </row>
    <row r="775" spans="6:14" x14ac:dyDescent="0.25">
      <c r="F775" s="1"/>
      <c r="G775" s="114">
        <f t="shared" si="61"/>
        <v>0</v>
      </c>
      <c r="H775" s="37">
        <f t="shared" si="62"/>
        <v>0</v>
      </c>
      <c r="I775">
        <f t="shared" si="59"/>
        <v>0</v>
      </c>
      <c r="J775" s="1">
        <f>+SUMIFS('VOLCADO '!H:H,'VOLCADO '!C:C,'Produccion por productor'!A:A,'VOLCADO '!B:B,'Produccion por productor'!B:B,'VOLCADO '!I:I,'Produccion por productor'!C:C,'VOLCADO '!J:J,'Produccion por productor'!E:E)*370</f>
        <v>0</v>
      </c>
      <c r="M775" s="91" t="e">
        <f t="shared" si="63"/>
        <v>#DIV/0!</v>
      </c>
      <c r="N775" s="88" t="e">
        <f t="shared" si="60"/>
        <v>#DIV/0!</v>
      </c>
    </row>
    <row r="776" spans="6:14" x14ac:dyDescent="0.25">
      <c r="F776" s="1"/>
      <c r="G776" s="114">
        <f t="shared" si="61"/>
        <v>0</v>
      </c>
      <c r="H776" s="37">
        <f t="shared" si="62"/>
        <v>0</v>
      </c>
      <c r="I776">
        <f t="shared" si="59"/>
        <v>0</v>
      </c>
      <c r="J776" s="1">
        <f>+SUMIFS('VOLCADO '!H:H,'VOLCADO '!C:C,'Produccion por productor'!A:A,'VOLCADO '!B:B,'Produccion por productor'!B:B,'VOLCADO '!I:I,'Produccion por productor'!C:C,'VOLCADO '!J:J,'Produccion por productor'!E:E)*370</f>
        <v>0</v>
      </c>
      <c r="M776" s="91" t="e">
        <f t="shared" si="63"/>
        <v>#DIV/0!</v>
      </c>
      <c r="N776" s="88" t="e">
        <f t="shared" si="60"/>
        <v>#DIV/0!</v>
      </c>
    </row>
    <row r="777" spans="6:14" x14ac:dyDescent="0.25">
      <c r="F777" s="1"/>
      <c r="G777" s="114">
        <f t="shared" si="61"/>
        <v>0</v>
      </c>
      <c r="H777" s="37">
        <f t="shared" si="62"/>
        <v>0</v>
      </c>
      <c r="I777">
        <f t="shared" si="59"/>
        <v>0</v>
      </c>
      <c r="J777" s="1">
        <f>+SUMIFS('VOLCADO '!H:H,'VOLCADO '!C:C,'Produccion por productor'!A:A,'VOLCADO '!B:B,'Produccion por productor'!B:B,'VOLCADO '!I:I,'Produccion por productor'!C:C,'VOLCADO '!J:J,'Produccion por productor'!E:E)*370</f>
        <v>0</v>
      </c>
      <c r="M777" s="91" t="e">
        <f t="shared" si="63"/>
        <v>#DIV/0!</v>
      </c>
      <c r="N777" s="88" t="e">
        <f t="shared" si="60"/>
        <v>#DIV/0!</v>
      </c>
    </row>
    <row r="778" spans="6:14" x14ac:dyDescent="0.25">
      <c r="F778" s="1"/>
      <c r="G778" s="114">
        <f t="shared" si="61"/>
        <v>0</v>
      </c>
      <c r="H778" s="37">
        <f t="shared" si="62"/>
        <v>0</v>
      </c>
      <c r="I778">
        <f t="shared" si="59"/>
        <v>0</v>
      </c>
      <c r="J778" s="1">
        <f>+SUMIFS('VOLCADO '!H:H,'VOLCADO '!C:C,'Produccion por productor'!A:A,'VOLCADO '!B:B,'Produccion por productor'!B:B,'VOLCADO '!I:I,'Produccion por productor'!C:C,'VOLCADO '!J:J,'Produccion por productor'!E:E)*370</f>
        <v>0</v>
      </c>
      <c r="M778" s="91" t="e">
        <f t="shared" si="63"/>
        <v>#DIV/0!</v>
      </c>
      <c r="N778" s="88" t="e">
        <f t="shared" si="60"/>
        <v>#DIV/0!</v>
      </c>
    </row>
    <row r="779" spans="6:14" x14ac:dyDescent="0.25">
      <c r="F779" s="1"/>
      <c r="G779" s="114">
        <f t="shared" si="61"/>
        <v>0</v>
      </c>
      <c r="H779" s="37">
        <f t="shared" si="62"/>
        <v>0</v>
      </c>
      <c r="I779">
        <f t="shared" si="59"/>
        <v>0</v>
      </c>
      <c r="J779" s="1">
        <f>+SUMIFS('VOLCADO '!H:H,'VOLCADO '!C:C,'Produccion por productor'!A:A,'VOLCADO '!B:B,'Produccion por productor'!B:B,'VOLCADO '!I:I,'Produccion por productor'!C:C,'VOLCADO '!J:J,'Produccion por productor'!E:E)*370</f>
        <v>0</v>
      </c>
      <c r="M779" s="91" t="e">
        <f t="shared" si="63"/>
        <v>#DIV/0!</v>
      </c>
      <c r="N779" s="88" t="e">
        <f t="shared" si="60"/>
        <v>#DIV/0!</v>
      </c>
    </row>
    <row r="780" spans="6:14" x14ac:dyDescent="0.25">
      <c r="F780" s="1"/>
      <c r="G780" s="114">
        <f t="shared" si="61"/>
        <v>0</v>
      </c>
      <c r="H780" s="37">
        <f t="shared" si="62"/>
        <v>0</v>
      </c>
      <c r="I780">
        <f t="shared" si="59"/>
        <v>0</v>
      </c>
      <c r="J780" s="1">
        <f>+SUMIFS('VOLCADO '!H:H,'VOLCADO '!C:C,'Produccion por productor'!A:A,'VOLCADO '!B:B,'Produccion por productor'!B:B,'VOLCADO '!I:I,'Produccion por productor'!C:C,'VOLCADO '!J:J,'Produccion por productor'!E:E)*370</f>
        <v>0</v>
      </c>
      <c r="M780" s="91" t="e">
        <f t="shared" si="63"/>
        <v>#DIV/0!</v>
      </c>
      <c r="N780" s="88" t="e">
        <f t="shared" si="60"/>
        <v>#DIV/0!</v>
      </c>
    </row>
    <row r="781" spans="6:14" x14ac:dyDescent="0.25">
      <c r="F781" s="1"/>
      <c r="G781" s="114">
        <f t="shared" si="61"/>
        <v>0</v>
      </c>
      <c r="H781" s="37">
        <f t="shared" si="62"/>
        <v>0</v>
      </c>
      <c r="I781">
        <f t="shared" si="59"/>
        <v>0</v>
      </c>
      <c r="J781" s="1">
        <f>+SUMIFS('VOLCADO '!H:H,'VOLCADO '!C:C,'Produccion por productor'!A:A,'VOLCADO '!B:B,'Produccion por productor'!B:B,'VOLCADO '!I:I,'Produccion por productor'!C:C,'VOLCADO '!J:J,'Produccion por productor'!E:E)*370</f>
        <v>0</v>
      </c>
      <c r="M781" s="91" t="e">
        <f t="shared" si="63"/>
        <v>#DIV/0!</v>
      </c>
      <c r="N781" s="88" t="e">
        <f t="shared" si="60"/>
        <v>#DIV/0!</v>
      </c>
    </row>
    <row r="782" spans="6:14" x14ac:dyDescent="0.25">
      <c r="F782" s="1"/>
      <c r="G782" s="114">
        <f t="shared" si="61"/>
        <v>0</v>
      </c>
      <c r="H782" s="37">
        <f t="shared" si="62"/>
        <v>0</v>
      </c>
      <c r="I782">
        <f t="shared" ref="I782:I845" si="64">+L782-K782</f>
        <v>0</v>
      </c>
      <c r="J782" s="1">
        <f>+SUMIFS('VOLCADO '!H:H,'VOLCADO '!C:C,'Produccion por productor'!A:A,'VOLCADO '!B:B,'Produccion por productor'!B:B,'VOLCADO '!I:I,'Produccion por productor'!C:C,'VOLCADO '!J:J,'Produccion por productor'!E:E)*370</f>
        <v>0</v>
      </c>
      <c r="M782" s="91" t="e">
        <f t="shared" si="63"/>
        <v>#DIV/0!</v>
      </c>
      <c r="N782" s="88" t="e">
        <f t="shared" si="60"/>
        <v>#DIV/0!</v>
      </c>
    </row>
    <row r="783" spans="6:14" x14ac:dyDescent="0.25">
      <c r="F783" s="1"/>
      <c r="G783" s="114">
        <f t="shared" si="61"/>
        <v>0</v>
      </c>
      <c r="H783" s="37">
        <f t="shared" si="62"/>
        <v>0</v>
      </c>
      <c r="I783">
        <f t="shared" si="64"/>
        <v>0</v>
      </c>
      <c r="J783" s="1">
        <f>+SUMIFS('VOLCADO '!H:H,'VOLCADO '!C:C,'Produccion por productor'!A:A,'VOLCADO '!B:B,'Produccion por productor'!B:B,'VOLCADO '!I:I,'Produccion por productor'!C:C,'VOLCADO '!J:J,'Produccion por productor'!E:E)*370</f>
        <v>0</v>
      </c>
      <c r="M783" s="91" t="e">
        <f t="shared" si="63"/>
        <v>#DIV/0!</v>
      </c>
      <c r="N783" s="88" t="e">
        <f t="shared" si="60"/>
        <v>#DIV/0!</v>
      </c>
    </row>
    <row r="784" spans="6:14" x14ac:dyDescent="0.25">
      <c r="F784" s="1"/>
      <c r="G784" s="114">
        <f t="shared" si="61"/>
        <v>0</v>
      </c>
      <c r="H784" s="37">
        <f t="shared" si="62"/>
        <v>0</v>
      </c>
      <c r="I784">
        <f t="shared" si="64"/>
        <v>0</v>
      </c>
      <c r="J784" s="1">
        <f>+SUMIFS('VOLCADO '!H:H,'VOLCADO '!C:C,'Produccion por productor'!A:A,'VOLCADO '!B:B,'Produccion por productor'!B:B,'VOLCADO '!I:I,'Produccion por productor'!C:C,'VOLCADO '!J:J,'Produccion por productor'!E:E)*370</f>
        <v>0</v>
      </c>
      <c r="M784" s="91" t="e">
        <f t="shared" si="63"/>
        <v>#DIV/0!</v>
      </c>
      <c r="N784" s="88" t="e">
        <f t="shared" si="60"/>
        <v>#DIV/0!</v>
      </c>
    </row>
    <row r="785" spans="6:14" x14ac:dyDescent="0.25">
      <c r="F785" s="1"/>
      <c r="G785" s="114">
        <f t="shared" si="61"/>
        <v>0</v>
      </c>
      <c r="H785" s="37">
        <f t="shared" si="62"/>
        <v>0</v>
      </c>
      <c r="I785">
        <f t="shared" si="64"/>
        <v>0</v>
      </c>
      <c r="J785" s="1">
        <f>+SUMIFS('VOLCADO '!H:H,'VOLCADO '!C:C,'Produccion por productor'!A:A,'VOLCADO '!B:B,'Produccion por productor'!B:B,'VOLCADO '!I:I,'Produccion por productor'!C:C,'VOLCADO '!J:J,'Produccion por productor'!E:E)*370</f>
        <v>0</v>
      </c>
      <c r="M785" s="91" t="e">
        <f t="shared" si="63"/>
        <v>#DIV/0!</v>
      </c>
      <c r="N785" s="88" t="e">
        <f t="shared" si="60"/>
        <v>#DIV/0!</v>
      </c>
    </row>
    <row r="786" spans="6:14" x14ac:dyDescent="0.25">
      <c r="F786" s="1"/>
      <c r="G786" s="114">
        <f t="shared" si="61"/>
        <v>0</v>
      </c>
      <c r="H786" s="37">
        <f t="shared" si="62"/>
        <v>0</v>
      </c>
      <c r="I786">
        <f t="shared" si="64"/>
        <v>0</v>
      </c>
      <c r="J786" s="1">
        <f>+SUMIFS('VOLCADO '!H:H,'VOLCADO '!C:C,'Produccion por productor'!A:A,'VOLCADO '!B:B,'Produccion por productor'!B:B,'VOLCADO '!I:I,'Produccion por productor'!C:C,'VOLCADO '!J:J,'Produccion por productor'!E:E)*370</f>
        <v>0</v>
      </c>
      <c r="M786" s="91" t="e">
        <f t="shared" si="63"/>
        <v>#DIV/0!</v>
      </c>
      <c r="N786" s="88" t="e">
        <f t="shared" si="60"/>
        <v>#DIV/0!</v>
      </c>
    </row>
    <row r="787" spans="6:14" x14ac:dyDescent="0.25">
      <c r="F787" s="1"/>
      <c r="G787" s="114">
        <f t="shared" si="61"/>
        <v>0</v>
      </c>
      <c r="H787" s="37">
        <f t="shared" si="62"/>
        <v>0</v>
      </c>
      <c r="I787">
        <f t="shared" si="64"/>
        <v>0</v>
      </c>
      <c r="J787" s="1">
        <f>+SUMIFS('VOLCADO '!H:H,'VOLCADO '!C:C,'Produccion por productor'!A:A,'VOLCADO '!B:B,'Produccion por productor'!B:B,'VOLCADO '!I:I,'Produccion por productor'!C:C,'VOLCADO '!J:J,'Produccion por productor'!E:E)*370</f>
        <v>0</v>
      </c>
      <c r="M787" s="91" t="e">
        <f t="shared" si="63"/>
        <v>#DIV/0!</v>
      </c>
      <c r="N787" s="88" t="e">
        <f t="shared" si="60"/>
        <v>#DIV/0!</v>
      </c>
    </row>
    <row r="788" spans="6:14" x14ac:dyDescent="0.25">
      <c r="F788" s="1"/>
      <c r="G788" s="114">
        <f t="shared" si="61"/>
        <v>0</v>
      </c>
      <c r="H788" s="37">
        <f t="shared" si="62"/>
        <v>0</v>
      </c>
      <c r="I788">
        <f t="shared" si="64"/>
        <v>0</v>
      </c>
      <c r="J788" s="1">
        <f>+SUMIFS('VOLCADO '!H:H,'VOLCADO '!C:C,'Produccion por productor'!A:A,'VOLCADO '!B:B,'Produccion por productor'!B:B,'VOLCADO '!I:I,'Produccion por productor'!C:C,'VOLCADO '!J:J,'Produccion por productor'!E:E)*370</f>
        <v>0</v>
      </c>
      <c r="M788" s="91" t="e">
        <f t="shared" si="63"/>
        <v>#DIV/0!</v>
      </c>
      <c r="N788" s="88" t="e">
        <f t="shared" si="60"/>
        <v>#DIV/0!</v>
      </c>
    </row>
    <row r="789" spans="6:14" x14ac:dyDescent="0.25">
      <c r="F789" s="1"/>
      <c r="G789" s="114">
        <f t="shared" si="61"/>
        <v>0</v>
      </c>
      <c r="H789" s="37">
        <f t="shared" si="62"/>
        <v>0</v>
      </c>
      <c r="I789">
        <f t="shared" si="64"/>
        <v>0</v>
      </c>
      <c r="J789" s="1">
        <f>+SUMIFS('VOLCADO '!H:H,'VOLCADO '!C:C,'Produccion por productor'!A:A,'VOLCADO '!B:B,'Produccion por productor'!B:B,'VOLCADO '!I:I,'Produccion por productor'!C:C,'VOLCADO '!J:J,'Produccion por productor'!E:E)*370</f>
        <v>0</v>
      </c>
      <c r="M789" s="91" t="e">
        <f t="shared" si="63"/>
        <v>#DIV/0!</v>
      </c>
      <c r="N789" s="88" t="e">
        <f t="shared" si="60"/>
        <v>#DIV/0!</v>
      </c>
    </row>
    <row r="790" spans="6:14" x14ac:dyDescent="0.25">
      <c r="F790" s="1"/>
      <c r="G790" s="114">
        <f t="shared" si="61"/>
        <v>0</v>
      </c>
      <c r="H790" s="37">
        <f t="shared" si="62"/>
        <v>0</v>
      </c>
      <c r="I790">
        <f t="shared" si="64"/>
        <v>0</v>
      </c>
      <c r="J790" s="1">
        <f>+SUMIFS('VOLCADO '!H:H,'VOLCADO '!C:C,'Produccion por productor'!A:A,'VOLCADO '!B:B,'Produccion por productor'!B:B,'VOLCADO '!I:I,'Produccion por productor'!C:C,'VOLCADO '!J:J,'Produccion por productor'!E:E)*370</f>
        <v>0</v>
      </c>
      <c r="M790" s="91" t="e">
        <f t="shared" si="63"/>
        <v>#DIV/0!</v>
      </c>
      <c r="N790" s="88" t="e">
        <f t="shared" si="60"/>
        <v>#DIV/0!</v>
      </c>
    </row>
    <row r="791" spans="6:14" x14ac:dyDescent="0.25">
      <c r="F791" s="1"/>
      <c r="G791" s="114">
        <f t="shared" si="61"/>
        <v>0</v>
      </c>
      <c r="H791" s="37">
        <f t="shared" si="62"/>
        <v>0</v>
      </c>
      <c r="I791">
        <f t="shared" si="64"/>
        <v>0</v>
      </c>
      <c r="J791" s="1">
        <f>+SUMIFS('VOLCADO '!H:H,'VOLCADO '!C:C,'Produccion por productor'!A:A,'VOLCADO '!B:B,'Produccion por productor'!B:B,'VOLCADO '!I:I,'Produccion por productor'!C:C,'VOLCADO '!J:J,'Produccion por productor'!E:E)*370</f>
        <v>0</v>
      </c>
      <c r="M791" s="91" t="e">
        <f t="shared" si="63"/>
        <v>#DIV/0!</v>
      </c>
      <c r="N791" s="88" t="e">
        <f t="shared" si="60"/>
        <v>#DIV/0!</v>
      </c>
    </row>
    <row r="792" spans="6:14" x14ac:dyDescent="0.25">
      <c r="F792" s="1"/>
      <c r="G792" s="114">
        <f t="shared" si="61"/>
        <v>0</v>
      </c>
      <c r="H792" s="37">
        <f t="shared" si="62"/>
        <v>0</v>
      </c>
      <c r="I792">
        <f t="shared" si="64"/>
        <v>0</v>
      </c>
      <c r="J792" s="1">
        <f>+SUMIFS('VOLCADO '!H:H,'VOLCADO '!C:C,'Produccion por productor'!A:A,'VOLCADO '!B:B,'Produccion por productor'!B:B,'VOLCADO '!I:I,'Produccion por productor'!C:C,'VOLCADO '!J:J,'Produccion por productor'!E:E)*370</f>
        <v>0</v>
      </c>
      <c r="M792" s="91" t="e">
        <f t="shared" si="63"/>
        <v>#DIV/0!</v>
      </c>
      <c r="N792" s="88" t="e">
        <f t="shared" si="60"/>
        <v>#DIV/0!</v>
      </c>
    </row>
    <row r="793" spans="6:14" x14ac:dyDescent="0.25">
      <c r="F793" s="1"/>
      <c r="G793" s="114">
        <f t="shared" si="61"/>
        <v>0</v>
      </c>
      <c r="H793" s="37">
        <f t="shared" si="62"/>
        <v>0</v>
      </c>
      <c r="I793">
        <f t="shared" si="64"/>
        <v>0</v>
      </c>
      <c r="J793" s="1">
        <f>+SUMIFS('VOLCADO '!H:H,'VOLCADO '!C:C,'Produccion por productor'!A:A,'VOLCADO '!B:B,'Produccion por productor'!B:B,'VOLCADO '!I:I,'Produccion por productor'!C:C,'VOLCADO '!J:J,'Produccion por productor'!E:E)*370</f>
        <v>0</v>
      </c>
      <c r="M793" s="91" t="e">
        <f t="shared" si="63"/>
        <v>#DIV/0!</v>
      </c>
      <c r="N793" s="88" t="e">
        <f t="shared" si="60"/>
        <v>#DIV/0!</v>
      </c>
    </row>
    <row r="794" spans="6:14" x14ac:dyDescent="0.25">
      <c r="F794" s="1"/>
      <c r="G794" s="114">
        <f t="shared" si="61"/>
        <v>0</v>
      </c>
      <c r="H794" s="37">
        <f t="shared" si="62"/>
        <v>0</v>
      </c>
      <c r="I794">
        <f t="shared" si="64"/>
        <v>0</v>
      </c>
      <c r="J794" s="1">
        <f>+SUMIFS('VOLCADO '!H:H,'VOLCADO '!C:C,'Produccion por productor'!A:A,'VOLCADO '!B:B,'Produccion por productor'!B:B,'VOLCADO '!I:I,'Produccion por productor'!C:C,'VOLCADO '!J:J,'Produccion por productor'!E:E)*370</f>
        <v>0</v>
      </c>
      <c r="M794" s="91" t="e">
        <f t="shared" si="63"/>
        <v>#DIV/0!</v>
      </c>
      <c r="N794" s="88" t="e">
        <f t="shared" si="60"/>
        <v>#DIV/0!</v>
      </c>
    </row>
    <row r="795" spans="6:14" x14ac:dyDescent="0.25">
      <c r="F795" s="1"/>
      <c r="G795" s="114">
        <f t="shared" si="61"/>
        <v>0</v>
      </c>
      <c r="H795" s="37">
        <f t="shared" si="62"/>
        <v>0</v>
      </c>
      <c r="I795">
        <f t="shared" si="64"/>
        <v>0</v>
      </c>
      <c r="J795" s="1">
        <f>+SUMIFS('VOLCADO '!H:H,'VOLCADO '!C:C,'Produccion por productor'!A:A,'VOLCADO '!B:B,'Produccion por productor'!B:B,'VOLCADO '!I:I,'Produccion por productor'!C:C,'VOLCADO '!J:J,'Produccion por productor'!E:E)*370</f>
        <v>0</v>
      </c>
      <c r="M795" s="91" t="e">
        <f t="shared" si="63"/>
        <v>#DIV/0!</v>
      </c>
      <c r="N795" s="88" t="e">
        <f t="shared" si="60"/>
        <v>#DIV/0!</v>
      </c>
    </row>
    <row r="796" spans="6:14" x14ac:dyDescent="0.25">
      <c r="F796" s="1"/>
      <c r="G796" s="114">
        <f t="shared" si="61"/>
        <v>0</v>
      </c>
      <c r="H796" s="37">
        <f t="shared" si="62"/>
        <v>0</v>
      </c>
      <c r="I796">
        <f t="shared" si="64"/>
        <v>0</v>
      </c>
      <c r="J796" s="1">
        <f>+SUMIFS('VOLCADO '!H:H,'VOLCADO '!C:C,'Produccion por productor'!A:A,'VOLCADO '!B:B,'Produccion por productor'!B:B,'VOLCADO '!I:I,'Produccion por productor'!C:C,'VOLCADO '!J:J,'Produccion por productor'!E:E)*370</f>
        <v>0</v>
      </c>
      <c r="M796" s="91" t="e">
        <f t="shared" si="63"/>
        <v>#DIV/0!</v>
      </c>
      <c r="N796" s="88" t="e">
        <f t="shared" si="60"/>
        <v>#DIV/0!</v>
      </c>
    </row>
    <row r="797" spans="6:14" x14ac:dyDescent="0.25">
      <c r="F797" s="1"/>
      <c r="G797" s="114">
        <f t="shared" si="61"/>
        <v>0</v>
      </c>
      <c r="H797" s="37">
        <f t="shared" si="62"/>
        <v>0</v>
      </c>
      <c r="I797">
        <f t="shared" si="64"/>
        <v>0</v>
      </c>
      <c r="J797" s="1">
        <f>+SUMIFS('VOLCADO '!H:H,'VOLCADO '!C:C,'Produccion por productor'!A:A,'VOLCADO '!B:B,'Produccion por productor'!B:B,'VOLCADO '!I:I,'Produccion por productor'!C:C,'VOLCADO '!J:J,'Produccion por productor'!E:E)*370</f>
        <v>0</v>
      </c>
      <c r="M797" s="91" t="e">
        <f t="shared" si="63"/>
        <v>#DIV/0!</v>
      </c>
      <c r="N797" s="88" t="e">
        <f t="shared" si="60"/>
        <v>#DIV/0!</v>
      </c>
    </row>
    <row r="798" spans="6:14" x14ac:dyDescent="0.25">
      <c r="F798" s="1"/>
      <c r="G798" s="114">
        <f t="shared" si="61"/>
        <v>0</v>
      </c>
      <c r="H798" s="37">
        <f t="shared" si="62"/>
        <v>0</v>
      </c>
      <c r="I798">
        <f t="shared" si="64"/>
        <v>0</v>
      </c>
      <c r="J798" s="1">
        <f>+SUMIFS('VOLCADO '!H:H,'VOLCADO '!C:C,'Produccion por productor'!A:A,'VOLCADO '!B:B,'Produccion por productor'!B:B,'VOLCADO '!I:I,'Produccion por productor'!C:C,'VOLCADO '!J:J,'Produccion por productor'!E:E)*370</f>
        <v>0</v>
      </c>
      <c r="M798" s="91" t="e">
        <f t="shared" si="63"/>
        <v>#DIV/0!</v>
      </c>
      <c r="N798" s="88" t="e">
        <f t="shared" si="60"/>
        <v>#DIV/0!</v>
      </c>
    </row>
    <row r="799" spans="6:14" x14ac:dyDescent="0.25">
      <c r="F799" s="1"/>
      <c r="G799" s="114">
        <f t="shared" si="61"/>
        <v>0</v>
      </c>
      <c r="H799" s="37">
        <f t="shared" si="62"/>
        <v>0</v>
      </c>
      <c r="I799">
        <f t="shared" si="64"/>
        <v>0</v>
      </c>
      <c r="J799" s="1">
        <f>+SUMIFS('VOLCADO '!H:H,'VOLCADO '!C:C,'Produccion por productor'!A:A,'VOLCADO '!B:B,'Produccion por productor'!B:B,'VOLCADO '!I:I,'Produccion por productor'!C:C,'VOLCADO '!J:J,'Produccion por productor'!E:E)*370</f>
        <v>0</v>
      </c>
      <c r="M799" s="91" t="e">
        <f t="shared" si="63"/>
        <v>#DIV/0!</v>
      </c>
      <c r="N799" s="88" t="e">
        <f t="shared" si="60"/>
        <v>#DIV/0!</v>
      </c>
    </row>
    <row r="800" spans="6:14" x14ac:dyDescent="0.25">
      <c r="F800" s="1"/>
      <c r="G800" s="114">
        <f t="shared" si="61"/>
        <v>0</v>
      </c>
      <c r="H800" s="37">
        <f t="shared" si="62"/>
        <v>0</v>
      </c>
      <c r="I800">
        <f t="shared" si="64"/>
        <v>0</v>
      </c>
      <c r="J800" s="1">
        <f>+SUMIFS('VOLCADO '!H:H,'VOLCADO '!C:C,'Produccion por productor'!A:A,'VOLCADO '!B:B,'Produccion por productor'!B:B,'VOLCADO '!I:I,'Produccion por productor'!C:C,'VOLCADO '!J:J,'Produccion por productor'!E:E)*370</f>
        <v>0</v>
      </c>
      <c r="M800" s="91" t="e">
        <f t="shared" si="63"/>
        <v>#DIV/0!</v>
      </c>
      <c r="N800" s="88" t="e">
        <f t="shared" si="60"/>
        <v>#DIV/0!</v>
      </c>
    </row>
    <row r="801" spans="6:14" x14ac:dyDescent="0.25">
      <c r="F801" s="1"/>
      <c r="G801" s="114">
        <f t="shared" si="61"/>
        <v>0</v>
      </c>
      <c r="H801" s="37">
        <f t="shared" si="62"/>
        <v>0</v>
      </c>
      <c r="I801">
        <f t="shared" si="64"/>
        <v>0</v>
      </c>
      <c r="J801" s="1">
        <f>+SUMIFS('VOLCADO '!H:H,'VOLCADO '!C:C,'Produccion por productor'!A:A,'VOLCADO '!B:B,'Produccion por productor'!B:B,'VOLCADO '!I:I,'Produccion por productor'!C:C,'VOLCADO '!J:J,'Produccion por productor'!E:E)*370</f>
        <v>0</v>
      </c>
      <c r="M801" s="91" t="e">
        <f t="shared" si="63"/>
        <v>#DIV/0!</v>
      </c>
      <c r="N801" s="88" t="e">
        <f t="shared" si="60"/>
        <v>#DIV/0!</v>
      </c>
    </row>
    <row r="802" spans="6:14" x14ac:dyDescent="0.25">
      <c r="F802" s="1"/>
      <c r="G802" s="114">
        <f t="shared" si="61"/>
        <v>0</v>
      </c>
      <c r="H802" s="37">
        <f t="shared" si="62"/>
        <v>0</v>
      </c>
      <c r="I802">
        <f t="shared" si="64"/>
        <v>0</v>
      </c>
      <c r="J802" s="1">
        <f>+SUMIFS('VOLCADO '!H:H,'VOLCADO '!C:C,'Produccion por productor'!A:A,'VOLCADO '!B:B,'Produccion por productor'!B:B,'VOLCADO '!I:I,'Produccion por productor'!C:C,'VOLCADO '!J:J,'Produccion por productor'!E:E)*370</f>
        <v>0</v>
      </c>
      <c r="M802" s="91" t="e">
        <f t="shared" si="63"/>
        <v>#DIV/0!</v>
      </c>
      <c r="N802" s="88" t="e">
        <f t="shared" si="60"/>
        <v>#DIV/0!</v>
      </c>
    </row>
    <row r="803" spans="6:14" x14ac:dyDescent="0.25">
      <c r="F803" s="1"/>
      <c r="G803" s="114">
        <f t="shared" si="61"/>
        <v>0</v>
      </c>
      <c r="H803" s="37">
        <f t="shared" si="62"/>
        <v>0</v>
      </c>
      <c r="I803">
        <f t="shared" si="64"/>
        <v>0</v>
      </c>
      <c r="J803" s="1">
        <f>+SUMIFS('VOLCADO '!H:H,'VOLCADO '!C:C,'Produccion por productor'!A:A,'VOLCADO '!B:B,'Produccion por productor'!B:B,'VOLCADO '!I:I,'Produccion por productor'!C:C,'VOLCADO '!J:J,'Produccion por productor'!E:E)*370</f>
        <v>0</v>
      </c>
      <c r="M803" s="91" t="e">
        <f t="shared" si="63"/>
        <v>#DIV/0!</v>
      </c>
      <c r="N803" s="88" t="e">
        <f t="shared" si="60"/>
        <v>#DIV/0!</v>
      </c>
    </row>
    <row r="804" spans="6:14" x14ac:dyDescent="0.25">
      <c r="F804" s="1"/>
      <c r="G804" s="114">
        <f t="shared" si="61"/>
        <v>0</v>
      </c>
      <c r="H804" s="37">
        <f t="shared" si="62"/>
        <v>0</v>
      </c>
      <c r="I804">
        <f t="shared" si="64"/>
        <v>0</v>
      </c>
      <c r="J804" s="1">
        <f>+SUMIFS('VOLCADO '!H:H,'VOLCADO '!C:C,'Produccion por productor'!A:A,'VOLCADO '!B:B,'Produccion por productor'!B:B,'VOLCADO '!I:I,'Produccion por productor'!C:C,'VOLCADO '!J:J,'Produccion por productor'!E:E)*370</f>
        <v>0</v>
      </c>
      <c r="M804" s="91" t="e">
        <f t="shared" si="63"/>
        <v>#DIV/0!</v>
      </c>
      <c r="N804" s="88" t="e">
        <f t="shared" si="60"/>
        <v>#DIV/0!</v>
      </c>
    </row>
    <row r="805" spans="6:14" x14ac:dyDescent="0.25">
      <c r="F805" s="1"/>
      <c r="G805" s="114">
        <f t="shared" si="61"/>
        <v>0</v>
      </c>
      <c r="H805" s="37">
        <f t="shared" si="62"/>
        <v>0</v>
      </c>
      <c r="I805">
        <f t="shared" si="64"/>
        <v>0</v>
      </c>
      <c r="J805" s="1">
        <f>+SUMIFS('VOLCADO '!H:H,'VOLCADO '!C:C,'Produccion por productor'!A:A,'VOLCADO '!B:B,'Produccion por productor'!B:B,'VOLCADO '!I:I,'Produccion por productor'!C:C,'VOLCADO '!J:J,'Produccion por productor'!E:E)*370</f>
        <v>0</v>
      </c>
      <c r="M805" s="91" t="e">
        <f t="shared" si="63"/>
        <v>#DIV/0!</v>
      </c>
      <c r="N805" s="88" t="e">
        <f t="shared" si="60"/>
        <v>#DIV/0!</v>
      </c>
    </row>
    <row r="806" spans="6:14" x14ac:dyDescent="0.25">
      <c r="F806" s="1"/>
      <c r="G806" s="114">
        <f t="shared" si="61"/>
        <v>0</v>
      </c>
      <c r="H806" s="37">
        <f t="shared" si="62"/>
        <v>0</v>
      </c>
      <c r="I806">
        <f t="shared" si="64"/>
        <v>0</v>
      </c>
      <c r="J806" s="1">
        <f>+SUMIFS('VOLCADO '!H:H,'VOLCADO '!C:C,'Produccion por productor'!A:A,'VOLCADO '!B:B,'Produccion por productor'!B:B,'VOLCADO '!I:I,'Produccion por productor'!C:C,'VOLCADO '!J:J,'Produccion por productor'!E:E)*370</f>
        <v>0</v>
      </c>
      <c r="M806" s="91" t="e">
        <f t="shared" si="63"/>
        <v>#DIV/0!</v>
      </c>
      <c r="N806" s="88" t="e">
        <f t="shared" si="60"/>
        <v>#DIV/0!</v>
      </c>
    </row>
    <row r="807" spans="6:14" x14ac:dyDescent="0.25">
      <c r="F807" s="1"/>
      <c r="G807" s="114">
        <f t="shared" si="61"/>
        <v>0</v>
      </c>
      <c r="H807" s="37">
        <f t="shared" si="62"/>
        <v>0</v>
      </c>
      <c r="I807">
        <f t="shared" si="64"/>
        <v>0</v>
      </c>
      <c r="J807" s="1">
        <f>+SUMIFS('VOLCADO '!H:H,'VOLCADO '!C:C,'Produccion por productor'!A:A,'VOLCADO '!B:B,'Produccion por productor'!B:B,'VOLCADO '!I:I,'Produccion por productor'!C:C,'VOLCADO '!J:J,'Produccion por productor'!E:E)*370</f>
        <v>0</v>
      </c>
      <c r="M807" s="91" t="e">
        <f t="shared" si="63"/>
        <v>#DIV/0!</v>
      </c>
      <c r="N807" s="88" t="e">
        <f t="shared" si="60"/>
        <v>#DIV/0!</v>
      </c>
    </row>
    <row r="808" spans="6:14" x14ac:dyDescent="0.25">
      <c r="F808" s="1"/>
      <c r="G808" s="114">
        <f t="shared" si="61"/>
        <v>0</v>
      </c>
      <c r="H808" s="37">
        <f t="shared" si="62"/>
        <v>0</v>
      </c>
      <c r="I808">
        <f t="shared" si="64"/>
        <v>0</v>
      </c>
      <c r="J808" s="1">
        <f>+SUMIFS('VOLCADO '!H:H,'VOLCADO '!C:C,'Produccion por productor'!A:A,'VOLCADO '!B:B,'Produccion por productor'!B:B,'VOLCADO '!I:I,'Produccion por productor'!C:C,'VOLCADO '!J:J,'Produccion por productor'!E:E)*370</f>
        <v>0</v>
      </c>
      <c r="M808" s="91" t="e">
        <f t="shared" si="63"/>
        <v>#DIV/0!</v>
      </c>
      <c r="N808" s="88" t="e">
        <f t="shared" si="60"/>
        <v>#DIV/0!</v>
      </c>
    </row>
    <row r="809" spans="6:14" x14ac:dyDescent="0.25">
      <c r="F809" s="1"/>
      <c r="G809" s="114">
        <f t="shared" si="61"/>
        <v>0</v>
      </c>
      <c r="H809" s="37">
        <f t="shared" si="62"/>
        <v>0</v>
      </c>
      <c r="I809">
        <f t="shared" si="64"/>
        <v>0</v>
      </c>
      <c r="J809" s="1">
        <f>+SUMIFS('VOLCADO '!H:H,'VOLCADO '!C:C,'Produccion por productor'!A:A,'VOLCADO '!B:B,'Produccion por productor'!B:B,'VOLCADO '!I:I,'Produccion por productor'!C:C,'VOLCADO '!J:J,'Produccion por productor'!E:E)*370</f>
        <v>0</v>
      </c>
      <c r="M809" s="91" t="e">
        <f t="shared" si="63"/>
        <v>#DIV/0!</v>
      </c>
      <c r="N809" s="88" t="e">
        <f t="shared" si="60"/>
        <v>#DIV/0!</v>
      </c>
    </row>
    <row r="810" spans="6:14" x14ac:dyDescent="0.25">
      <c r="F810" s="1"/>
      <c r="G810" s="114">
        <f t="shared" si="61"/>
        <v>0</v>
      </c>
      <c r="H810" s="37">
        <f t="shared" si="62"/>
        <v>0</v>
      </c>
      <c r="I810">
        <f t="shared" si="64"/>
        <v>0</v>
      </c>
      <c r="J810" s="1">
        <f>+SUMIFS('VOLCADO '!H:H,'VOLCADO '!C:C,'Produccion por productor'!A:A,'VOLCADO '!B:B,'Produccion por productor'!B:B,'VOLCADO '!I:I,'Produccion por productor'!C:C,'VOLCADO '!J:J,'Produccion por productor'!E:E)*370</f>
        <v>0</v>
      </c>
      <c r="M810" s="91" t="e">
        <f t="shared" si="63"/>
        <v>#DIV/0!</v>
      </c>
      <c r="N810" s="88" t="e">
        <f t="shared" si="60"/>
        <v>#DIV/0!</v>
      </c>
    </row>
    <row r="811" spans="6:14" x14ac:dyDescent="0.25">
      <c r="F811" s="1"/>
      <c r="G811" s="114">
        <f t="shared" si="61"/>
        <v>0</v>
      </c>
      <c r="H811" s="37">
        <f t="shared" si="62"/>
        <v>0</v>
      </c>
      <c r="I811">
        <f t="shared" si="64"/>
        <v>0</v>
      </c>
      <c r="J811" s="1">
        <f>+SUMIFS('VOLCADO '!H:H,'VOLCADO '!C:C,'Produccion por productor'!A:A,'VOLCADO '!B:B,'Produccion por productor'!B:B,'VOLCADO '!I:I,'Produccion por productor'!C:C,'VOLCADO '!J:J,'Produccion por productor'!E:E)*370</f>
        <v>0</v>
      </c>
      <c r="M811" s="91" t="e">
        <f t="shared" si="63"/>
        <v>#DIV/0!</v>
      </c>
      <c r="N811" s="88" t="e">
        <f t="shared" si="60"/>
        <v>#DIV/0!</v>
      </c>
    </row>
    <row r="812" spans="6:14" x14ac:dyDescent="0.25">
      <c r="F812" s="1"/>
      <c r="G812" s="114">
        <f t="shared" si="61"/>
        <v>0</v>
      </c>
      <c r="H812" s="37">
        <f t="shared" si="62"/>
        <v>0</v>
      </c>
      <c r="I812">
        <f t="shared" si="64"/>
        <v>0</v>
      </c>
      <c r="J812" s="1">
        <f>+SUMIFS('VOLCADO '!H:H,'VOLCADO '!C:C,'Produccion por productor'!A:A,'VOLCADO '!B:B,'Produccion por productor'!B:B,'VOLCADO '!I:I,'Produccion por productor'!C:C,'VOLCADO '!J:J,'Produccion por productor'!E:E)*370</f>
        <v>0</v>
      </c>
      <c r="M812" s="91" t="e">
        <f t="shared" si="63"/>
        <v>#DIV/0!</v>
      </c>
      <c r="N812" s="88" t="e">
        <f t="shared" si="60"/>
        <v>#DIV/0!</v>
      </c>
    </row>
    <row r="813" spans="6:14" x14ac:dyDescent="0.25">
      <c r="F813" s="1"/>
      <c r="G813" s="114">
        <f t="shared" si="61"/>
        <v>0</v>
      </c>
      <c r="H813" s="37">
        <f t="shared" si="62"/>
        <v>0</v>
      </c>
      <c r="I813">
        <f t="shared" si="64"/>
        <v>0</v>
      </c>
      <c r="J813" s="1">
        <f>+SUMIFS('VOLCADO '!H:H,'VOLCADO '!C:C,'Produccion por productor'!A:A,'VOLCADO '!B:B,'Produccion por productor'!B:B,'VOLCADO '!I:I,'Produccion por productor'!C:C,'VOLCADO '!J:J,'Produccion por productor'!E:E)*370</f>
        <v>0</v>
      </c>
      <c r="M813" s="91" t="e">
        <f t="shared" si="63"/>
        <v>#DIV/0!</v>
      </c>
      <c r="N813" s="88" t="e">
        <f t="shared" si="60"/>
        <v>#DIV/0!</v>
      </c>
    </row>
    <row r="814" spans="6:14" x14ac:dyDescent="0.25">
      <c r="F814" s="1"/>
      <c r="G814" s="114">
        <f t="shared" si="61"/>
        <v>0</v>
      </c>
      <c r="H814" s="37">
        <f t="shared" si="62"/>
        <v>0</v>
      </c>
      <c r="I814">
        <f t="shared" si="64"/>
        <v>0</v>
      </c>
      <c r="J814" s="1">
        <f>+SUMIFS('VOLCADO '!H:H,'VOLCADO '!C:C,'Produccion por productor'!A:A,'VOLCADO '!B:B,'Produccion por productor'!B:B,'VOLCADO '!I:I,'Produccion por productor'!C:C,'VOLCADO '!J:J,'Produccion por productor'!E:E)*370</f>
        <v>0</v>
      </c>
      <c r="M814" s="91" t="e">
        <f t="shared" si="63"/>
        <v>#DIV/0!</v>
      </c>
      <c r="N814" s="88" t="e">
        <f t="shared" si="60"/>
        <v>#DIV/0!</v>
      </c>
    </row>
    <row r="815" spans="6:14" x14ac:dyDescent="0.25">
      <c r="F815" s="1"/>
      <c r="G815" s="114">
        <f t="shared" si="61"/>
        <v>0</v>
      </c>
      <c r="H815" s="37">
        <f t="shared" si="62"/>
        <v>0</v>
      </c>
      <c r="I815">
        <f t="shared" si="64"/>
        <v>0</v>
      </c>
      <c r="J815" s="1">
        <f>+SUMIFS('VOLCADO '!H:H,'VOLCADO '!C:C,'Produccion por productor'!A:A,'VOLCADO '!B:B,'Produccion por productor'!B:B,'VOLCADO '!I:I,'Produccion por productor'!C:C,'VOLCADO '!J:J,'Produccion por productor'!E:E)*370</f>
        <v>0</v>
      </c>
      <c r="M815" s="91" t="e">
        <f t="shared" si="63"/>
        <v>#DIV/0!</v>
      </c>
      <c r="N815" s="88" t="e">
        <f t="shared" si="60"/>
        <v>#DIV/0!</v>
      </c>
    </row>
    <row r="816" spans="6:14" x14ac:dyDescent="0.25">
      <c r="F816" s="1"/>
      <c r="G816" s="114">
        <f t="shared" si="61"/>
        <v>0</v>
      </c>
      <c r="H816" s="37">
        <f t="shared" si="62"/>
        <v>0</v>
      </c>
      <c r="I816">
        <f t="shared" si="64"/>
        <v>0</v>
      </c>
      <c r="J816" s="1">
        <f>+SUMIFS('VOLCADO '!H:H,'VOLCADO '!C:C,'Produccion por productor'!A:A,'VOLCADO '!B:B,'Produccion por productor'!B:B,'VOLCADO '!I:I,'Produccion por productor'!C:C,'VOLCADO '!J:J,'Produccion por productor'!E:E)*370</f>
        <v>0</v>
      </c>
      <c r="M816" s="91" t="e">
        <f t="shared" si="63"/>
        <v>#DIV/0!</v>
      </c>
      <c r="N816" s="88" t="e">
        <f t="shared" si="60"/>
        <v>#DIV/0!</v>
      </c>
    </row>
    <row r="817" spans="6:14" x14ac:dyDescent="0.25">
      <c r="F817" s="1"/>
      <c r="G817" s="114">
        <f t="shared" si="61"/>
        <v>0</v>
      </c>
      <c r="H817" s="37">
        <f t="shared" si="62"/>
        <v>0</v>
      </c>
      <c r="I817">
        <f t="shared" si="64"/>
        <v>0</v>
      </c>
      <c r="J817" s="1">
        <f>+SUMIFS('VOLCADO '!H:H,'VOLCADO '!C:C,'Produccion por productor'!A:A,'VOLCADO '!B:B,'Produccion por productor'!B:B,'VOLCADO '!I:I,'Produccion por productor'!C:C,'VOLCADO '!J:J,'Produccion por productor'!E:E)*370</f>
        <v>0</v>
      </c>
      <c r="M817" s="91" t="e">
        <f t="shared" si="63"/>
        <v>#DIV/0!</v>
      </c>
      <c r="N817" s="88" t="e">
        <f t="shared" si="60"/>
        <v>#DIV/0!</v>
      </c>
    </row>
    <row r="818" spans="6:14" x14ac:dyDescent="0.25">
      <c r="F818" s="1"/>
      <c r="G818" s="114">
        <f t="shared" si="61"/>
        <v>0</v>
      </c>
      <c r="H818" s="37">
        <f t="shared" si="62"/>
        <v>0</v>
      </c>
      <c r="I818">
        <f t="shared" si="64"/>
        <v>0</v>
      </c>
      <c r="J818" s="1">
        <f>+SUMIFS('VOLCADO '!H:H,'VOLCADO '!C:C,'Produccion por productor'!A:A,'VOLCADO '!B:B,'Produccion por productor'!B:B,'VOLCADO '!I:I,'Produccion por productor'!C:C,'VOLCADO '!J:J,'Produccion por productor'!E:E)*370</f>
        <v>0</v>
      </c>
      <c r="M818" s="91" t="e">
        <f t="shared" si="63"/>
        <v>#DIV/0!</v>
      </c>
      <c r="N818" s="88" t="e">
        <f t="shared" si="60"/>
        <v>#DIV/0!</v>
      </c>
    </row>
    <row r="819" spans="6:14" x14ac:dyDescent="0.25">
      <c r="F819" s="1"/>
      <c r="G819" s="114">
        <f t="shared" si="61"/>
        <v>0</v>
      </c>
      <c r="H819" s="37">
        <f t="shared" si="62"/>
        <v>0</v>
      </c>
      <c r="I819">
        <f t="shared" si="64"/>
        <v>0</v>
      </c>
      <c r="J819" s="1">
        <f>+SUMIFS('VOLCADO '!H:H,'VOLCADO '!C:C,'Produccion por productor'!A:A,'VOLCADO '!B:B,'Produccion por productor'!B:B,'VOLCADO '!I:I,'Produccion por productor'!C:C,'VOLCADO '!J:J,'Produccion por productor'!E:E)*370</f>
        <v>0</v>
      </c>
      <c r="M819" s="91" t="e">
        <f t="shared" si="63"/>
        <v>#DIV/0!</v>
      </c>
      <c r="N819" s="88" t="e">
        <f t="shared" si="60"/>
        <v>#DIV/0!</v>
      </c>
    </row>
    <row r="820" spans="6:14" x14ac:dyDescent="0.25">
      <c r="F820" s="1"/>
      <c r="G820" s="114">
        <f t="shared" si="61"/>
        <v>0</v>
      </c>
      <c r="H820" s="37">
        <f t="shared" si="62"/>
        <v>0</v>
      </c>
      <c r="I820">
        <f t="shared" si="64"/>
        <v>0</v>
      </c>
      <c r="J820" s="1">
        <f>+SUMIFS('VOLCADO '!H:H,'VOLCADO '!C:C,'Produccion por productor'!A:A,'VOLCADO '!B:B,'Produccion por productor'!B:B,'VOLCADO '!I:I,'Produccion por productor'!C:C,'VOLCADO '!J:J,'Produccion por productor'!E:E)*370</f>
        <v>0</v>
      </c>
      <c r="M820" s="91" t="e">
        <f t="shared" si="63"/>
        <v>#DIV/0!</v>
      </c>
      <c r="N820" s="88" t="e">
        <f t="shared" si="60"/>
        <v>#DIV/0!</v>
      </c>
    </row>
    <row r="821" spans="6:14" x14ac:dyDescent="0.25">
      <c r="F821" s="1"/>
      <c r="G821" s="114">
        <f t="shared" si="61"/>
        <v>0</v>
      </c>
      <c r="H821" s="37">
        <f t="shared" si="62"/>
        <v>0</v>
      </c>
      <c r="I821">
        <f t="shared" si="64"/>
        <v>0</v>
      </c>
      <c r="J821" s="1">
        <f>+SUMIFS('VOLCADO '!H:H,'VOLCADO '!C:C,'Produccion por productor'!A:A,'VOLCADO '!B:B,'Produccion por productor'!B:B,'VOLCADO '!I:I,'Produccion por productor'!C:C,'VOLCADO '!J:J,'Produccion por productor'!E:E)*370</f>
        <v>0</v>
      </c>
      <c r="M821" s="91" t="e">
        <f t="shared" si="63"/>
        <v>#DIV/0!</v>
      </c>
      <c r="N821" s="88" t="e">
        <f t="shared" si="60"/>
        <v>#DIV/0!</v>
      </c>
    </row>
    <row r="822" spans="6:14" x14ac:dyDescent="0.25">
      <c r="F822" s="1"/>
      <c r="G822" s="114">
        <f t="shared" si="61"/>
        <v>0</v>
      </c>
      <c r="H822" s="37">
        <f t="shared" si="62"/>
        <v>0</v>
      </c>
      <c r="I822">
        <f t="shared" si="64"/>
        <v>0</v>
      </c>
      <c r="J822" s="1">
        <f>+SUMIFS('VOLCADO '!H:H,'VOLCADO '!C:C,'Produccion por productor'!A:A,'VOLCADO '!B:B,'Produccion por productor'!B:B,'VOLCADO '!I:I,'Produccion por productor'!C:C,'VOLCADO '!J:J,'Produccion por productor'!E:E)*370</f>
        <v>0</v>
      </c>
      <c r="M822" s="91" t="e">
        <f t="shared" si="63"/>
        <v>#DIV/0!</v>
      </c>
      <c r="N822" s="88" t="e">
        <f t="shared" si="60"/>
        <v>#DIV/0!</v>
      </c>
    </row>
    <row r="823" spans="6:14" x14ac:dyDescent="0.25">
      <c r="F823" s="1"/>
      <c r="G823" s="114">
        <f t="shared" si="61"/>
        <v>0</v>
      </c>
      <c r="H823" s="37">
        <f t="shared" si="62"/>
        <v>0</v>
      </c>
      <c r="I823">
        <f t="shared" si="64"/>
        <v>0</v>
      </c>
      <c r="J823" s="1">
        <f>+SUMIFS('VOLCADO '!H:H,'VOLCADO '!C:C,'Produccion por productor'!A:A,'VOLCADO '!B:B,'Produccion por productor'!B:B,'VOLCADO '!I:I,'Produccion por productor'!C:C,'VOLCADO '!J:J,'Produccion por productor'!E:E)*370</f>
        <v>0</v>
      </c>
      <c r="M823" s="91" t="e">
        <f t="shared" si="63"/>
        <v>#DIV/0!</v>
      </c>
      <c r="N823" s="88" t="e">
        <f t="shared" si="60"/>
        <v>#DIV/0!</v>
      </c>
    </row>
    <row r="824" spans="6:14" x14ac:dyDescent="0.25">
      <c r="F824" s="1"/>
      <c r="G824" s="114">
        <f t="shared" si="61"/>
        <v>0</v>
      </c>
      <c r="H824" s="37">
        <f t="shared" si="62"/>
        <v>0</v>
      </c>
      <c r="I824">
        <f t="shared" si="64"/>
        <v>0</v>
      </c>
      <c r="J824" s="1">
        <f>+SUMIFS('VOLCADO '!H:H,'VOLCADO '!C:C,'Produccion por productor'!A:A,'VOLCADO '!B:B,'Produccion por productor'!B:B,'VOLCADO '!I:I,'Produccion por productor'!C:C,'VOLCADO '!J:J,'Produccion por productor'!E:E)*370</f>
        <v>0</v>
      </c>
      <c r="M824" s="91" t="e">
        <f t="shared" si="63"/>
        <v>#DIV/0!</v>
      </c>
      <c r="N824" s="88" t="e">
        <f t="shared" si="60"/>
        <v>#DIV/0!</v>
      </c>
    </row>
    <row r="825" spans="6:14" x14ac:dyDescent="0.25">
      <c r="F825" s="1"/>
      <c r="G825" s="114">
        <f t="shared" si="61"/>
        <v>0</v>
      </c>
      <c r="H825" s="37">
        <f t="shared" si="62"/>
        <v>0</v>
      </c>
      <c r="I825">
        <f t="shared" si="64"/>
        <v>0</v>
      </c>
      <c r="J825" s="1">
        <f>+SUMIFS('VOLCADO '!H:H,'VOLCADO '!C:C,'Produccion por productor'!A:A,'VOLCADO '!B:B,'Produccion por productor'!B:B,'VOLCADO '!I:I,'Produccion por productor'!C:C,'VOLCADO '!J:J,'Produccion por productor'!E:E)*370</f>
        <v>0</v>
      </c>
      <c r="M825" s="91" t="e">
        <f t="shared" si="63"/>
        <v>#DIV/0!</v>
      </c>
      <c r="N825" s="88" t="e">
        <f t="shared" si="60"/>
        <v>#DIV/0!</v>
      </c>
    </row>
    <row r="826" spans="6:14" x14ac:dyDescent="0.25">
      <c r="F826" s="1"/>
      <c r="G826" s="114">
        <f t="shared" si="61"/>
        <v>0</v>
      </c>
      <c r="H826" s="37">
        <f t="shared" si="62"/>
        <v>0</v>
      </c>
      <c r="I826">
        <f t="shared" si="64"/>
        <v>0</v>
      </c>
      <c r="J826" s="1">
        <f>+SUMIFS('VOLCADO '!H:H,'VOLCADO '!C:C,'Produccion por productor'!A:A,'VOLCADO '!B:B,'Produccion por productor'!B:B,'VOLCADO '!I:I,'Produccion por productor'!C:C,'VOLCADO '!J:J,'Produccion por productor'!E:E)*370</f>
        <v>0</v>
      </c>
      <c r="M826" s="91" t="e">
        <f t="shared" si="63"/>
        <v>#DIV/0!</v>
      </c>
      <c r="N826" s="88" t="e">
        <f t="shared" si="60"/>
        <v>#DIV/0!</v>
      </c>
    </row>
    <row r="827" spans="6:14" x14ac:dyDescent="0.25">
      <c r="F827" s="1"/>
      <c r="G827" s="114">
        <f t="shared" si="61"/>
        <v>0</v>
      </c>
      <c r="H827" s="37">
        <f t="shared" si="62"/>
        <v>0</v>
      </c>
      <c r="I827">
        <f t="shared" si="64"/>
        <v>0</v>
      </c>
      <c r="J827" s="1">
        <f>+SUMIFS('VOLCADO '!H:H,'VOLCADO '!C:C,'Produccion por productor'!A:A,'VOLCADO '!B:B,'Produccion por productor'!B:B,'VOLCADO '!I:I,'Produccion por productor'!C:C,'VOLCADO '!J:J,'Produccion por productor'!E:E)*370</f>
        <v>0</v>
      </c>
      <c r="M827" s="91" t="e">
        <f t="shared" si="63"/>
        <v>#DIV/0!</v>
      </c>
      <c r="N827" s="88" t="e">
        <f t="shared" si="60"/>
        <v>#DIV/0!</v>
      </c>
    </row>
    <row r="828" spans="6:14" x14ac:dyDescent="0.25">
      <c r="F828" s="1"/>
      <c r="G828" s="114">
        <f t="shared" si="61"/>
        <v>0</v>
      </c>
      <c r="H828" s="37">
        <f t="shared" si="62"/>
        <v>0</v>
      </c>
      <c r="I828">
        <f t="shared" si="64"/>
        <v>0</v>
      </c>
      <c r="J828" s="1">
        <f>+SUMIFS('VOLCADO '!H:H,'VOLCADO '!C:C,'Produccion por productor'!A:A,'VOLCADO '!B:B,'Produccion por productor'!B:B,'VOLCADO '!I:I,'Produccion por productor'!C:C,'VOLCADO '!J:J,'Produccion por productor'!E:E)*370</f>
        <v>0</v>
      </c>
      <c r="M828" s="91" t="e">
        <f t="shared" si="63"/>
        <v>#DIV/0!</v>
      </c>
      <c r="N828" s="88" t="e">
        <f t="shared" si="60"/>
        <v>#DIV/0!</v>
      </c>
    </row>
    <row r="829" spans="6:14" x14ac:dyDescent="0.25">
      <c r="F829" s="1"/>
      <c r="G829" s="114">
        <f t="shared" si="61"/>
        <v>0</v>
      </c>
      <c r="H829" s="37">
        <f t="shared" si="62"/>
        <v>0</v>
      </c>
      <c r="I829">
        <f t="shared" si="64"/>
        <v>0</v>
      </c>
      <c r="J829" s="1">
        <f>+SUMIFS('VOLCADO '!H:H,'VOLCADO '!C:C,'Produccion por productor'!A:A,'VOLCADO '!B:B,'Produccion por productor'!B:B,'VOLCADO '!I:I,'Produccion por productor'!C:C,'VOLCADO '!J:J,'Produccion por productor'!E:E)*370</f>
        <v>0</v>
      </c>
      <c r="M829" s="91" t="e">
        <f t="shared" si="63"/>
        <v>#DIV/0!</v>
      </c>
      <c r="N829" s="88" t="e">
        <f t="shared" si="60"/>
        <v>#DIV/0!</v>
      </c>
    </row>
    <row r="830" spans="6:14" x14ac:dyDescent="0.25">
      <c r="F830" s="1"/>
      <c r="G830" s="114">
        <f t="shared" si="61"/>
        <v>0</v>
      </c>
      <c r="H830" s="37">
        <f t="shared" si="62"/>
        <v>0</v>
      </c>
      <c r="I830">
        <f t="shared" si="64"/>
        <v>0</v>
      </c>
      <c r="J830" s="1">
        <f>+SUMIFS('VOLCADO '!H:H,'VOLCADO '!C:C,'Produccion por productor'!A:A,'VOLCADO '!B:B,'Produccion por productor'!B:B,'VOLCADO '!I:I,'Produccion por productor'!C:C,'VOLCADO '!J:J,'Produccion por productor'!E:E)*370</f>
        <v>0</v>
      </c>
      <c r="M830" s="91" t="e">
        <f t="shared" si="63"/>
        <v>#DIV/0!</v>
      </c>
      <c r="N830" s="88" t="e">
        <f t="shared" si="60"/>
        <v>#DIV/0!</v>
      </c>
    </row>
    <row r="831" spans="6:14" x14ac:dyDescent="0.25">
      <c r="F831" s="1"/>
      <c r="G831" s="114">
        <f t="shared" si="61"/>
        <v>0</v>
      </c>
      <c r="H831" s="37">
        <f t="shared" si="62"/>
        <v>0</v>
      </c>
      <c r="I831">
        <f t="shared" si="64"/>
        <v>0</v>
      </c>
      <c r="J831" s="1">
        <f>+SUMIFS('VOLCADO '!H:H,'VOLCADO '!C:C,'Produccion por productor'!A:A,'VOLCADO '!B:B,'Produccion por productor'!B:B,'VOLCADO '!I:I,'Produccion por productor'!C:C,'VOLCADO '!J:J,'Produccion por productor'!E:E)*370</f>
        <v>0</v>
      </c>
      <c r="M831" s="91" t="e">
        <f t="shared" si="63"/>
        <v>#DIV/0!</v>
      </c>
      <c r="N831" s="88" t="e">
        <f t="shared" si="60"/>
        <v>#DIV/0!</v>
      </c>
    </row>
    <row r="832" spans="6:14" x14ac:dyDescent="0.25">
      <c r="F832" s="1"/>
      <c r="G832" s="114">
        <f t="shared" si="61"/>
        <v>0</v>
      </c>
      <c r="H832" s="37">
        <f t="shared" si="62"/>
        <v>0</v>
      </c>
      <c r="I832">
        <f t="shared" si="64"/>
        <v>0</v>
      </c>
      <c r="J832" s="1">
        <f>+SUMIFS('VOLCADO '!H:H,'VOLCADO '!C:C,'Produccion por productor'!A:A,'VOLCADO '!B:B,'Produccion por productor'!B:B,'VOLCADO '!I:I,'Produccion por productor'!C:C,'VOLCADO '!J:J,'Produccion por productor'!E:E)*370</f>
        <v>0</v>
      </c>
      <c r="M832" s="91" t="e">
        <f t="shared" si="63"/>
        <v>#DIV/0!</v>
      </c>
      <c r="N832" s="88" t="e">
        <f t="shared" si="60"/>
        <v>#DIV/0!</v>
      </c>
    </row>
    <row r="833" spans="6:14" x14ac:dyDescent="0.25">
      <c r="F833" s="1"/>
      <c r="G833" s="114">
        <f t="shared" si="61"/>
        <v>0</v>
      </c>
      <c r="H833" s="37">
        <f t="shared" si="62"/>
        <v>0</v>
      </c>
      <c r="I833">
        <f t="shared" si="64"/>
        <v>0</v>
      </c>
      <c r="J833" s="1">
        <f>+SUMIFS('VOLCADO '!H:H,'VOLCADO '!C:C,'Produccion por productor'!A:A,'VOLCADO '!B:B,'Produccion por productor'!B:B,'VOLCADO '!I:I,'Produccion por productor'!C:C,'VOLCADO '!J:J,'Produccion por productor'!E:E)*370</f>
        <v>0</v>
      </c>
      <c r="M833" s="91" t="e">
        <f t="shared" si="63"/>
        <v>#DIV/0!</v>
      </c>
      <c r="N833" s="88" t="e">
        <f t="shared" ref="N833:N896" si="65">+((F833+I833)/J833)*100</f>
        <v>#DIV/0!</v>
      </c>
    </row>
    <row r="834" spans="6:14" x14ac:dyDescent="0.25">
      <c r="F834" s="1"/>
      <c r="G834" s="114">
        <f t="shared" ref="G834:G897" si="66">+F834+I834</f>
        <v>0</v>
      </c>
      <c r="H834" s="37">
        <f t="shared" ref="H834:H897" si="67">+(F834*0.05)+F834</f>
        <v>0</v>
      </c>
      <c r="I834">
        <f t="shared" si="64"/>
        <v>0</v>
      </c>
      <c r="J834" s="1">
        <f>+SUMIFS('VOLCADO '!H:H,'VOLCADO '!C:C,'Produccion por productor'!A:A,'VOLCADO '!B:B,'Produccion por productor'!B:B,'VOLCADO '!I:I,'Produccion por productor'!C:C,'VOLCADO '!J:J,'Produccion por productor'!E:E)*370</f>
        <v>0</v>
      </c>
      <c r="M834" s="91" t="e">
        <f t="shared" si="63"/>
        <v>#DIV/0!</v>
      </c>
      <c r="N834" s="88" t="e">
        <f t="shared" si="65"/>
        <v>#DIV/0!</v>
      </c>
    </row>
    <row r="835" spans="6:14" x14ac:dyDescent="0.25">
      <c r="F835" s="1"/>
      <c r="G835" s="114">
        <f t="shared" si="66"/>
        <v>0</v>
      </c>
      <c r="H835" s="37">
        <f t="shared" si="67"/>
        <v>0</v>
      </c>
      <c r="I835">
        <f t="shared" si="64"/>
        <v>0</v>
      </c>
      <c r="J835" s="1">
        <f>+SUMIFS('VOLCADO '!H:H,'VOLCADO '!C:C,'Produccion por productor'!A:A,'VOLCADO '!B:B,'Produccion por productor'!B:B,'VOLCADO '!I:I,'Produccion por productor'!C:C,'VOLCADO '!J:J,'Produccion por productor'!E:E)*370</f>
        <v>0</v>
      </c>
      <c r="M835" s="91" t="e">
        <f t="shared" ref="M835:M898" si="68">+((H835+I835)/J835)*100</f>
        <v>#DIV/0!</v>
      </c>
      <c r="N835" s="88" t="e">
        <f t="shared" si="65"/>
        <v>#DIV/0!</v>
      </c>
    </row>
    <row r="836" spans="6:14" x14ac:dyDescent="0.25">
      <c r="F836" s="1"/>
      <c r="G836" s="114">
        <f t="shared" si="66"/>
        <v>0</v>
      </c>
      <c r="H836" s="37">
        <f t="shared" si="67"/>
        <v>0</v>
      </c>
      <c r="I836">
        <f t="shared" si="64"/>
        <v>0</v>
      </c>
      <c r="J836" s="1">
        <f>+SUMIFS('VOLCADO '!H:H,'VOLCADO '!C:C,'Produccion por productor'!A:A,'VOLCADO '!B:B,'Produccion por productor'!B:B,'VOLCADO '!I:I,'Produccion por productor'!C:C,'VOLCADO '!J:J,'Produccion por productor'!E:E)*370</f>
        <v>0</v>
      </c>
      <c r="M836" s="91" t="e">
        <f t="shared" si="68"/>
        <v>#DIV/0!</v>
      </c>
      <c r="N836" s="88" t="e">
        <f t="shared" si="65"/>
        <v>#DIV/0!</v>
      </c>
    </row>
    <row r="837" spans="6:14" x14ac:dyDescent="0.25">
      <c r="F837" s="1"/>
      <c r="G837" s="114">
        <f t="shared" si="66"/>
        <v>0</v>
      </c>
      <c r="H837" s="37">
        <f t="shared" si="67"/>
        <v>0</v>
      </c>
      <c r="I837">
        <f t="shared" si="64"/>
        <v>0</v>
      </c>
      <c r="J837" s="1">
        <f>+SUMIFS('VOLCADO '!H:H,'VOLCADO '!C:C,'Produccion por productor'!A:A,'VOLCADO '!B:B,'Produccion por productor'!B:B,'VOLCADO '!I:I,'Produccion por productor'!C:C,'VOLCADO '!J:J,'Produccion por productor'!E:E)*370</f>
        <v>0</v>
      </c>
      <c r="M837" s="91" t="e">
        <f t="shared" si="68"/>
        <v>#DIV/0!</v>
      </c>
      <c r="N837" s="88" t="e">
        <f t="shared" si="65"/>
        <v>#DIV/0!</v>
      </c>
    </row>
    <row r="838" spans="6:14" x14ac:dyDescent="0.25">
      <c r="F838" s="1"/>
      <c r="G838" s="114">
        <f t="shared" si="66"/>
        <v>0</v>
      </c>
      <c r="H838" s="37">
        <f t="shared" si="67"/>
        <v>0</v>
      </c>
      <c r="I838">
        <f t="shared" si="64"/>
        <v>0</v>
      </c>
      <c r="J838" s="1">
        <f>+SUMIFS('VOLCADO '!H:H,'VOLCADO '!C:C,'Produccion por productor'!A:A,'VOLCADO '!B:B,'Produccion por productor'!B:B,'VOLCADO '!I:I,'Produccion por productor'!C:C,'VOLCADO '!J:J,'Produccion por productor'!E:E)*370</f>
        <v>0</v>
      </c>
      <c r="M838" s="91" t="e">
        <f t="shared" si="68"/>
        <v>#DIV/0!</v>
      </c>
      <c r="N838" s="88" t="e">
        <f t="shared" si="65"/>
        <v>#DIV/0!</v>
      </c>
    </row>
    <row r="839" spans="6:14" x14ac:dyDescent="0.25">
      <c r="F839" s="1"/>
      <c r="G839" s="114">
        <f t="shared" si="66"/>
        <v>0</v>
      </c>
      <c r="H839" s="37">
        <f t="shared" si="67"/>
        <v>0</v>
      </c>
      <c r="I839">
        <f t="shared" si="64"/>
        <v>0</v>
      </c>
      <c r="J839" s="1">
        <f>+SUMIFS('VOLCADO '!H:H,'VOLCADO '!C:C,'Produccion por productor'!A:A,'VOLCADO '!B:B,'Produccion por productor'!B:B,'VOLCADO '!I:I,'Produccion por productor'!C:C,'VOLCADO '!J:J,'Produccion por productor'!E:E)*370</f>
        <v>0</v>
      </c>
      <c r="M839" s="91" t="e">
        <f t="shared" si="68"/>
        <v>#DIV/0!</v>
      </c>
      <c r="N839" s="88" t="e">
        <f t="shared" si="65"/>
        <v>#DIV/0!</v>
      </c>
    </row>
    <row r="840" spans="6:14" x14ac:dyDescent="0.25">
      <c r="F840" s="1"/>
      <c r="G840" s="114">
        <f t="shared" si="66"/>
        <v>0</v>
      </c>
      <c r="H840" s="37">
        <f t="shared" si="67"/>
        <v>0</v>
      </c>
      <c r="I840">
        <f t="shared" si="64"/>
        <v>0</v>
      </c>
      <c r="J840" s="1">
        <f>+SUMIFS('VOLCADO '!H:H,'VOLCADO '!C:C,'Produccion por productor'!A:A,'VOLCADO '!B:B,'Produccion por productor'!B:B,'VOLCADO '!I:I,'Produccion por productor'!C:C,'VOLCADO '!J:J,'Produccion por productor'!E:E)*370</f>
        <v>0</v>
      </c>
      <c r="M840" s="91" t="e">
        <f t="shared" si="68"/>
        <v>#DIV/0!</v>
      </c>
      <c r="N840" s="88" t="e">
        <f t="shared" si="65"/>
        <v>#DIV/0!</v>
      </c>
    </row>
    <row r="841" spans="6:14" x14ac:dyDescent="0.25">
      <c r="F841" s="1"/>
      <c r="G841" s="114">
        <f t="shared" si="66"/>
        <v>0</v>
      </c>
      <c r="H841" s="37">
        <f t="shared" si="67"/>
        <v>0</v>
      </c>
      <c r="I841">
        <f t="shared" si="64"/>
        <v>0</v>
      </c>
      <c r="J841" s="1">
        <f>+SUMIFS('VOLCADO '!H:H,'VOLCADO '!C:C,'Produccion por productor'!A:A,'VOLCADO '!B:B,'Produccion por productor'!B:B,'VOLCADO '!I:I,'Produccion por productor'!C:C,'VOLCADO '!J:J,'Produccion por productor'!E:E)*370</f>
        <v>0</v>
      </c>
      <c r="M841" s="91" t="e">
        <f t="shared" si="68"/>
        <v>#DIV/0!</v>
      </c>
      <c r="N841" s="88" t="e">
        <f t="shared" si="65"/>
        <v>#DIV/0!</v>
      </c>
    </row>
    <row r="842" spans="6:14" x14ac:dyDescent="0.25">
      <c r="F842" s="1"/>
      <c r="G842" s="114">
        <f t="shared" si="66"/>
        <v>0</v>
      </c>
      <c r="H842" s="37">
        <f t="shared" si="67"/>
        <v>0</v>
      </c>
      <c r="I842">
        <f t="shared" si="64"/>
        <v>0</v>
      </c>
      <c r="J842" s="1">
        <f>+SUMIFS('VOLCADO '!H:H,'VOLCADO '!C:C,'Produccion por productor'!A:A,'VOLCADO '!B:B,'Produccion por productor'!B:B,'VOLCADO '!I:I,'Produccion por productor'!C:C,'VOLCADO '!J:J,'Produccion por productor'!E:E)*370</f>
        <v>0</v>
      </c>
      <c r="M842" s="91" t="e">
        <f t="shared" si="68"/>
        <v>#DIV/0!</v>
      </c>
      <c r="N842" s="88" t="e">
        <f t="shared" si="65"/>
        <v>#DIV/0!</v>
      </c>
    </row>
    <row r="843" spans="6:14" x14ac:dyDescent="0.25">
      <c r="F843" s="1"/>
      <c r="G843" s="114">
        <f t="shared" si="66"/>
        <v>0</v>
      </c>
      <c r="H843" s="37">
        <f t="shared" si="67"/>
        <v>0</v>
      </c>
      <c r="I843">
        <f t="shared" si="64"/>
        <v>0</v>
      </c>
      <c r="J843" s="1">
        <f>+SUMIFS('VOLCADO '!H:H,'VOLCADO '!C:C,'Produccion por productor'!A:A,'VOLCADO '!B:B,'Produccion por productor'!B:B,'VOLCADO '!I:I,'Produccion por productor'!C:C,'VOLCADO '!J:J,'Produccion por productor'!E:E)*370</f>
        <v>0</v>
      </c>
      <c r="M843" s="91" t="e">
        <f t="shared" si="68"/>
        <v>#DIV/0!</v>
      </c>
      <c r="N843" s="88" t="e">
        <f t="shared" si="65"/>
        <v>#DIV/0!</v>
      </c>
    </row>
    <row r="844" spans="6:14" x14ac:dyDescent="0.25">
      <c r="F844" s="1"/>
      <c r="G844" s="114">
        <f t="shared" si="66"/>
        <v>0</v>
      </c>
      <c r="H844" s="37">
        <f t="shared" si="67"/>
        <v>0</v>
      </c>
      <c r="I844">
        <f t="shared" si="64"/>
        <v>0</v>
      </c>
      <c r="J844" s="1">
        <f>+SUMIFS('VOLCADO '!H:H,'VOLCADO '!C:C,'Produccion por productor'!A:A,'VOLCADO '!B:B,'Produccion por productor'!B:B,'VOLCADO '!I:I,'Produccion por productor'!C:C,'VOLCADO '!J:J,'Produccion por productor'!E:E)*370</f>
        <v>0</v>
      </c>
      <c r="M844" s="91" t="e">
        <f t="shared" si="68"/>
        <v>#DIV/0!</v>
      </c>
      <c r="N844" s="88" t="e">
        <f t="shared" si="65"/>
        <v>#DIV/0!</v>
      </c>
    </row>
    <row r="845" spans="6:14" x14ac:dyDescent="0.25">
      <c r="F845" s="1"/>
      <c r="G845" s="114">
        <f t="shared" si="66"/>
        <v>0</v>
      </c>
      <c r="H845" s="37">
        <f t="shared" si="67"/>
        <v>0</v>
      </c>
      <c r="I845">
        <f t="shared" si="64"/>
        <v>0</v>
      </c>
      <c r="J845" s="1">
        <f>+SUMIFS('VOLCADO '!H:H,'VOLCADO '!C:C,'Produccion por productor'!A:A,'VOLCADO '!B:B,'Produccion por productor'!B:B,'VOLCADO '!I:I,'Produccion por productor'!C:C,'VOLCADO '!J:J,'Produccion por productor'!E:E)*370</f>
        <v>0</v>
      </c>
      <c r="M845" s="91" t="e">
        <f t="shared" si="68"/>
        <v>#DIV/0!</v>
      </c>
      <c r="N845" s="88" t="e">
        <f t="shared" si="65"/>
        <v>#DIV/0!</v>
      </c>
    </row>
    <row r="846" spans="6:14" x14ac:dyDescent="0.25">
      <c r="F846" s="1"/>
      <c r="G846" s="114">
        <f t="shared" si="66"/>
        <v>0</v>
      </c>
      <c r="H846" s="37">
        <f t="shared" si="67"/>
        <v>0</v>
      </c>
      <c r="I846">
        <f t="shared" ref="I846:I909" si="69">+L846-K846</f>
        <v>0</v>
      </c>
      <c r="J846" s="1">
        <f>+SUMIFS('VOLCADO '!H:H,'VOLCADO '!C:C,'Produccion por productor'!A:A,'VOLCADO '!B:B,'Produccion por productor'!B:B,'VOLCADO '!I:I,'Produccion por productor'!C:C,'VOLCADO '!J:J,'Produccion por productor'!E:E)*370</f>
        <v>0</v>
      </c>
      <c r="M846" s="91" t="e">
        <f t="shared" si="68"/>
        <v>#DIV/0!</v>
      </c>
      <c r="N846" s="88" t="e">
        <f t="shared" si="65"/>
        <v>#DIV/0!</v>
      </c>
    </row>
    <row r="847" spans="6:14" x14ac:dyDescent="0.25">
      <c r="F847" s="1"/>
      <c r="G847" s="114">
        <f t="shared" si="66"/>
        <v>0</v>
      </c>
      <c r="H847" s="37">
        <f t="shared" si="67"/>
        <v>0</v>
      </c>
      <c r="I847">
        <f t="shared" si="69"/>
        <v>0</v>
      </c>
      <c r="J847" s="1">
        <f>+SUMIFS('VOLCADO '!H:H,'VOLCADO '!C:C,'Produccion por productor'!A:A,'VOLCADO '!B:B,'Produccion por productor'!B:B,'VOLCADO '!I:I,'Produccion por productor'!C:C,'VOLCADO '!J:J,'Produccion por productor'!E:E)*370</f>
        <v>0</v>
      </c>
      <c r="M847" s="91" t="e">
        <f t="shared" si="68"/>
        <v>#DIV/0!</v>
      </c>
      <c r="N847" s="88" t="e">
        <f t="shared" si="65"/>
        <v>#DIV/0!</v>
      </c>
    </row>
    <row r="848" spans="6:14" x14ac:dyDescent="0.25">
      <c r="F848" s="1"/>
      <c r="G848" s="114">
        <f t="shared" si="66"/>
        <v>0</v>
      </c>
      <c r="H848" s="37">
        <f t="shared" si="67"/>
        <v>0</v>
      </c>
      <c r="I848">
        <f t="shared" si="69"/>
        <v>0</v>
      </c>
      <c r="J848" s="1">
        <f>+SUMIFS('VOLCADO '!H:H,'VOLCADO '!C:C,'Produccion por productor'!A:A,'VOLCADO '!B:B,'Produccion por productor'!B:B,'VOLCADO '!I:I,'Produccion por productor'!C:C,'VOLCADO '!J:J,'Produccion por productor'!E:E)*370</f>
        <v>0</v>
      </c>
      <c r="M848" s="91" t="e">
        <f t="shared" si="68"/>
        <v>#DIV/0!</v>
      </c>
      <c r="N848" s="88" t="e">
        <f t="shared" si="65"/>
        <v>#DIV/0!</v>
      </c>
    </row>
    <row r="849" spans="6:14" x14ac:dyDescent="0.25">
      <c r="F849" s="1"/>
      <c r="G849" s="114">
        <f t="shared" si="66"/>
        <v>0</v>
      </c>
      <c r="H849" s="37">
        <f t="shared" si="67"/>
        <v>0</v>
      </c>
      <c r="I849">
        <f t="shared" si="69"/>
        <v>0</v>
      </c>
      <c r="J849" s="1">
        <f>+SUMIFS('VOLCADO '!H:H,'VOLCADO '!C:C,'Produccion por productor'!A:A,'VOLCADO '!B:B,'Produccion por productor'!B:B,'VOLCADO '!I:I,'Produccion por productor'!C:C,'VOLCADO '!J:J,'Produccion por productor'!E:E)*370</f>
        <v>0</v>
      </c>
      <c r="M849" s="91" t="e">
        <f t="shared" si="68"/>
        <v>#DIV/0!</v>
      </c>
      <c r="N849" s="88" t="e">
        <f t="shared" si="65"/>
        <v>#DIV/0!</v>
      </c>
    </row>
    <row r="850" spans="6:14" x14ac:dyDescent="0.25">
      <c r="F850" s="1"/>
      <c r="G850" s="114">
        <f t="shared" si="66"/>
        <v>0</v>
      </c>
      <c r="H850" s="37">
        <f t="shared" si="67"/>
        <v>0</v>
      </c>
      <c r="I850">
        <f t="shared" si="69"/>
        <v>0</v>
      </c>
      <c r="J850" s="1">
        <f>+SUMIFS('VOLCADO '!H:H,'VOLCADO '!C:C,'Produccion por productor'!A:A,'VOLCADO '!B:B,'Produccion por productor'!B:B,'VOLCADO '!I:I,'Produccion por productor'!C:C,'VOLCADO '!J:J,'Produccion por productor'!E:E)*370</f>
        <v>0</v>
      </c>
      <c r="M850" s="91" t="e">
        <f t="shared" si="68"/>
        <v>#DIV/0!</v>
      </c>
      <c r="N850" s="88" t="e">
        <f t="shared" si="65"/>
        <v>#DIV/0!</v>
      </c>
    </row>
    <row r="851" spans="6:14" x14ac:dyDescent="0.25">
      <c r="F851" s="1"/>
      <c r="G851" s="114">
        <f t="shared" si="66"/>
        <v>0</v>
      </c>
      <c r="H851" s="37">
        <f t="shared" si="67"/>
        <v>0</v>
      </c>
      <c r="I851">
        <f t="shared" si="69"/>
        <v>0</v>
      </c>
      <c r="J851" s="1">
        <f>+SUMIFS('VOLCADO '!H:H,'VOLCADO '!C:C,'Produccion por productor'!A:A,'VOLCADO '!B:B,'Produccion por productor'!B:B,'VOLCADO '!I:I,'Produccion por productor'!C:C,'VOLCADO '!J:J,'Produccion por productor'!E:E)*370</f>
        <v>0</v>
      </c>
      <c r="M851" s="91" t="e">
        <f t="shared" si="68"/>
        <v>#DIV/0!</v>
      </c>
      <c r="N851" s="88" t="e">
        <f t="shared" si="65"/>
        <v>#DIV/0!</v>
      </c>
    </row>
    <row r="852" spans="6:14" x14ac:dyDescent="0.25">
      <c r="F852" s="1"/>
      <c r="G852" s="114">
        <f t="shared" si="66"/>
        <v>0</v>
      </c>
      <c r="H852" s="37">
        <f t="shared" si="67"/>
        <v>0</v>
      </c>
      <c r="I852">
        <f t="shared" si="69"/>
        <v>0</v>
      </c>
      <c r="J852" s="1">
        <f>+SUMIFS('VOLCADO '!H:H,'VOLCADO '!C:C,'Produccion por productor'!A:A,'VOLCADO '!B:B,'Produccion por productor'!B:B,'VOLCADO '!I:I,'Produccion por productor'!C:C,'VOLCADO '!J:J,'Produccion por productor'!E:E)*370</f>
        <v>0</v>
      </c>
      <c r="M852" s="91" t="e">
        <f t="shared" si="68"/>
        <v>#DIV/0!</v>
      </c>
      <c r="N852" s="88" t="e">
        <f t="shared" si="65"/>
        <v>#DIV/0!</v>
      </c>
    </row>
    <row r="853" spans="6:14" x14ac:dyDescent="0.25">
      <c r="F853" s="1"/>
      <c r="G853" s="114">
        <f t="shared" si="66"/>
        <v>0</v>
      </c>
      <c r="H853" s="37">
        <f t="shared" si="67"/>
        <v>0</v>
      </c>
      <c r="I853">
        <f t="shared" si="69"/>
        <v>0</v>
      </c>
      <c r="J853" s="1">
        <f>+SUMIFS('VOLCADO '!H:H,'VOLCADO '!C:C,'Produccion por productor'!A:A,'VOLCADO '!B:B,'Produccion por productor'!B:B,'VOLCADO '!I:I,'Produccion por productor'!C:C,'VOLCADO '!J:J,'Produccion por productor'!E:E)*370</f>
        <v>0</v>
      </c>
      <c r="M853" s="91" t="e">
        <f t="shared" si="68"/>
        <v>#DIV/0!</v>
      </c>
      <c r="N853" s="88" t="e">
        <f t="shared" si="65"/>
        <v>#DIV/0!</v>
      </c>
    </row>
    <row r="854" spans="6:14" x14ac:dyDescent="0.25">
      <c r="F854" s="1"/>
      <c r="G854" s="114">
        <f t="shared" si="66"/>
        <v>0</v>
      </c>
      <c r="H854" s="37">
        <f t="shared" si="67"/>
        <v>0</v>
      </c>
      <c r="I854">
        <f t="shared" si="69"/>
        <v>0</v>
      </c>
      <c r="J854" s="1">
        <f>+SUMIFS('VOLCADO '!H:H,'VOLCADO '!C:C,'Produccion por productor'!A:A,'VOLCADO '!B:B,'Produccion por productor'!B:B,'VOLCADO '!I:I,'Produccion por productor'!C:C,'VOLCADO '!J:J,'Produccion por productor'!E:E)*370</f>
        <v>0</v>
      </c>
      <c r="M854" s="91" t="e">
        <f t="shared" si="68"/>
        <v>#DIV/0!</v>
      </c>
      <c r="N854" s="88" t="e">
        <f t="shared" si="65"/>
        <v>#DIV/0!</v>
      </c>
    </row>
    <row r="855" spans="6:14" x14ac:dyDescent="0.25">
      <c r="F855" s="1"/>
      <c r="G855" s="114">
        <f t="shared" si="66"/>
        <v>0</v>
      </c>
      <c r="H855" s="37">
        <f t="shared" si="67"/>
        <v>0</v>
      </c>
      <c r="I855">
        <f t="shared" si="69"/>
        <v>0</v>
      </c>
      <c r="J855" s="1">
        <f>+SUMIFS('VOLCADO '!H:H,'VOLCADO '!C:C,'Produccion por productor'!A:A,'VOLCADO '!B:B,'Produccion por productor'!B:B,'VOLCADO '!I:I,'Produccion por productor'!C:C,'VOLCADO '!J:J,'Produccion por productor'!E:E)*370</f>
        <v>0</v>
      </c>
      <c r="M855" s="91" t="e">
        <f t="shared" si="68"/>
        <v>#DIV/0!</v>
      </c>
      <c r="N855" s="88" t="e">
        <f t="shared" si="65"/>
        <v>#DIV/0!</v>
      </c>
    </row>
    <row r="856" spans="6:14" x14ac:dyDescent="0.25">
      <c r="F856" s="1"/>
      <c r="G856" s="114">
        <f t="shared" si="66"/>
        <v>0</v>
      </c>
      <c r="H856" s="37">
        <f t="shared" si="67"/>
        <v>0</v>
      </c>
      <c r="I856">
        <f t="shared" si="69"/>
        <v>0</v>
      </c>
      <c r="J856" s="1">
        <f>+SUMIFS('VOLCADO '!H:H,'VOLCADO '!C:C,'Produccion por productor'!A:A,'VOLCADO '!B:B,'Produccion por productor'!B:B,'VOLCADO '!I:I,'Produccion por productor'!C:C,'VOLCADO '!J:J,'Produccion por productor'!E:E)*370</f>
        <v>0</v>
      </c>
      <c r="M856" s="91" t="e">
        <f t="shared" si="68"/>
        <v>#DIV/0!</v>
      </c>
      <c r="N856" s="88" t="e">
        <f t="shared" si="65"/>
        <v>#DIV/0!</v>
      </c>
    </row>
    <row r="857" spans="6:14" x14ac:dyDescent="0.25">
      <c r="F857" s="1"/>
      <c r="G857" s="114">
        <f t="shared" si="66"/>
        <v>0</v>
      </c>
      <c r="H857" s="37">
        <f t="shared" si="67"/>
        <v>0</v>
      </c>
      <c r="I857">
        <f t="shared" si="69"/>
        <v>0</v>
      </c>
      <c r="J857" s="1">
        <f>+SUMIFS('VOLCADO '!H:H,'VOLCADO '!C:C,'Produccion por productor'!A:A,'VOLCADO '!B:B,'Produccion por productor'!B:B,'VOLCADO '!I:I,'Produccion por productor'!C:C,'VOLCADO '!J:J,'Produccion por productor'!E:E)*370</f>
        <v>0</v>
      </c>
      <c r="M857" s="91" t="e">
        <f t="shared" si="68"/>
        <v>#DIV/0!</v>
      </c>
      <c r="N857" s="88" t="e">
        <f t="shared" si="65"/>
        <v>#DIV/0!</v>
      </c>
    </row>
    <row r="858" spans="6:14" x14ac:dyDescent="0.25">
      <c r="F858" s="1"/>
      <c r="G858" s="114">
        <f t="shared" si="66"/>
        <v>0</v>
      </c>
      <c r="H858" s="37">
        <f t="shared" si="67"/>
        <v>0</v>
      </c>
      <c r="I858">
        <f t="shared" si="69"/>
        <v>0</v>
      </c>
      <c r="J858" s="1">
        <f>+SUMIFS('VOLCADO '!H:H,'VOLCADO '!C:C,'Produccion por productor'!A:A,'VOLCADO '!B:B,'Produccion por productor'!B:B,'VOLCADO '!I:I,'Produccion por productor'!C:C,'VOLCADO '!J:J,'Produccion por productor'!E:E)*370</f>
        <v>0</v>
      </c>
      <c r="M858" s="91" t="e">
        <f t="shared" si="68"/>
        <v>#DIV/0!</v>
      </c>
      <c r="N858" s="88" t="e">
        <f t="shared" si="65"/>
        <v>#DIV/0!</v>
      </c>
    </row>
    <row r="859" spans="6:14" x14ac:dyDescent="0.25">
      <c r="F859" s="1"/>
      <c r="G859" s="114">
        <f t="shared" si="66"/>
        <v>0</v>
      </c>
      <c r="H859" s="37">
        <f t="shared" si="67"/>
        <v>0</v>
      </c>
      <c r="I859">
        <f t="shared" si="69"/>
        <v>0</v>
      </c>
      <c r="J859" s="1">
        <f>+SUMIFS('VOLCADO '!H:H,'VOLCADO '!C:C,'Produccion por productor'!A:A,'VOLCADO '!B:B,'Produccion por productor'!B:B,'VOLCADO '!I:I,'Produccion por productor'!C:C,'VOLCADO '!J:J,'Produccion por productor'!E:E)*370</f>
        <v>0</v>
      </c>
      <c r="M859" s="91" t="e">
        <f t="shared" si="68"/>
        <v>#DIV/0!</v>
      </c>
      <c r="N859" s="88" t="e">
        <f t="shared" si="65"/>
        <v>#DIV/0!</v>
      </c>
    </row>
    <row r="860" spans="6:14" x14ac:dyDescent="0.25">
      <c r="F860" s="1"/>
      <c r="G860" s="114">
        <f t="shared" si="66"/>
        <v>0</v>
      </c>
      <c r="H860" s="37">
        <f t="shared" si="67"/>
        <v>0</v>
      </c>
      <c r="I860">
        <f t="shared" si="69"/>
        <v>0</v>
      </c>
      <c r="J860" s="1">
        <f>+SUMIFS('VOLCADO '!H:H,'VOLCADO '!C:C,'Produccion por productor'!A:A,'VOLCADO '!B:B,'Produccion por productor'!B:B,'VOLCADO '!I:I,'Produccion por productor'!C:C,'VOLCADO '!J:J,'Produccion por productor'!E:E)*370</f>
        <v>0</v>
      </c>
      <c r="M860" s="91" t="e">
        <f t="shared" si="68"/>
        <v>#DIV/0!</v>
      </c>
      <c r="N860" s="88" t="e">
        <f t="shared" si="65"/>
        <v>#DIV/0!</v>
      </c>
    </row>
    <row r="861" spans="6:14" x14ac:dyDescent="0.25">
      <c r="F861" s="1"/>
      <c r="G861" s="114">
        <f t="shared" si="66"/>
        <v>0</v>
      </c>
      <c r="H861" s="37">
        <f t="shared" si="67"/>
        <v>0</v>
      </c>
      <c r="I861">
        <f t="shared" si="69"/>
        <v>0</v>
      </c>
      <c r="J861" s="1">
        <f>+SUMIFS('VOLCADO '!H:H,'VOLCADO '!C:C,'Produccion por productor'!A:A,'VOLCADO '!B:B,'Produccion por productor'!B:B,'VOLCADO '!I:I,'Produccion por productor'!C:C,'VOLCADO '!J:J,'Produccion por productor'!E:E)*370</f>
        <v>0</v>
      </c>
      <c r="M861" s="91" t="e">
        <f t="shared" si="68"/>
        <v>#DIV/0!</v>
      </c>
      <c r="N861" s="88" t="e">
        <f t="shared" si="65"/>
        <v>#DIV/0!</v>
      </c>
    </row>
    <row r="862" spans="6:14" x14ac:dyDescent="0.25">
      <c r="F862" s="1"/>
      <c r="G862" s="114">
        <f t="shared" si="66"/>
        <v>0</v>
      </c>
      <c r="H862" s="37">
        <f t="shared" si="67"/>
        <v>0</v>
      </c>
      <c r="I862">
        <f t="shared" si="69"/>
        <v>0</v>
      </c>
      <c r="J862" s="1">
        <f>+SUMIFS('VOLCADO '!H:H,'VOLCADO '!C:C,'Produccion por productor'!A:A,'VOLCADO '!B:B,'Produccion por productor'!B:B,'VOLCADO '!I:I,'Produccion por productor'!C:C,'VOLCADO '!J:J,'Produccion por productor'!E:E)*370</f>
        <v>0</v>
      </c>
      <c r="M862" s="91" t="e">
        <f t="shared" si="68"/>
        <v>#DIV/0!</v>
      </c>
      <c r="N862" s="88" t="e">
        <f t="shared" si="65"/>
        <v>#DIV/0!</v>
      </c>
    </row>
    <row r="863" spans="6:14" x14ac:dyDescent="0.25">
      <c r="F863" s="1"/>
      <c r="G863" s="114">
        <f t="shared" si="66"/>
        <v>0</v>
      </c>
      <c r="H863" s="37">
        <f t="shared" si="67"/>
        <v>0</v>
      </c>
      <c r="I863">
        <f t="shared" si="69"/>
        <v>0</v>
      </c>
      <c r="J863" s="1">
        <f>+SUMIFS('VOLCADO '!H:H,'VOLCADO '!C:C,'Produccion por productor'!A:A,'VOLCADO '!B:B,'Produccion por productor'!B:B,'VOLCADO '!I:I,'Produccion por productor'!C:C,'VOLCADO '!J:J,'Produccion por productor'!E:E)*370</f>
        <v>0</v>
      </c>
      <c r="M863" s="91" t="e">
        <f t="shared" si="68"/>
        <v>#DIV/0!</v>
      </c>
      <c r="N863" s="88" t="e">
        <f t="shared" si="65"/>
        <v>#DIV/0!</v>
      </c>
    </row>
    <row r="864" spans="6:14" x14ac:dyDescent="0.25">
      <c r="F864" s="1"/>
      <c r="G864" s="114">
        <f t="shared" si="66"/>
        <v>0</v>
      </c>
      <c r="H864" s="37">
        <f t="shared" si="67"/>
        <v>0</v>
      </c>
      <c r="I864">
        <f t="shared" si="69"/>
        <v>0</v>
      </c>
      <c r="J864" s="1">
        <f>+SUMIFS('VOLCADO '!H:H,'VOLCADO '!C:C,'Produccion por productor'!A:A,'VOLCADO '!B:B,'Produccion por productor'!B:B,'VOLCADO '!I:I,'Produccion por productor'!C:C,'VOLCADO '!J:J,'Produccion por productor'!E:E)*370</f>
        <v>0</v>
      </c>
      <c r="M864" s="91" t="e">
        <f t="shared" si="68"/>
        <v>#DIV/0!</v>
      </c>
      <c r="N864" s="88" t="e">
        <f t="shared" si="65"/>
        <v>#DIV/0!</v>
      </c>
    </row>
    <row r="865" spans="6:14" x14ac:dyDescent="0.25">
      <c r="F865" s="1"/>
      <c r="G865" s="114">
        <f t="shared" si="66"/>
        <v>0</v>
      </c>
      <c r="H865" s="37">
        <f t="shared" si="67"/>
        <v>0</v>
      </c>
      <c r="I865">
        <f t="shared" si="69"/>
        <v>0</v>
      </c>
      <c r="J865" s="1">
        <f>+SUMIFS('VOLCADO '!H:H,'VOLCADO '!C:C,'Produccion por productor'!A:A,'VOLCADO '!B:B,'Produccion por productor'!B:B,'VOLCADO '!I:I,'Produccion por productor'!C:C,'VOLCADO '!J:J,'Produccion por productor'!E:E)*370</f>
        <v>0</v>
      </c>
      <c r="M865" s="91" t="e">
        <f t="shared" si="68"/>
        <v>#DIV/0!</v>
      </c>
      <c r="N865" s="88" t="e">
        <f t="shared" si="65"/>
        <v>#DIV/0!</v>
      </c>
    </row>
    <row r="866" spans="6:14" x14ac:dyDescent="0.25">
      <c r="F866" s="1"/>
      <c r="G866" s="114">
        <f t="shared" si="66"/>
        <v>0</v>
      </c>
      <c r="H866" s="37">
        <f t="shared" si="67"/>
        <v>0</v>
      </c>
      <c r="I866">
        <f t="shared" si="69"/>
        <v>0</v>
      </c>
      <c r="J866" s="1">
        <f>+SUMIFS('VOLCADO '!H:H,'VOLCADO '!C:C,'Produccion por productor'!A:A,'VOLCADO '!B:B,'Produccion por productor'!B:B,'VOLCADO '!I:I,'Produccion por productor'!C:C,'VOLCADO '!J:J,'Produccion por productor'!E:E)*370</f>
        <v>0</v>
      </c>
      <c r="M866" s="91" t="e">
        <f t="shared" si="68"/>
        <v>#DIV/0!</v>
      </c>
      <c r="N866" s="88" t="e">
        <f t="shared" si="65"/>
        <v>#DIV/0!</v>
      </c>
    </row>
    <row r="867" spans="6:14" x14ac:dyDescent="0.25">
      <c r="F867" s="1"/>
      <c r="G867" s="114">
        <f t="shared" si="66"/>
        <v>0</v>
      </c>
      <c r="H867" s="37">
        <f t="shared" si="67"/>
        <v>0</v>
      </c>
      <c r="I867">
        <f t="shared" si="69"/>
        <v>0</v>
      </c>
      <c r="J867" s="1">
        <f>+SUMIFS('VOLCADO '!H:H,'VOLCADO '!C:C,'Produccion por productor'!A:A,'VOLCADO '!B:B,'Produccion por productor'!B:B,'VOLCADO '!I:I,'Produccion por productor'!C:C,'VOLCADO '!J:J,'Produccion por productor'!E:E)*370</f>
        <v>0</v>
      </c>
      <c r="M867" s="91" t="e">
        <f t="shared" si="68"/>
        <v>#DIV/0!</v>
      </c>
      <c r="N867" s="88" t="e">
        <f t="shared" si="65"/>
        <v>#DIV/0!</v>
      </c>
    </row>
    <row r="868" spans="6:14" x14ac:dyDescent="0.25">
      <c r="F868" s="1"/>
      <c r="G868" s="114">
        <f t="shared" si="66"/>
        <v>0</v>
      </c>
      <c r="H868" s="37">
        <f t="shared" si="67"/>
        <v>0</v>
      </c>
      <c r="I868">
        <f t="shared" si="69"/>
        <v>0</v>
      </c>
      <c r="J868" s="1">
        <f>+SUMIFS('VOLCADO '!H:H,'VOLCADO '!C:C,'Produccion por productor'!A:A,'VOLCADO '!B:B,'Produccion por productor'!B:B,'VOLCADO '!I:I,'Produccion por productor'!C:C,'VOLCADO '!J:J,'Produccion por productor'!E:E)*370</f>
        <v>0</v>
      </c>
      <c r="M868" s="91" t="e">
        <f t="shared" si="68"/>
        <v>#DIV/0!</v>
      </c>
      <c r="N868" s="88" t="e">
        <f t="shared" si="65"/>
        <v>#DIV/0!</v>
      </c>
    </row>
    <row r="869" spans="6:14" x14ac:dyDescent="0.25">
      <c r="F869" s="1"/>
      <c r="G869" s="114">
        <f t="shared" si="66"/>
        <v>0</v>
      </c>
      <c r="H869" s="37">
        <f t="shared" si="67"/>
        <v>0</v>
      </c>
      <c r="I869">
        <f t="shared" si="69"/>
        <v>0</v>
      </c>
      <c r="J869" s="1">
        <f>+SUMIFS('VOLCADO '!H:H,'VOLCADO '!C:C,'Produccion por productor'!A:A,'VOLCADO '!B:B,'Produccion por productor'!B:B,'VOLCADO '!I:I,'Produccion por productor'!C:C,'VOLCADO '!J:J,'Produccion por productor'!E:E)*370</f>
        <v>0</v>
      </c>
      <c r="M869" s="91" t="e">
        <f t="shared" si="68"/>
        <v>#DIV/0!</v>
      </c>
      <c r="N869" s="88" t="e">
        <f t="shared" si="65"/>
        <v>#DIV/0!</v>
      </c>
    </row>
    <row r="870" spans="6:14" x14ac:dyDescent="0.25">
      <c r="F870" s="1"/>
      <c r="G870" s="114">
        <f t="shared" si="66"/>
        <v>0</v>
      </c>
      <c r="H870" s="37">
        <f t="shared" si="67"/>
        <v>0</v>
      </c>
      <c r="I870">
        <f t="shared" si="69"/>
        <v>0</v>
      </c>
      <c r="J870" s="1">
        <f>+SUMIFS('VOLCADO '!H:H,'VOLCADO '!C:C,'Produccion por productor'!A:A,'VOLCADO '!B:B,'Produccion por productor'!B:B,'VOLCADO '!I:I,'Produccion por productor'!C:C,'VOLCADO '!J:J,'Produccion por productor'!E:E)*370</f>
        <v>0</v>
      </c>
      <c r="M870" s="91" t="e">
        <f t="shared" si="68"/>
        <v>#DIV/0!</v>
      </c>
      <c r="N870" s="88" t="e">
        <f t="shared" si="65"/>
        <v>#DIV/0!</v>
      </c>
    </row>
    <row r="871" spans="6:14" x14ac:dyDescent="0.25">
      <c r="F871" s="1"/>
      <c r="G871" s="114">
        <f t="shared" si="66"/>
        <v>0</v>
      </c>
      <c r="H871" s="37">
        <f t="shared" si="67"/>
        <v>0</v>
      </c>
      <c r="I871">
        <f t="shared" si="69"/>
        <v>0</v>
      </c>
      <c r="J871" s="1">
        <f>+SUMIFS('VOLCADO '!H:H,'VOLCADO '!C:C,'Produccion por productor'!A:A,'VOLCADO '!B:B,'Produccion por productor'!B:B,'VOLCADO '!I:I,'Produccion por productor'!C:C,'VOLCADO '!J:J,'Produccion por productor'!E:E)*370</f>
        <v>0</v>
      </c>
      <c r="M871" s="91" t="e">
        <f t="shared" si="68"/>
        <v>#DIV/0!</v>
      </c>
      <c r="N871" s="88" t="e">
        <f t="shared" si="65"/>
        <v>#DIV/0!</v>
      </c>
    </row>
    <row r="872" spans="6:14" x14ac:dyDescent="0.25">
      <c r="F872" s="1"/>
      <c r="G872" s="114">
        <f t="shared" si="66"/>
        <v>0</v>
      </c>
      <c r="H872" s="37">
        <f t="shared" si="67"/>
        <v>0</v>
      </c>
      <c r="I872">
        <f t="shared" si="69"/>
        <v>0</v>
      </c>
      <c r="J872" s="1">
        <f>+SUMIFS('VOLCADO '!H:H,'VOLCADO '!C:C,'Produccion por productor'!A:A,'VOLCADO '!B:B,'Produccion por productor'!B:B,'VOLCADO '!I:I,'Produccion por productor'!C:C,'VOLCADO '!J:J,'Produccion por productor'!E:E)*370</f>
        <v>0</v>
      </c>
      <c r="M872" s="91" t="e">
        <f t="shared" si="68"/>
        <v>#DIV/0!</v>
      </c>
      <c r="N872" s="88" t="e">
        <f t="shared" si="65"/>
        <v>#DIV/0!</v>
      </c>
    </row>
    <row r="873" spans="6:14" x14ac:dyDescent="0.25">
      <c r="F873" s="1"/>
      <c r="G873" s="114">
        <f t="shared" si="66"/>
        <v>0</v>
      </c>
      <c r="H873" s="37">
        <f t="shared" si="67"/>
        <v>0</v>
      </c>
      <c r="I873">
        <f t="shared" si="69"/>
        <v>0</v>
      </c>
      <c r="J873" s="1">
        <f>+SUMIFS('VOLCADO '!H:H,'VOLCADO '!C:C,'Produccion por productor'!A:A,'VOLCADO '!B:B,'Produccion por productor'!B:B,'VOLCADO '!I:I,'Produccion por productor'!C:C,'VOLCADO '!J:J,'Produccion por productor'!E:E)*370</f>
        <v>0</v>
      </c>
      <c r="M873" s="91" t="e">
        <f t="shared" si="68"/>
        <v>#DIV/0!</v>
      </c>
      <c r="N873" s="88" t="e">
        <f t="shared" si="65"/>
        <v>#DIV/0!</v>
      </c>
    </row>
    <row r="874" spans="6:14" x14ac:dyDescent="0.25">
      <c r="F874" s="1"/>
      <c r="G874" s="114">
        <f t="shared" si="66"/>
        <v>0</v>
      </c>
      <c r="H874" s="37">
        <f t="shared" si="67"/>
        <v>0</v>
      </c>
      <c r="I874">
        <f t="shared" si="69"/>
        <v>0</v>
      </c>
      <c r="J874" s="1">
        <f>+SUMIFS('VOLCADO '!H:H,'VOLCADO '!C:C,'Produccion por productor'!A:A,'VOLCADO '!B:B,'Produccion por productor'!B:B,'VOLCADO '!I:I,'Produccion por productor'!C:C,'VOLCADO '!J:J,'Produccion por productor'!E:E)*370</f>
        <v>0</v>
      </c>
      <c r="M874" s="91" t="e">
        <f t="shared" si="68"/>
        <v>#DIV/0!</v>
      </c>
      <c r="N874" s="88" t="e">
        <f t="shared" si="65"/>
        <v>#DIV/0!</v>
      </c>
    </row>
    <row r="875" spans="6:14" x14ac:dyDescent="0.25">
      <c r="F875" s="1"/>
      <c r="G875" s="114">
        <f t="shared" si="66"/>
        <v>0</v>
      </c>
      <c r="H875" s="37">
        <f t="shared" si="67"/>
        <v>0</v>
      </c>
      <c r="I875">
        <f t="shared" si="69"/>
        <v>0</v>
      </c>
      <c r="J875" s="1">
        <f>+SUMIFS('VOLCADO '!H:H,'VOLCADO '!C:C,'Produccion por productor'!A:A,'VOLCADO '!B:B,'Produccion por productor'!B:B,'VOLCADO '!I:I,'Produccion por productor'!C:C,'VOLCADO '!J:J,'Produccion por productor'!E:E)*370</f>
        <v>0</v>
      </c>
      <c r="M875" s="91" t="e">
        <f t="shared" si="68"/>
        <v>#DIV/0!</v>
      </c>
      <c r="N875" s="88" t="e">
        <f t="shared" si="65"/>
        <v>#DIV/0!</v>
      </c>
    </row>
    <row r="876" spans="6:14" x14ac:dyDescent="0.25">
      <c r="F876" s="1"/>
      <c r="G876" s="114">
        <f t="shared" si="66"/>
        <v>0</v>
      </c>
      <c r="H876" s="37">
        <f t="shared" si="67"/>
        <v>0</v>
      </c>
      <c r="I876">
        <f t="shared" si="69"/>
        <v>0</v>
      </c>
      <c r="J876" s="1">
        <f>+SUMIFS('VOLCADO '!H:H,'VOLCADO '!C:C,'Produccion por productor'!A:A,'VOLCADO '!B:B,'Produccion por productor'!B:B,'VOLCADO '!I:I,'Produccion por productor'!C:C,'VOLCADO '!J:J,'Produccion por productor'!E:E)*370</f>
        <v>0</v>
      </c>
      <c r="M876" s="91" t="e">
        <f t="shared" si="68"/>
        <v>#DIV/0!</v>
      </c>
      <c r="N876" s="88" t="e">
        <f t="shared" si="65"/>
        <v>#DIV/0!</v>
      </c>
    </row>
    <row r="877" spans="6:14" x14ac:dyDescent="0.25">
      <c r="F877" s="1"/>
      <c r="G877" s="114">
        <f t="shared" si="66"/>
        <v>0</v>
      </c>
      <c r="H877" s="37">
        <f t="shared" si="67"/>
        <v>0</v>
      </c>
      <c r="I877">
        <f t="shared" si="69"/>
        <v>0</v>
      </c>
      <c r="J877" s="1">
        <f>+SUMIFS('VOLCADO '!H:H,'VOLCADO '!C:C,'Produccion por productor'!A:A,'VOLCADO '!B:B,'Produccion por productor'!B:B,'VOLCADO '!I:I,'Produccion por productor'!C:C,'VOLCADO '!J:J,'Produccion por productor'!E:E)*370</f>
        <v>0</v>
      </c>
      <c r="M877" s="91" t="e">
        <f t="shared" si="68"/>
        <v>#DIV/0!</v>
      </c>
      <c r="N877" s="88" t="e">
        <f t="shared" si="65"/>
        <v>#DIV/0!</v>
      </c>
    </row>
    <row r="878" spans="6:14" x14ac:dyDescent="0.25">
      <c r="F878" s="1"/>
      <c r="G878" s="114">
        <f t="shared" si="66"/>
        <v>0</v>
      </c>
      <c r="H878" s="37">
        <f t="shared" si="67"/>
        <v>0</v>
      </c>
      <c r="I878">
        <f t="shared" si="69"/>
        <v>0</v>
      </c>
      <c r="J878" s="1">
        <f>+SUMIFS('VOLCADO '!H:H,'VOLCADO '!C:C,'Produccion por productor'!A:A,'VOLCADO '!B:B,'Produccion por productor'!B:B,'VOLCADO '!I:I,'Produccion por productor'!C:C,'VOLCADO '!J:J,'Produccion por productor'!E:E)*370</f>
        <v>0</v>
      </c>
      <c r="M878" s="91" t="e">
        <f t="shared" si="68"/>
        <v>#DIV/0!</v>
      </c>
      <c r="N878" s="88" t="e">
        <f t="shared" si="65"/>
        <v>#DIV/0!</v>
      </c>
    </row>
    <row r="879" spans="6:14" x14ac:dyDescent="0.25">
      <c r="F879" s="1"/>
      <c r="G879" s="114">
        <f t="shared" si="66"/>
        <v>0</v>
      </c>
      <c r="H879" s="37">
        <f t="shared" si="67"/>
        <v>0</v>
      </c>
      <c r="I879">
        <f t="shared" si="69"/>
        <v>0</v>
      </c>
      <c r="J879" s="1">
        <f>+SUMIFS('VOLCADO '!H:H,'VOLCADO '!C:C,'Produccion por productor'!A:A,'VOLCADO '!B:B,'Produccion por productor'!B:B,'VOLCADO '!I:I,'Produccion por productor'!C:C,'VOLCADO '!J:J,'Produccion por productor'!E:E)*370</f>
        <v>0</v>
      </c>
      <c r="M879" s="91" t="e">
        <f t="shared" si="68"/>
        <v>#DIV/0!</v>
      </c>
      <c r="N879" s="88" t="e">
        <f t="shared" si="65"/>
        <v>#DIV/0!</v>
      </c>
    </row>
    <row r="880" spans="6:14" x14ac:dyDescent="0.25">
      <c r="F880" s="1"/>
      <c r="G880" s="114">
        <f t="shared" si="66"/>
        <v>0</v>
      </c>
      <c r="H880" s="37">
        <f t="shared" si="67"/>
        <v>0</v>
      </c>
      <c r="I880">
        <f t="shared" si="69"/>
        <v>0</v>
      </c>
      <c r="J880" s="1">
        <f>+SUMIFS('VOLCADO '!H:H,'VOLCADO '!C:C,'Produccion por productor'!A:A,'VOLCADO '!B:B,'Produccion por productor'!B:B,'VOLCADO '!I:I,'Produccion por productor'!C:C,'VOLCADO '!J:J,'Produccion por productor'!E:E)*370</f>
        <v>0</v>
      </c>
      <c r="M880" s="91" t="e">
        <f t="shared" si="68"/>
        <v>#DIV/0!</v>
      </c>
      <c r="N880" s="88" t="e">
        <f t="shared" si="65"/>
        <v>#DIV/0!</v>
      </c>
    </row>
    <row r="881" spans="6:14" x14ac:dyDescent="0.25">
      <c r="F881" s="1"/>
      <c r="G881" s="114">
        <f t="shared" si="66"/>
        <v>0</v>
      </c>
      <c r="H881" s="37">
        <f t="shared" si="67"/>
        <v>0</v>
      </c>
      <c r="I881">
        <f t="shared" si="69"/>
        <v>0</v>
      </c>
      <c r="J881" s="1">
        <f>+SUMIFS('VOLCADO '!H:H,'VOLCADO '!C:C,'Produccion por productor'!A:A,'VOLCADO '!B:B,'Produccion por productor'!B:B,'VOLCADO '!I:I,'Produccion por productor'!C:C,'VOLCADO '!J:J,'Produccion por productor'!E:E)*370</f>
        <v>0</v>
      </c>
      <c r="M881" s="91" t="e">
        <f t="shared" si="68"/>
        <v>#DIV/0!</v>
      </c>
      <c r="N881" s="88" t="e">
        <f t="shared" si="65"/>
        <v>#DIV/0!</v>
      </c>
    </row>
    <row r="882" spans="6:14" x14ac:dyDescent="0.25">
      <c r="F882" s="1"/>
      <c r="G882" s="114">
        <f t="shared" si="66"/>
        <v>0</v>
      </c>
      <c r="H882" s="37">
        <f t="shared" si="67"/>
        <v>0</v>
      </c>
      <c r="I882">
        <f t="shared" si="69"/>
        <v>0</v>
      </c>
      <c r="J882" s="1">
        <f>+SUMIFS('VOLCADO '!H:H,'VOLCADO '!C:C,'Produccion por productor'!A:A,'VOLCADO '!B:B,'Produccion por productor'!B:B,'VOLCADO '!I:I,'Produccion por productor'!C:C,'VOLCADO '!J:J,'Produccion por productor'!E:E)*370</f>
        <v>0</v>
      </c>
      <c r="M882" s="91" t="e">
        <f t="shared" si="68"/>
        <v>#DIV/0!</v>
      </c>
      <c r="N882" s="88" t="e">
        <f t="shared" si="65"/>
        <v>#DIV/0!</v>
      </c>
    </row>
    <row r="883" spans="6:14" x14ac:dyDescent="0.25">
      <c r="F883" s="1"/>
      <c r="G883" s="114">
        <f t="shared" si="66"/>
        <v>0</v>
      </c>
      <c r="H883" s="37">
        <f t="shared" si="67"/>
        <v>0</v>
      </c>
      <c r="I883">
        <f t="shared" si="69"/>
        <v>0</v>
      </c>
      <c r="J883" s="1">
        <f>+SUMIFS('VOLCADO '!H:H,'VOLCADO '!C:C,'Produccion por productor'!A:A,'VOLCADO '!B:B,'Produccion por productor'!B:B,'VOLCADO '!I:I,'Produccion por productor'!C:C,'VOLCADO '!J:J,'Produccion por productor'!E:E)*370</f>
        <v>0</v>
      </c>
      <c r="M883" s="91" t="e">
        <f t="shared" si="68"/>
        <v>#DIV/0!</v>
      </c>
      <c r="N883" s="88" t="e">
        <f t="shared" si="65"/>
        <v>#DIV/0!</v>
      </c>
    </row>
    <row r="884" spans="6:14" x14ac:dyDescent="0.25">
      <c r="F884" s="1"/>
      <c r="G884" s="114">
        <f t="shared" si="66"/>
        <v>0</v>
      </c>
      <c r="H884" s="37">
        <f t="shared" si="67"/>
        <v>0</v>
      </c>
      <c r="I884">
        <f t="shared" si="69"/>
        <v>0</v>
      </c>
      <c r="J884" s="1">
        <f>+SUMIFS('VOLCADO '!H:H,'VOLCADO '!C:C,'Produccion por productor'!A:A,'VOLCADO '!B:B,'Produccion por productor'!B:B,'VOLCADO '!I:I,'Produccion por productor'!C:C,'VOLCADO '!J:J,'Produccion por productor'!E:E)*370</f>
        <v>0</v>
      </c>
      <c r="M884" s="91" t="e">
        <f t="shared" si="68"/>
        <v>#DIV/0!</v>
      </c>
      <c r="N884" s="88" t="e">
        <f t="shared" si="65"/>
        <v>#DIV/0!</v>
      </c>
    </row>
    <row r="885" spans="6:14" x14ac:dyDescent="0.25">
      <c r="F885" s="1"/>
      <c r="G885" s="114">
        <f t="shared" si="66"/>
        <v>0</v>
      </c>
      <c r="H885" s="37">
        <f t="shared" si="67"/>
        <v>0</v>
      </c>
      <c r="I885">
        <f t="shared" si="69"/>
        <v>0</v>
      </c>
      <c r="J885" s="1">
        <f>+SUMIFS('VOLCADO '!H:H,'VOLCADO '!C:C,'Produccion por productor'!A:A,'VOLCADO '!B:B,'Produccion por productor'!B:B,'VOLCADO '!I:I,'Produccion por productor'!C:C,'VOLCADO '!J:J,'Produccion por productor'!E:E)*370</f>
        <v>0</v>
      </c>
      <c r="M885" s="91" t="e">
        <f t="shared" si="68"/>
        <v>#DIV/0!</v>
      </c>
      <c r="N885" s="88" t="e">
        <f t="shared" si="65"/>
        <v>#DIV/0!</v>
      </c>
    </row>
    <row r="886" spans="6:14" x14ac:dyDescent="0.25">
      <c r="F886" s="1"/>
      <c r="G886" s="114">
        <f t="shared" si="66"/>
        <v>0</v>
      </c>
      <c r="H886" s="37">
        <f t="shared" si="67"/>
        <v>0</v>
      </c>
      <c r="I886">
        <f t="shared" si="69"/>
        <v>0</v>
      </c>
      <c r="J886" s="1">
        <f>+SUMIFS('VOLCADO '!H:H,'VOLCADO '!C:C,'Produccion por productor'!A:A,'VOLCADO '!B:B,'Produccion por productor'!B:B,'VOLCADO '!I:I,'Produccion por productor'!C:C,'VOLCADO '!J:J,'Produccion por productor'!E:E)*370</f>
        <v>0</v>
      </c>
      <c r="M886" s="91" t="e">
        <f t="shared" si="68"/>
        <v>#DIV/0!</v>
      </c>
      <c r="N886" s="88" t="e">
        <f t="shared" si="65"/>
        <v>#DIV/0!</v>
      </c>
    </row>
    <row r="887" spans="6:14" x14ac:dyDescent="0.25">
      <c r="F887" s="1"/>
      <c r="G887" s="114">
        <f t="shared" si="66"/>
        <v>0</v>
      </c>
      <c r="H887" s="37">
        <f t="shared" si="67"/>
        <v>0</v>
      </c>
      <c r="I887">
        <f t="shared" si="69"/>
        <v>0</v>
      </c>
      <c r="J887" s="1">
        <f>+SUMIFS('VOLCADO '!H:H,'VOLCADO '!C:C,'Produccion por productor'!A:A,'VOLCADO '!B:B,'Produccion por productor'!B:B,'VOLCADO '!I:I,'Produccion por productor'!C:C,'VOLCADO '!J:J,'Produccion por productor'!E:E)*370</f>
        <v>0</v>
      </c>
      <c r="M887" s="91" t="e">
        <f t="shared" si="68"/>
        <v>#DIV/0!</v>
      </c>
      <c r="N887" s="88" t="e">
        <f t="shared" si="65"/>
        <v>#DIV/0!</v>
      </c>
    </row>
    <row r="888" spans="6:14" x14ac:dyDescent="0.25">
      <c r="F888" s="1"/>
      <c r="G888" s="114">
        <f t="shared" si="66"/>
        <v>0</v>
      </c>
      <c r="H888" s="37">
        <f t="shared" si="67"/>
        <v>0</v>
      </c>
      <c r="I888">
        <f t="shared" si="69"/>
        <v>0</v>
      </c>
      <c r="J888" s="1">
        <f>+SUMIFS('VOLCADO '!H:H,'VOLCADO '!C:C,'Produccion por productor'!A:A,'VOLCADO '!B:B,'Produccion por productor'!B:B,'VOLCADO '!I:I,'Produccion por productor'!C:C,'VOLCADO '!J:J,'Produccion por productor'!E:E)*370</f>
        <v>0</v>
      </c>
      <c r="M888" s="91" t="e">
        <f t="shared" si="68"/>
        <v>#DIV/0!</v>
      </c>
      <c r="N888" s="88" t="e">
        <f t="shared" si="65"/>
        <v>#DIV/0!</v>
      </c>
    </row>
    <row r="889" spans="6:14" x14ac:dyDescent="0.25">
      <c r="F889" s="1"/>
      <c r="G889" s="114">
        <f t="shared" si="66"/>
        <v>0</v>
      </c>
      <c r="H889" s="37">
        <f t="shared" si="67"/>
        <v>0</v>
      </c>
      <c r="I889">
        <f t="shared" si="69"/>
        <v>0</v>
      </c>
      <c r="J889" s="1">
        <f>+SUMIFS('VOLCADO '!H:H,'VOLCADO '!C:C,'Produccion por productor'!A:A,'VOLCADO '!B:B,'Produccion por productor'!B:B,'VOLCADO '!I:I,'Produccion por productor'!C:C,'VOLCADO '!J:J,'Produccion por productor'!E:E)*370</f>
        <v>0</v>
      </c>
      <c r="M889" s="91" t="e">
        <f t="shared" si="68"/>
        <v>#DIV/0!</v>
      </c>
      <c r="N889" s="88" t="e">
        <f t="shared" si="65"/>
        <v>#DIV/0!</v>
      </c>
    </row>
    <row r="890" spans="6:14" x14ac:dyDescent="0.25">
      <c r="F890" s="1"/>
      <c r="G890" s="114">
        <f t="shared" si="66"/>
        <v>0</v>
      </c>
      <c r="H890" s="37">
        <f t="shared" si="67"/>
        <v>0</v>
      </c>
      <c r="I890">
        <f t="shared" si="69"/>
        <v>0</v>
      </c>
      <c r="J890" s="1">
        <f>+SUMIFS('VOLCADO '!H:H,'VOLCADO '!C:C,'Produccion por productor'!A:A,'VOLCADO '!B:B,'Produccion por productor'!B:B,'VOLCADO '!I:I,'Produccion por productor'!C:C,'VOLCADO '!J:J,'Produccion por productor'!E:E)*370</f>
        <v>0</v>
      </c>
      <c r="M890" s="91" t="e">
        <f t="shared" si="68"/>
        <v>#DIV/0!</v>
      </c>
      <c r="N890" s="88" t="e">
        <f t="shared" si="65"/>
        <v>#DIV/0!</v>
      </c>
    </row>
    <row r="891" spans="6:14" x14ac:dyDescent="0.25">
      <c r="F891" s="1"/>
      <c r="G891" s="114">
        <f t="shared" si="66"/>
        <v>0</v>
      </c>
      <c r="H891" s="37">
        <f t="shared" si="67"/>
        <v>0</v>
      </c>
      <c r="I891">
        <f t="shared" si="69"/>
        <v>0</v>
      </c>
      <c r="J891" s="1">
        <f>+SUMIFS('VOLCADO '!H:H,'VOLCADO '!C:C,'Produccion por productor'!A:A,'VOLCADO '!B:B,'Produccion por productor'!B:B,'VOLCADO '!I:I,'Produccion por productor'!C:C,'VOLCADO '!J:J,'Produccion por productor'!E:E)*370</f>
        <v>0</v>
      </c>
      <c r="M891" s="91" t="e">
        <f t="shared" si="68"/>
        <v>#DIV/0!</v>
      </c>
      <c r="N891" s="88" t="e">
        <f t="shared" si="65"/>
        <v>#DIV/0!</v>
      </c>
    </row>
    <row r="892" spans="6:14" x14ac:dyDescent="0.25">
      <c r="F892" s="1"/>
      <c r="G892" s="114">
        <f t="shared" si="66"/>
        <v>0</v>
      </c>
      <c r="H892" s="37">
        <f t="shared" si="67"/>
        <v>0</v>
      </c>
      <c r="I892">
        <f t="shared" si="69"/>
        <v>0</v>
      </c>
      <c r="J892" s="1">
        <f>+SUMIFS('VOLCADO '!H:H,'VOLCADO '!C:C,'Produccion por productor'!A:A,'VOLCADO '!B:B,'Produccion por productor'!B:B,'VOLCADO '!I:I,'Produccion por productor'!C:C,'VOLCADO '!J:J,'Produccion por productor'!E:E)*370</f>
        <v>0</v>
      </c>
      <c r="M892" s="91" t="e">
        <f t="shared" si="68"/>
        <v>#DIV/0!</v>
      </c>
      <c r="N892" s="88" t="e">
        <f t="shared" si="65"/>
        <v>#DIV/0!</v>
      </c>
    </row>
    <row r="893" spans="6:14" x14ac:dyDescent="0.25">
      <c r="F893" s="1"/>
      <c r="G893" s="114">
        <f t="shared" si="66"/>
        <v>0</v>
      </c>
      <c r="H893" s="37">
        <f t="shared" si="67"/>
        <v>0</v>
      </c>
      <c r="I893">
        <f t="shared" si="69"/>
        <v>0</v>
      </c>
      <c r="J893" s="1">
        <f>+SUMIFS('VOLCADO '!H:H,'VOLCADO '!C:C,'Produccion por productor'!A:A,'VOLCADO '!B:B,'Produccion por productor'!B:B,'VOLCADO '!I:I,'Produccion por productor'!C:C,'VOLCADO '!J:J,'Produccion por productor'!E:E)*370</f>
        <v>0</v>
      </c>
      <c r="M893" s="91" t="e">
        <f t="shared" si="68"/>
        <v>#DIV/0!</v>
      </c>
      <c r="N893" s="88" t="e">
        <f t="shared" si="65"/>
        <v>#DIV/0!</v>
      </c>
    </row>
    <row r="894" spans="6:14" x14ac:dyDescent="0.25">
      <c r="F894" s="1"/>
      <c r="G894" s="114">
        <f t="shared" si="66"/>
        <v>0</v>
      </c>
      <c r="H894" s="37">
        <f t="shared" si="67"/>
        <v>0</v>
      </c>
      <c r="I894">
        <f t="shared" si="69"/>
        <v>0</v>
      </c>
      <c r="J894" s="1">
        <f>+SUMIFS('VOLCADO '!H:H,'VOLCADO '!C:C,'Produccion por productor'!A:A,'VOLCADO '!B:B,'Produccion por productor'!B:B,'VOLCADO '!I:I,'Produccion por productor'!C:C,'VOLCADO '!J:J,'Produccion por productor'!E:E)*370</f>
        <v>0</v>
      </c>
      <c r="M894" s="91" t="e">
        <f t="shared" si="68"/>
        <v>#DIV/0!</v>
      </c>
      <c r="N894" s="88" t="e">
        <f t="shared" si="65"/>
        <v>#DIV/0!</v>
      </c>
    </row>
    <row r="895" spans="6:14" x14ac:dyDescent="0.25">
      <c r="F895" s="1"/>
      <c r="G895" s="114">
        <f t="shared" si="66"/>
        <v>0</v>
      </c>
      <c r="H895" s="37">
        <f t="shared" si="67"/>
        <v>0</v>
      </c>
      <c r="I895">
        <f t="shared" si="69"/>
        <v>0</v>
      </c>
      <c r="J895" s="1">
        <f>+SUMIFS('VOLCADO '!H:H,'VOLCADO '!C:C,'Produccion por productor'!A:A,'VOLCADO '!B:B,'Produccion por productor'!B:B,'VOLCADO '!I:I,'Produccion por productor'!C:C,'VOLCADO '!J:J,'Produccion por productor'!E:E)*370</f>
        <v>0</v>
      </c>
      <c r="M895" s="91" t="e">
        <f t="shared" si="68"/>
        <v>#DIV/0!</v>
      </c>
      <c r="N895" s="88" t="e">
        <f t="shared" si="65"/>
        <v>#DIV/0!</v>
      </c>
    </row>
    <row r="896" spans="6:14" x14ac:dyDescent="0.25">
      <c r="F896" s="1"/>
      <c r="G896" s="114">
        <f t="shared" si="66"/>
        <v>0</v>
      </c>
      <c r="H896" s="37">
        <f t="shared" si="67"/>
        <v>0</v>
      </c>
      <c r="I896">
        <f t="shared" si="69"/>
        <v>0</v>
      </c>
      <c r="J896" s="1">
        <f>+SUMIFS('VOLCADO '!H:H,'VOLCADO '!C:C,'Produccion por productor'!A:A,'VOLCADO '!B:B,'Produccion por productor'!B:B,'VOLCADO '!I:I,'Produccion por productor'!C:C,'VOLCADO '!J:J,'Produccion por productor'!E:E)*370</f>
        <v>0</v>
      </c>
      <c r="M896" s="91" t="e">
        <f t="shared" si="68"/>
        <v>#DIV/0!</v>
      </c>
      <c r="N896" s="88" t="e">
        <f t="shared" si="65"/>
        <v>#DIV/0!</v>
      </c>
    </row>
    <row r="897" spans="6:14" x14ac:dyDescent="0.25">
      <c r="F897" s="1"/>
      <c r="G897" s="114">
        <f t="shared" si="66"/>
        <v>0</v>
      </c>
      <c r="H897" s="37">
        <f t="shared" si="67"/>
        <v>0</v>
      </c>
      <c r="I897">
        <f t="shared" si="69"/>
        <v>0</v>
      </c>
      <c r="J897" s="1">
        <f>+SUMIFS('VOLCADO '!H:H,'VOLCADO '!C:C,'Produccion por productor'!A:A,'VOLCADO '!B:B,'Produccion por productor'!B:B,'VOLCADO '!I:I,'Produccion por productor'!C:C,'VOLCADO '!J:J,'Produccion por productor'!E:E)*370</f>
        <v>0</v>
      </c>
      <c r="M897" s="91" t="e">
        <f t="shared" si="68"/>
        <v>#DIV/0!</v>
      </c>
      <c r="N897" s="88" t="e">
        <f t="shared" ref="N897:N960" si="70">+((F897+I897)/J897)*100</f>
        <v>#DIV/0!</v>
      </c>
    </row>
    <row r="898" spans="6:14" x14ac:dyDescent="0.25">
      <c r="F898" s="1"/>
      <c r="G898" s="114">
        <f t="shared" ref="G898:G961" si="71">+F898+I898</f>
        <v>0</v>
      </c>
      <c r="H898" s="37">
        <f t="shared" ref="H898:H961" si="72">+(F898*0.05)+F898</f>
        <v>0</v>
      </c>
      <c r="I898">
        <f t="shared" si="69"/>
        <v>0</v>
      </c>
      <c r="J898" s="1">
        <f>+SUMIFS('VOLCADO '!H:H,'VOLCADO '!C:C,'Produccion por productor'!A:A,'VOLCADO '!B:B,'Produccion por productor'!B:B,'VOLCADO '!I:I,'Produccion por productor'!C:C,'VOLCADO '!J:J,'Produccion por productor'!E:E)*370</f>
        <v>0</v>
      </c>
      <c r="M898" s="91" t="e">
        <f t="shared" si="68"/>
        <v>#DIV/0!</v>
      </c>
      <c r="N898" s="88" t="e">
        <f t="shared" si="70"/>
        <v>#DIV/0!</v>
      </c>
    </row>
    <row r="899" spans="6:14" x14ac:dyDescent="0.25">
      <c r="F899" s="1"/>
      <c r="G899" s="114">
        <f t="shared" si="71"/>
        <v>0</v>
      </c>
      <c r="H899" s="37">
        <f t="shared" si="72"/>
        <v>0</v>
      </c>
      <c r="I899">
        <f t="shared" si="69"/>
        <v>0</v>
      </c>
      <c r="J899" s="1">
        <f>+SUMIFS('VOLCADO '!H:H,'VOLCADO '!C:C,'Produccion por productor'!A:A,'VOLCADO '!B:B,'Produccion por productor'!B:B,'VOLCADO '!I:I,'Produccion por productor'!C:C,'VOLCADO '!J:J,'Produccion por productor'!E:E)*370</f>
        <v>0</v>
      </c>
      <c r="M899" s="91" t="e">
        <f t="shared" ref="M899:M962" si="73">+((H899+I899)/J899)*100</f>
        <v>#DIV/0!</v>
      </c>
      <c r="N899" s="88" t="e">
        <f t="shared" si="70"/>
        <v>#DIV/0!</v>
      </c>
    </row>
    <row r="900" spans="6:14" x14ac:dyDescent="0.25">
      <c r="F900" s="1"/>
      <c r="G900" s="114">
        <f t="shared" si="71"/>
        <v>0</v>
      </c>
      <c r="H900" s="37">
        <f t="shared" si="72"/>
        <v>0</v>
      </c>
      <c r="I900">
        <f t="shared" si="69"/>
        <v>0</v>
      </c>
      <c r="J900" s="1">
        <f>+SUMIFS('VOLCADO '!H:H,'VOLCADO '!C:C,'Produccion por productor'!A:A,'VOLCADO '!B:B,'Produccion por productor'!B:B,'VOLCADO '!I:I,'Produccion por productor'!C:C,'VOLCADO '!J:J,'Produccion por productor'!E:E)*370</f>
        <v>0</v>
      </c>
      <c r="M900" s="91" t="e">
        <f t="shared" si="73"/>
        <v>#DIV/0!</v>
      </c>
      <c r="N900" s="88" t="e">
        <f t="shared" si="70"/>
        <v>#DIV/0!</v>
      </c>
    </row>
    <row r="901" spans="6:14" x14ac:dyDescent="0.25">
      <c r="F901" s="1"/>
      <c r="G901" s="114">
        <f t="shared" si="71"/>
        <v>0</v>
      </c>
      <c r="H901" s="37">
        <f t="shared" si="72"/>
        <v>0</v>
      </c>
      <c r="I901">
        <f t="shared" si="69"/>
        <v>0</v>
      </c>
      <c r="J901" s="1">
        <f>+SUMIFS('VOLCADO '!H:H,'VOLCADO '!C:C,'Produccion por productor'!A:A,'VOLCADO '!B:B,'Produccion por productor'!B:B,'VOLCADO '!I:I,'Produccion por productor'!C:C,'VOLCADO '!J:J,'Produccion por productor'!E:E)*370</f>
        <v>0</v>
      </c>
      <c r="M901" s="91" t="e">
        <f t="shared" si="73"/>
        <v>#DIV/0!</v>
      </c>
      <c r="N901" s="88" t="e">
        <f t="shared" si="70"/>
        <v>#DIV/0!</v>
      </c>
    </row>
    <row r="902" spans="6:14" x14ac:dyDescent="0.25">
      <c r="F902" s="1"/>
      <c r="G902" s="114">
        <f t="shared" si="71"/>
        <v>0</v>
      </c>
      <c r="H902" s="37">
        <f t="shared" si="72"/>
        <v>0</v>
      </c>
      <c r="I902">
        <f t="shared" si="69"/>
        <v>0</v>
      </c>
      <c r="J902" s="1">
        <f>+SUMIFS('VOLCADO '!H:H,'VOLCADO '!C:C,'Produccion por productor'!A:A,'VOLCADO '!B:B,'Produccion por productor'!B:B,'VOLCADO '!I:I,'Produccion por productor'!C:C,'VOLCADO '!J:J,'Produccion por productor'!E:E)*370</f>
        <v>0</v>
      </c>
      <c r="M902" s="91" t="e">
        <f t="shared" si="73"/>
        <v>#DIV/0!</v>
      </c>
      <c r="N902" s="88" t="e">
        <f t="shared" si="70"/>
        <v>#DIV/0!</v>
      </c>
    </row>
    <row r="903" spans="6:14" x14ac:dyDescent="0.25">
      <c r="F903" s="1"/>
      <c r="G903" s="114">
        <f t="shared" si="71"/>
        <v>0</v>
      </c>
      <c r="H903" s="37">
        <f t="shared" si="72"/>
        <v>0</v>
      </c>
      <c r="I903">
        <f t="shared" si="69"/>
        <v>0</v>
      </c>
      <c r="J903" s="1">
        <f>+SUMIFS('VOLCADO '!H:H,'VOLCADO '!C:C,'Produccion por productor'!A:A,'VOLCADO '!B:B,'Produccion por productor'!B:B,'VOLCADO '!I:I,'Produccion por productor'!C:C,'VOLCADO '!J:J,'Produccion por productor'!E:E)*370</f>
        <v>0</v>
      </c>
      <c r="M903" s="91" t="e">
        <f t="shared" si="73"/>
        <v>#DIV/0!</v>
      </c>
      <c r="N903" s="88" t="e">
        <f t="shared" si="70"/>
        <v>#DIV/0!</v>
      </c>
    </row>
    <row r="904" spans="6:14" x14ac:dyDescent="0.25">
      <c r="F904" s="1"/>
      <c r="G904" s="114">
        <f t="shared" si="71"/>
        <v>0</v>
      </c>
      <c r="H904" s="37">
        <f t="shared" si="72"/>
        <v>0</v>
      </c>
      <c r="I904">
        <f t="shared" si="69"/>
        <v>0</v>
      </c>
      <c r="J904" s="1">
        <f>+SUMIFS('VOLCADO '!H:H,'VOLCADO '!C:C,'Produccion por productor'!A:A,'VOLCADO '!B:B,'Produccion por productor'!B:B,'VOLCADO '!I:I,'Produccion por productor'!C:C,'VOLCADO '!J:J,'Produccion por productor'!E:E)*370</f>
        <v>0</v>
      </c>
      <c r="M904" s="91" t="e">
        <f t="shared" si="73"/>
        <v>#DIV/0!</v>
      </c>
      <c r="N904" s="88" t="e">
        <f t="shared" si="70"/>
        <v>#DIV/0!</v>
      </c>
    </row>
    <row r="905" spans="6:14" x14ac:dyDescent="0.25">
      <c r="F905" s="1"/>
      <c r="G905" s="114">
        <f t="shared" si="71"/>
        <v>0</v>
      </c>
      <c r="H905" s="37">
        <f t="shared" si="72"/>
        <v>0</v>
      </c>
      <c r="I905">
        <f t="shared" si="69"/>
        <v>0</v>
      </c>
      <c r="J905" s="1">
        <f>+SUMIFS('VOLCADO '!H:H,'VOLCADO '!C:C,'Produccion por productor'!A:A,'VOLCADO '!B:B,'Produccion por productor'!B:B,'VOLCADO '!I:I,'Produccion por productor'!C:C,'VOLCADO '!J:J,'Produccion por productor'!E:E)*370</f>
        <v>0</v>
      </c>
      <c r="M905" s="91" t="e">
        <f t="shared" si="73"/>
        <v>#DIV/0!</v>
      </c>
      <c r="N905" s="88" t="e">
        <f t="shared" si="70"/>
        <v>#DIV/0!</v>
      </c>
    </row>
    <row r="906" spans="6:14" x14ac:dyDescent="0.25">
      <c r="F906" s="1"/>
      <c r="G906" s="114">
        <f t="shared" si="71"/>
        <v>0</v>
      </c>
      <c r="H906" s="37">
        <f t="shared" si="72"/>
        <v>0</v>
      </c>
      <c r="I906">
        <f t="shared" si="69"/>
        <v>0</v>
      </c>
      <c r="J906" s="1">
        <f>+SUMIFS('VOLCADO '!H:H,'VOLCADO '!C:C,'Produccion por productor'!A:A,'VOLCADO '!B:B,'Produccion por productor'!B:B,'VOLCADO '!I:I,'Produccion por productor'!C:C,'VOLCADO '!J:J,'Produccion por productor'!E:E)*370</f>
        <v>0</v>
      </c>
      <c r="M906" s="91" t="e">
        <f t="shared" si="73"/>
        <v>#DIV/0!</v>
      </c>
      <c r="N906" s="88" t="e">
        <f t="shared" si="70"/>
        <v>#DIV/0!</v>
      </c>
    </row>
    <row r="907" spans="6:14" x14ac:dyDescent="0.25">
      <c r="F907" s="1"/>
      <c r="G907" s="114">
        <f t="shared" si="71"/>
        <v>0</v>
      </c>
      <c r="H907" s="37">
        <f t="shared" si="72"/>
        <v>0</v>
      </c>
      <c r="I907">
        <f t="shared" si="69"/>
        <v>0</v>
      </c>
      <c r="J907" s="1">
        <f>+SUMIFS('VOLCADO '!H:H,'VOLCADO '!C:C,'Produccion por productor'!A:A,'VOLCADO '!B:B,'Produccion por productor'!B:B,'VOLCADO '!I:I,'Produccion por productor'!C:C,'VOLCADO '!J:J,'Produccion por productor'!E:E)*370</f>
        <v>0</v>
      </c>
      <c r="M907" s="91" t="e">
        <f t="shared" si="73"/>
        <v>#DIV/0!</v>
      </c>
      <c r="N907" s="88" t="e">
        <f t="shared" si="70"/>
        <v>#DIV/0!</v>
      </c>
    </row>
    <row r="908" spans="6:14" x14ac:dyDescent="0.25">
      <c r="F908" s="1"/>
      <c r="G908" s="114">
        <f t="shared" si="71"/>
        <v>0</v>
      </c>
      <c r="H908" s="37">
        <f t="shared" si="72"/>
        <v>0</v>
      </c>
      <c r="I908">
        <f t="shared" si="69"/>
        <v>0</v>
      </c>
      <c r="J908" s="1">
        <f>+SUMIFS('VOLCADO '!H:H,'VOLCADO '!C:C,'Produccion por productor'!A:A,'VOLCADO '!B:B,'Produccion por productor'!B:B,'VOLCADO '!I:I,'Produccion por productor'!C:C,'VOLCADO '!J:J,'Produccion por productor'!E:E)*370</f>
        <v>0</v>
      </c>
      <c r="M908" s="91" t="e">
        <f t="shared" si="73"/>
        <v>#DIV/0!</v>
      </c>
      <c r="N908" s="88" t="e">
        <f t="shared" si="70"/>
        <v>#DIV/0!</v>
      </c>
    </row>
    <row r="909" spans="6:14" x14ac:dyDescent="0.25">
      <c r="F909" s="1"/>
      <c r="G909" s="114">
        <f t="shared" si="71"/>
        <v>0</v>
      </c>
      <c r="H909" s="37">
        <f t="shared" si="72"/>
        <v>0</v>
      </c>
      <c r="I909">
        <f t="shared" si="69"/>
        <v>0</v>
      </c>
      <c r="J909" s="1">
        <f>+SUMIFS('VOLCADO '!H:H,'VOLCADO '!C:C,'Produccion por productor'!A:A,'VOLCADO '!B:B,'Produccion por productor'!B:B,'VOLCADO '!I:I,'Produccion por productor'!C:C,'VOLCADO '!J:J,'Produccion por productor'!E:E)*370</f>
        <v>0</v>
      </c>
      <c r="M909" s="91" t="e">
        <f t="shared" si="73"/>
        <v>#DIV/0!</v>
      </c>
      <c r="N909" s="88" t="e">
        <f t="shared" si="70"/>
        <v>#DIV/0!</v>
      </c>
    </row>
    <row r="910" spans="6:14" x14ac:dyDescent="0.25">
      <c r="F910" s="1"/>
      <c r="G910" s="114">
        <f t="shared" si="71"/>
        <v>0</v>
      </c>
      <c r="H910" s="37">
        <f t="shared" si="72"/>
        <v>0</v>
      </c>
      <c r="I910">
        <f t="shared" ref="I910:I973" si="74">+L910-K910</f>
        <v>0</v>
      </c>
      <c r="J910" s="1">
        <f>+SUMIFS('VOLCADO '!H:H,'VOLCADO '!C:C,'Produccion por productor'!A:A,'VOLCADO '!B:B,'Produccion por productor'!B:B,'VOLCADO '!I:I,'Produccion por productor'!C:C,'VOLCADO '!J:J,'Produccion por productor'!E:E)*370</f>
        <v>0</v>
      </c>
      <c r="M910" s="91" t="e">
        <f t="shared" si="73"/>
        <v>#DIV/0!</v>
      </c>
      <c r="N910" s="88" t="e">
        <f t="shared" si="70"/>
        <v>#DIV/0!</v>
      </c>
    </row>
    <row r="911" spans="6:14" x14ac:dyDescent="0.25">
      <c r="F911" s="1"/>
      <c r="G911" s="114">
        <f t="shared" si="71"/>
        <v>0</v>
      </c>
      <c r="H911" s="37">
        <f t="shared" si="72"/>
        <v>0</v>
      </c>
      <c r="I911">
        <f t="shared" si="74"/>
        <v>0</v>
      </c>
      <c r="J911" s="1">
        <f>+SUMIFS('VOLCADO '!H:H,'VOLCADO '!C:C,'Produccion por productor'!A:A,'VOLCADO '!B:B,'Produccion por productor'!B:B,'VOLCADO '!I:I,'Produccion por productor'!C:C,'VOLCADO '!J:J,'Produccion por productor'!E:E)*370</f>
        <v>0</v>
      </c>
      <c r="M911" s="91" t="e">
        <f t="shared" si="73"/>
        <v>#DIV/0!</v>
      </c>
      <c r="N911" s="88" t="e">
        <f t="shared" si="70"/>
        <v>#DIV/0!</v>
      </c>
    </row>
    <row r="912" spans="6:14" x14ac:dyDescent="0.25">
      <c r="F912" s="1"/>
      <c r="G912" s="114">
        <f t="shared" si="71"/>
        <v>0</v>
      </c>
      <c r="H912" s="37">
        <f t="shared" si="72"/>
        <v>0</v>
      </c>
      <c r="I912">
        <f t="shared" si="74"/>
        <v>0</v>
      </c>
      <c r="J912" s="1">
        <f>+SUMIFS('VOLCADO '!H:H,'VOLCADO '!C:C,'Produccion por productor'!A:A,'VOLCADO '!B:B,'Produccion por productor'!B:B,'VOLCADO '!I:I,'Produccion por productor'!C:C,'VOLCADO '!J:J,'Produccion por productor'!E:E)*370</f>
        <v>0</v>
      </c>
      <c r="M912" s="91" t="e">
        <f t="shared" si="73"/>
        <v>#DIV/0!</v>
      </c>
      <c r="N912" s="88" t="e">
        <f t="shared" si="70"/>
        <v>#DIV/0!</v>
      </c>
    </row>
    <row r="913" spans="6:14" x14ac:dyDescent="0.25">
      <c r="F913" s="1"/>
      <c r="G913" s="114">
        <f t="shared" si="71"/>
        <v>0</v>
      </c>
      <c r="H913" s="37">
        <f t="shared" si="72"/>
        <v>0</v>
      </c>
      <c r="I913">
        <f t="shared" si="74"/>
        <v>0</v>
      </c>
      <c r="J913" s="1">
        <f>+SUMIFS('VOLCADO '!H:H,'VOLCADO '!C:C,'Produccion por productor'!A:A,'VOLCADO '!B:B,'Produccion por productor'!B:B,'VOLCADO '!I:I,'Produccion por productor'!C:C,'VOLCADO '!J:J,'Produccion por productor'!E:E)*370</f>
        <v>0</v>
      </c>
      <c r="M913" s="91" t="e">
        <f t="shared" si="73"/>
        <v>#DIV/0!</v>
      </c>
      <c r="N913" s="88" t="e">
        <f t="shared" si="70"/>
        <v>#DIV/0!</v>
      </c>
    </row>
    <row r="914" spans="6:14" x14ac:dyDescent="0.25">
      <c r="F914" s="1"/>
      <c r="G914" s="114">
        <f t="shared" si="71"/>
        <v>0</v>
      </c>
      <c r="H914" s="37">
        <f t="shared" si="72"/>
        <v>0</v>
      </c>
      <c r="I914">
        <f t="shared" si="74"/>
        <v>0</v>
      </c>
      <c r="J914" s="1">
        <f>+SUMIFS('VOLCADO '!H:H,'VOLCADO '!C:C,'Produccion por productor'!A:A,'VOLCADO '!B:B,'Produccion por productor'!B:B,'VOLCADO '!I:I,'Produccion por productor'!C:C,'VOLCADO '!J:J,'Produccion por productor'!E:E)*370</f>
        <v>0</v>
      </c>
      <c r="M914" s="91" t="e">
        <f t="shared" si="73"/>
        <v>#DIV/0!</v>
      </c>
      <c r="N914" s="88" t="e">
        <f t="shared" si="70"/>
        <v>#DIV/0!</v>
      </c>
    </row>
    <row r="915" spans="6:14" x14ac:dyDescent="0.25">
      <c r="F915" s="1"/>
      <c r="G915" s="114">
        <f t="shared" si="71"/>
        <v>0</v>
      </c>
      <c r="H915" s="37">
        <f t="shared" si="72"/>
        <v>0</v>
      </c>
      <c r="I915">
        <f t="shared" si="74"/>
        <v>0</v>
      </c>
      <c r="J915" s="1">
        <f>+SUMIFS('VOLCADO '!H:H,'VOLCADO '!C:C,'Produccion por productor'!A:A,'VOLCADO '!B:B,'Produccion por productor'!B:B,'VOLCADO '!I:I,'Produccion por productor'!C:C,'VOLCADO '!J:J,'Produccion por productor'!E:E)*370</f>
        <v>0</v>
      </c>
      <c r="M915" s="91" t="e">
        <f t="shared" si="73"/>
        <v>#DIV/0!</v>
      </c>
      <c r="N915" s="88" t="e">
        <f t="shared" si="70"/>
        <v>#DIV/0!</v>
      </c>
    </row>
    <row r="916" spans="6:14" x14ac:dyDescent="0.25">
      <c r="F916" s="1"/>
      <c r="G916" s="114">
        <f t="shared" si="71"/>
        <v>0</v>
      </c>
      <c r="H916" s="37">
        <f t="shared" si="72"/>
        <v>0</v>
      </c>
      <c r="I916">
        <f t="shared" si="74"/>
        <v>0</v>
      </c>
      <c r="J916" s="1">
        <f>+SUMIFS('VOLCADO '!H:H,'VOLCADO '!C:C,'Produccion por productor'!A:A,'VOLCADO '!B:B,'Produccion por productor'!B:B,'VOLCADO '!I:I,'Produccion por productor'!C:C,'VOLCADO '!J:J,'Produccion por productor'!E:E)*370</f>
        <v>0</v>
      </c>
      <c r="M916" s="91" t="e">
        <f t="shared" si="73"/>
        <v>#DIV/0!</v>
      </c>
      <c r="N916" s="88" t="e">
        <f t="shared" si="70"/>
        <v>#DIV/0!</v>
      </c>
    </row>
    <row r="917" spans="6:14" x14ac:dyDescent="0.25">
      <c r="F917" s="1"/>
      <c r="G917" s="114">
        <f t="shared" si="71"/>
        <v>0</v>
      </c>
      <c r="H917" s="37">
        <f t="shared" si="72"/>
        <v>0</v>
      </c>
      <c r="I917">
        <f t="shared" si="74"/>
        <v>0</v>
      </c>
      <c r="J917" s="1">
        <f>+SUMIFS('VOLCADO '!H:H,'VOLCADO '!C:C,'Produccion por productor'!A:A,'VOLCADO '!B:B,'Produccion por productor'!B:B,'VOLCADO '!I:I,'Produccion por productor'!C:C,'VOLCADO '!J:J,'Produccion por productor'!E:E)*370</f>
        <v>0</v>
      </c>
      <c r="M917" s="91" t="e">
        <f t="shared" si="73"/>
        <v>#DIV/0!</v>
      </c>
      <c r="N917" s="88" t="e">
        <f t="shared" si="70"/>
        <v>#DIV/0!</v>
      </c>
    </row>
    <row r="918" spans="6:14" x14ac:dyDescent="0.25">
      <c r="F918" s="1"/>
      <c r="G918" s="114">
        <f t="shared" si="71"/>
        <v>0</v>
      </c>
      <c r="H918" s="37">
        <f t="shared" si="72"/>
        <v>0</v>
      </c>
      <c r="I918">
        <f t="shared" si="74"/>
        <v>0</v>
      </c>
      <c r="J918" s="1">
        <f>+SUMIFS('VOLCADO '!H:H,'VOLCADO '!C:C,'Produccion por productor'!A:A,'VOLCADO '!B:B,'Produccion por productor'!B:B,'VOLCADO '!I:I,'Produccion por productor'!C:C,'VOLCADO '!J:J,'Produccion por productor'!E:E)*370</f>
        <v>0</v>
      </c>
      <c r="M918" s="91" t="e">
        <f t="shared" si="73"/>
        <v>#DIV/0!</v>
      </c>
      <c r="N918" s="88" t="e">
        <f t="shared" si="70"/>
        <v>#DIV/0!</v>
      </c>
    </row>
    <row r="919" spans="6:14" x14ac:dyDescent="0.25">
      <c r="F919" s="1"/>
      <c r="G919" s="114">
        <f t="shared" si="71"/>
        <v>0</v>
      </c>
      <c r="H919" s="37">
        <f t="shared" si="72"/>
        <v>0</v>
      </c>
      <c r="I919">
        <f t="shared" si="74"/>
        <v>0</v>
      </c>
      <c r="J919" s="1">
        <f>+SUMIFS('VOLCADO '!H:H,'VOLCADO '!C:C,'Produccion por productor'!A:A,'VOLCADO '!B:B,'Produccion por productor'!B:B,'VOLCADO '!I:I,'Produccion por productor'!C:C,'VOLCADO '!J:J,'Produccion por productor'!E:E)*370</f>
        <v>0</v>
      </c>
      <c r="M919" s="91" t="e">
        <f t="shared" si="73"/>
        <v>#DIV/0!</v>
      </c>
      <c r="N919" s="88" t="e">
        <f t="shared" si="70"/>
        <v>#DIV/0!</v>
      </c>
    </row>
    <row r="920" spans="6:14" x14ac:dyDescent="0.25">
      <c r="F920" s="1"/>
      <c r="G920" s="114">
        <f t="shared" si="71"/>
        <v>0</v>
      </c>
      <c r="H920" s="37">
        <f t="shared" si="72"/>
        <v>0</v>
      </c>
      <c r="I920">
        <f t="shared" si="74"/>
        <v>0</v>
      </c>
      <c r="J920" s="1">
        <f>+SUMIFS('VOLCADO '!H:H,'VOLCADO '!C:C,'Produccion por productor'!A:A,'VOLCADO '!B:B,'Produccion por productor'!B:B,'VOLCADO '!I:I,'Produccion por productor'!C:C,'VOLCADO '!J:J,'Produccion por productor'!E:E)*370</f>
        <v>0</v>
      </c>
      <c r="M920" s="91" t="e">
        <f t="shared" si="73"/>
        <v>#DIV/0!</v>
      </c>
      <c r="N920" s="88" t="e">
        <f t="shared" si="70"/>
        <v>#DIV/0!</v>
      </c>
    </row>
    <row r="921" spans="6:14" x14ac:dyDescent="0.25">
      <c r="F921" s="1"/>
      <c r="G921" s="114">
        <f t="shared" si="71"/>
        <v>0</v>
      </c>
      <c r="H921" s="37">
        <f t="shared" si="72"/>
        <v>0</v>
      </c>
      <c r="I921">
        <f t="shared" si="74"/>
        <v>0</v>
      </c>
      <c r="J921" s="1">
        <f>+SUMIFS('VOLCADO '!H:H,'VOLCADO '!C:C,'Produccion por productor'!A:A,'VOLCADO '!B:B,'Produccion por productor'!B:B,'VOLCADO '!I:I,'Produccion por productor'!C:C,'VOLCADO '!J:J,'Produccion por productor'!E:E)*370</f>
        <v>0</v>
      </c>
      <c r="M921" s="91" t="e">
        <f t="shared" si="73"/>
        <v>#DIV/0!</v>
      </c>
      <c r="N921" s="88" t="e">
        <f t="shared" si="70"/>
        <v>#DIV/0!</v>
      </c>
    </row>
    <row r="922" spans="6:14" x14ac:dyDescent="0.25">
      <c r="F922" s="1"/>
      <c r="G922" s="114">
        <f t="shared" si="71"/>
        <v>0</v>
      </c>
      <c r="H922" s="37">
        <f t="shared" si="72"/>
        <v>0</v>
      </c>
      <c r="I922">
        <f t="shared" si="74"/>
        <v>0</v>
      </c>
      <c r="J922" s="1">
        <f>+SUMIFS('VOLCADO '!H:H,'VOLCADO '!C:C,'Produccion por productor'!A:A,'VOLCADO '!B:B,'Produccion por productor'!B:B,'VOLCADO '!I:I,'Produccion por productor'!C:C,'VOLCADO '!J:J,'Produccion por productor'!E:E)*370</f>
        <v>0</v>
      </c>
      <c r="M922" s="91" t="e">
        <f t="shared" si="73"/>
        <v>#DIV/0!</v>
      </c>
      <c r="N922" s="88" t="e">
        <f t="shared" si="70"/>
        <v>#DIV/0!</v>
      </c>
    </row>
    <row r="923" spans="6:14" x14ac:dyDescent="0.25">
      <c r="F923" s="1"/>
      <c r="G923" s="114">
        <f t="shared" si="71"/>
        <v>0</v>
      </c>
      <c r="H923" s="37">
        <f t="shared" si="72"/>
        <v>0</v>
      </c>
      <c r="I923">
        <f t="shared" si="74"/>
        <v>0</v>
      </c>
      <c r="J923" s="1">
        <f>+SUMIFS('VOLCADO '!H:H,'VOLCADO '!C:C,'Produccion por productor'!A:A,'VOLCADO '!B:B,'Produccion por productor'!B:B,'VOLCADO '!I:I,'Produccion por productor'!C:C,'VOLCADO '!J:J,'Produccion por productor'!E:E)*370</f>
        <v>0</v>
      </c>
      <c r="M923" s="91" t="e">
        <f t="shared" si="73"/>
        <v>#DIV/0!</v>
      </c>
      <c r="N923" s="88" t="e">
        <f t="shared" si="70"/>
        <v>#DIV/0!</v>
      </c>
    </row>
    <row r="924" spans="6:14" x14ac:dyDescent="0.25">
      <c r="F924" s="1"/>
      <c r="G924" s="114">
        <f t="shared" si="71"/>
        <v>0</v>
      </c>
      <c r="H924" s="37">
        <f t="shared" si="72"/>
        <v>0</v>
      </c>
      <c r="I924">
        <f t="shared" si="74"/>
        <v>0</v>
      </c>
      <c r="J924" s="1">
        <f>+SUMIFS('VOLCADO '!H:H,'VOLCADO '!C:C,'Produccion por productor'!A:A,'VOLCADO '!B:B,'Produccion por productor'!B:B,'VOLCADO '!I:I,'Produccion por productor'!C:C,'VOLCADO '!J:J,'Produccion por productor'!E:E)*370</f>
        <v>0</v>
      </c>
      <c r="M924" s="91" t="e">
        <f t="shared" si="73"/>
        <v>#DIV/0!</v>
      </c>
      <c r="N924" s="88" t="e">
        <f t="shared" si="70"/>
        <v>#DIV/0!</v>
      </c>
    </row>
    <row r="925" spans="6:14" x14ac:dyDescent="0.25">
      <c r="F925" s="1"/>
      <c r="G925" s="114">
        <f t="shared" si="71"/>
        <v>0</v>
      </c>
      <c r="H925" s="37">
        <f t="shared" si="72"/>
        <v>0</v>
      </c>
      <c r="I925">
        <f t="shared" si="74"/>
        <v>0</v>
      </c>
      <c r="J925" s="1">
        <f>+SUMIFS('VOLCADO '!H:H,'VOLCADO '!C:C,'Produccion por productor'!A:A,'VOLCADO '!B:B,'Produccion por productor'!B:B,'VOLCADO '!I:I,'Produccion por productor'!C:C,'VOLCADO '!J:J,'Produccion por productor'!E:E)*370</f>
        <v>0</v>
      </c>
      <c r="M925" s="91" t="e">
        <f t="shared" si="73"/>
        <v>#DIV/0!</v>
      </c>
      <c r="N925" s="88" t="e">
        <f t="shared" si="70"/>
        <v>#DIV/0!</v>
      </c>
    </row>
    <row r="926" spans="6:14" x14ac:dyDescent="0.25">
      <c r="F926" s="1"/>
      <c r="G926" s="114">
        <f t="shared" si="71"/>
        <v>0</v>
      </c>
      <c r="H926" s="37">
        <f t="shared" si="72"/>
        <v>0</v>
      </c>
      <c r="I926">
        <f t="shared" si="74"/>
        <v>0</v>
      </c>
      <c r="J926" s="1">
        <f>+SUMIFS('VOLCADO '!H:H,'VOLCADO '!C:C,'Produccion por productor'!A:A,'VOLCADO '!B:B,'Produccion por productor'!B:B,'VOLCADO '!I:I,'Produccion por productor'!C:C,'VOLCADO '!J:J,'Produccion por productor'!E:E)*370</f>
        <v>0</v>
      </c>
      <c r="M926" s="91" t="e">
        <f t="shared" si="73"/>
        <v>#DIV/0!</v>
      </c>
      <c r="N926" s="88" t="e">
        <f t="shared" si="70"/>
        <v>#DIV/0!</v>
      </c>
    </row>
    <row r="927" spans="6:14" x14ac:dyDescent="0.25">
      <c r="F927" s="1"/>
      <c r="G927" s="114">
        <f t="shared" si="71"/>
        <v>0</v>
      </c>
      <c r="H927" s="37">
        <f t="shared" si="72"/>
        <v>0</v>
      </c>
      <c r="I927">
        <f t="shared" si="74"/>
        <v>0</v>
      </c>
      <c r="J927" s="1">
        <f>+SUMIFS('VOLCADO '!H:H,'VOLCADO '!C:C,'Produccion por productor'!A:A,'VOLCADO '!B:B,'Produccion por productor'!B:B,'VOLCADO '!I:I,'Produccion por productor'!C:C,'VOLCADO '!J:J,'Produccion por productor'!E:E)*370</f>
        <v>0</v>
      </c>
      <c r="M927" s="91" t="e">
        <f t="shared" si="73"/>
        <v>#DIV/0!</v>
      </c>
      <c r="N927" s="88" t="e">
        <f t="shared" si="70"/>
        <v>#DIV/0!</v>
      </c>
    </row>
    <row r="928" spans="6:14" x14ac:dyDescent="0.25">
      <c r="F928" s="1"/>
      <c r="G928" s="114">
        <f t="shared" si="71"/>
        <v>0</v>
      </c>
      <c r="H928" s="37">
        <f t="shared" si="72"/>
        <v>0</v>
      </c>
      <c r="I928">
        <f t="shared" si="74"/>
        <v>0</v>
      </c>
      <c r="J928" s="1">
        <f>+SUMIFS('VOLCADO '!H:H,'VOLCADO '!C:C,'Produccion por productor'!A:A,'VOLCADO '!B:B,'Produccion por productor'!B:B,'VOLCADO '!I:I,'Produccion por productor'!C:C,'VOLCADO '!J:J,'Produccion por productor'!E:E)*370</f>
        <v>0</v>
      </c>
      <c r="M928" s="91" t="e">
        <f t="shared" si="73"/>
        <v>#DIV/0!</v>
      </c>
      <c r="N928" s="88" t="e">
        <f t="shared" si="70"/>
        <v>#DIV/0!</v>
      </c>
    </row>
    <row r="929" spans="6:14" x14ac:dyDescent="0.25">
      <c r="F929" s="1"/>
      <c r="G929" s="114">
        <f t="shared" si="71"/>
        <v>0</v>
      </c>
      <c r="H929" s="37">
        <f t="shared" si="72"/>
        <v>0</v>
      </c>
      <c r="I929">
        <f t="shared" si="74"/>
        <v>0</v>
      </c>
      <c r="J929" s="1">
        <f>+SUMIFS('VOLCADO '!H:H,'VOLCADO '!C:C,'Produccion por productor'!A:A,'VOLCADO '!B:B,'Produccion por productor'!B:B,'VOLCADO '!I:I,'Produccion por productor'!C:C,'VOLCADO '!J:J,'Produccion por productor'!E:E)*370</f>
        <v>0</v>
      </c>
      <c r="M929" s="91" t="e">
        <f t="shared" si="73"/>
        <v>#DIV/0!</v>
      </c>
      <c r="N929" s="88" t="e">
        <f t="shared" si="70"/>
        <v>#DIV/0!</v>
      </c>
    </row>
    <row r="930" spans="6:14" x14ac:dyDescent="0.25">
      <c r="F930" s="1"/>
      <c r="G930" s="114">
        <f t="shared" si="71"/>
        <v>0</v>
      </c>
      <c r="H930" s="37">
        <f t="shared" si="72"/>
        <v>0</v>
      </c>
      <c r="I930">
        <f t="shared" si="74"/>
        <v>0</v>
      </c>
      <c r="J930" s="1">
        <f>+SUMIFS('VOLCADO '!H:H,'VOLCADO '!C:C,'Produccion por productor'!A:A,'VOLCADO '!B:B,'Produccion por productor'!B:B,'VOLCADO '!I:I,'Produccion por productor'!C:C,'VOLCADO '!J:J,'Produccion por productor'!E:E)*370</f>
        <v>0</v>
      </c>
      <c r="M930" s="91" t="e">
        <f t="shared" si="73"/>
        <v>#DIV/0!</v>
      </c>
      <c r="N930" s="88" t="e">
        <f t="shared" si="70"/>
        <v>#DIV/0!</v>
      </c>
    </row>
    <row r="931" spans="6:14" x14ac:dyDescent="0.25">
      <c r="F931" s="1"/>
      <c r="G931" s="114">
        <f t="shared" si="71"/>
        <v>0</v>
      </c>
      <c r="H931" s="37">
        <f t="shared" si="72"/>
        <v>0</v>
      </c>
      <c r="I931">
        <f t="shared" si="74"/>
        <v>0</v>
      </c>
      <c r="J931" s="1">
        <f>+SUMIFS('VOLCADO '!H:H,'VOLCADO '!C:C,'Produccion por productor'!A:A,'VOLCADO '!B:B,'Produccion por productor'!B:B,'VOLCADO '!I:I,'Produccion por productor'!C:C,'VOLCADO '!J:J,'Produccion por productor'!E:E)*370</f>
        <v>0</v>
      </c>
      <c r="M931" s="91" t="e">
        <f t="shared" si="73"/>
        <v>#DIV/0!</v>
      </c>
      <c r="N931" s="88" t="e">
        <f t="shared" si="70"/>
        <v>#DIV/0!</v>
      </c>
    </row>
    <row r="932" spans="6:14" x14ac:dyDescent="0.25">
      <c r="F932" s="1"/>
      <c r="G932" s="114">
        <f t="shared" si="71"/>
        <v>0</v>
      </c>
      <c r="H932" s="37">
        <f t="shared" si="72"/>
        <v>0</v>
      </c>
      <c r="I932">
        <f t="shared" si="74"/>
        <v>0</v>
      </c>
      <c r="J932" s="1">
        <f>+SUMIFS('VOLCADO '!H:H,'VOLCADO '!C:C,'Produccion por productor'!A:A,'VOLCADO '!B:B,'Produccion por productor'!B:B,'VOLCADO '!I:I,'Produccion por productor'!C:C,'VOLCADO '!J:J,'Produccion por productor'!E:E)*370</f>
        <v>0</v>
      </c>
      <c r="M932" s="91" t="e">
        <f t="shared" si="73"/>
        <v>#DIV/0!</v>
      </c>
      <c r="N932" s="88" t="e">
        <f t="shared" si="70"/>
        <v>#DIV/0!</v>
      </c>
    </row>
    <row r="933" spans="6:14" x14ac:dyDescent="0.25">
      <c r="F933" s="1"/>
      <c r="G933" s="114">
        <f t="shared" si="71"/>
        <v>0</v>
      </c>
      <c r="H933" s="37">
        <f t="shared" si="72"/>
        <v>0</v>
      </c>
      <c r="I933">
        <f t="shared" si="74"/>
        <v>0</v>
      </c>
      <c r="J933" s="1">
        <f>+SUMIFS('VOLCADO '!H:H,'VOLCADO '!C:C,'Produccion por productor'!A:A,'VOLCADO '!B:B,'Produccion por productor'!B:B,'VOLCADO '!I:I,'Produccion por productor'!C:C,'VOLCADO '!J:J,'Produccion por productor'!E:E)*370</f>
        <v>0</v>
      </c>
      <c r="M933" s="91" t="e">
        <f t="shared" si="73"/>
        <v>#DIV/0!</v>
      </c>
      <c r="N933" s="88" t="e">
        <f t="shared" si="70"/>
        <v>#DIV/0!</v>
      </c>
    </row>
    <row r="934" spans="6:14" x14ac:dyDescent="0.25">
      <c r="F934" s="1"/>
      <c r="G934" s="114">
        <f t="shared" si="71"/>
        <v>0</v>
      </c>
      <c r="H934" s="37">
        <f t="shared" si="72"/>
        <v>0</v>
      </c>
      <c r="I934">
        <f t="shared" si="74"/>
        <v>0</v>
      </c>
      <c r="J934" s="1">
        <f>+SUMIFS('VOLCADO '!H:H,'VOLCADO '!C:C,'Produccion por productor'!A:A,'VOLCADO '!B:B,'Produccion por productor'!B:B,'VOLCADO '!I:I,'Produccion por productor'!C:C,'VOLCADO '!J:J,'Produccion por productor'!E:E)*370</f>
        <v>0</v>
      </c>
      <c r="M934" s="91" t="e">
        <f t="shared" si="73"/>
        <v>#DIV/0!</v>
      </c>
      <c r="N934" s="88" t="e">
        <f t="shared" si="70"/>
        <v>#DIV/0!</v>
      </c>
    </row>
    <row r="935" spans="6:14" x14ac:dyDescent="0.25">
      <c r="F935" s="1"/>
      <c r="G935" s="114">
        <f t="shared" si="71"/>
        <v>0</v>
      </c>
      <c r="H935" s="37">
        <f t="shared" si="72"/>
        <v>0</v>
      </c>
      <c r="I935">
        <f t="shared" si="74"/>
        <v>0</v>
      </c>
      <c r="J935" s="1">
        <f>+SUMIFS('VOLCADO '!H:H,'VOLCADO '!C:C,'Produccion por productor'!A:A,'VOLCADO '!B:B,'Produccion por productor'!B:B,'VOLCADO '!I:I,'Produccion por productor'!C:C,'VOLCADO '!J:J,'Produccion por productor'!E:E)*370</f>
        <v>0</v>
      </c>
      <c r="M935" s="91" t="e">
        <f t="shared" si="73"/>
        <v>#DIV/0!</v>
      </c>
      <c r="N935" s="88" t="e">
        <f t="shared" si="70"/>
        <v>#DIV/0!</v>
      </c>
    </row>
    <row r="936" spans="6:14" x14ac:dyDescent="0.25">
      <c r="F936" s="1"/>
      <c r="G936" s="114">
        <f t="shared" si="71"/>
        <v>0</v>
      </c>
      <c r="H936" s="37">
        <f t="shared" si="72"/>
        <v>0</v>
      </c>
      <c r="I936">
        <f t="shared" si="74"/>
        <v>0</v>
      </c>
      <c r="J936" s="1">
        <f>+SUMIFS('VOLCADO '!H:H,'VOLCADO '!C:C,'Produccion por productor'!A:A,'VOLCADO '!B:B,'Produccion por productor'!B:B,'VOLCADO '!I:I,'Produccion por productor'!C:C,'VOLCADO '!J:J,'Produccion por productor'!E:E)*370</f>
        <v>0</v>
      </c>
      <c r="M936" s="91" t="e">
        <f t="shared" si="73"/>
        <v>#DIV/0!</v>
      </c>
      <c r="N936" s="88" t="e">
        <f t="shared" si="70"/>
        <v>#DIV/0!</v>
      </c>
    </row>
    <row r="937" spans="6:14" x14ac:dyDescent="0.25">
      <c r="F937" s="1"/>
      <c r="G937" s="114">
        <f t="shared" si="71"/>
        <v>0</v>
      </c>
      <c r="H937" s="37">
        <f t="shared" si="72"/>
        <v>0</v>
      </c>
      <c r="I937">
        <f t="shared" si="74"/>
        <v>0</v>
      </c>
      <c r="J937" s="1">
        <f>+SUMIFS('VOLCADO '!H:H,'VOLCADO '!C:C,'Produccion por productor'!A:A,'VOLCADO '!B:B,'Produccion por productor'!B:B,'VOLCADO '!I:I,'Produccion por productor'!C:C,'VOLCADO '!J:J,'Produccion por productor'!E:E)*370</f>
        <v>0</v>
      </c>
      <c r="M937" s="91" t="e">
        <f t="shared" si="73"/>
        <v>#DIV/0!</v>
      </c>
      <c r="N937" s="88" t="e">
        <f t="shared" si="70"/>
        <v>#DIV/0!</v>
      </c>
    </row>
    <row r="938" spans="6:14" x14ac:dyDescent="0.25">
      <c r="F938" s="1"/>
      <c r="G938" s="114">
        <f t="shared" si="71"/>
        <v>0</v>
      </c>
      <c r="H938" s="37">
        <f t="shared" si="72"/>
        <v>0</v>
      </c>
      <c r="I938">
        <f t="shared" si="74"/>
        <v>0</v>
      </c>
      <c r="J938" s="1">
        <f>+SUMIFS('VOLCADO '!H:H,'VOLCADO '!C:C,'Produccion por productor'!A:A,'VOLCADO '!B:B,'Produccion por productor'!B:B,'VOLCADO '!I:I,'Produccion por productor'!C:C,'VOLCADO '!J:J,'Produccion por productor'!E:E)*370</f>
        <v>0</v>
      </c>
      <c r="M938" s="91" t="e">
        <f t="shared" si="73"/>
        <v>#DIV/0!</v>
      </c>
      <c r="N938" s="88" t="e">
        <f t="shared" si="70"/>
        <v>#DIV/0!</v>
      </c>
    </row>
    <row r="939" spans="6:14" x14ac:dyDescent="0.25">
      <c r="F939" s="1"/>
      <c r="G939" s="114">
        <f t="shared" si="71"/>
        <v>0</v>
      </c>
      <c r="H939" s="37">
        <f t="shared" si="72"/>
        <v>0</v>
      </c>
      <c r="I939">
        <f t="shared" si="74"/>
        <v>0</v>
      </c>
      <c r="J939" s="1">
        <f>+SUMIFS('VOLCADO '!H:H,'VOLCADO '!C:C,'Produccion por productor'!A:A,'VOLCADO '!B:B,'Produccion por productor'!B:B,'VOLCADO '!I:I,'Produccion por productor'!C:C,'VOLCADO '!J:J,'Produccion por productor'!E:E)*370</f>
        <v>0</v>
      </c>
      <c r="M939" s="91" t="e">
        <f t="shared" si="73"/>
        <v>#DIV/0!</v>
      </c>
      <c r="N939" s="88" t="e">
        <f t="shared" si="70"/>
        <v>#DIV/0!</v>
      </c>
    </row>
    <row r="940" spans="6:14" x14ac:dyDescent="0.25">
      <c r="F940" s="1"/>
      <c r="G940" s="114">
        <f t="shared" si="71"/>
        <v>0</v>
      </c>
      <c r="H940" s="37">
        <f t="shared" si="72"/>
        <v>0</v>
      </c>
      <c r="I940">
        <f t="shared" si="74"/>
        <v>0</v>
      </c>
      <c r="J940" s="1">
        <f>+SUMIFS('VOLCADO '!H:H,'VOLCADO '!C:C,'Produccion por productor'!A:A,'VOLCADO '!B:B,'Produccion por productor'!B:B,'VOLCADO '!I:I,'Produccion por productor'!C:C,'VOLCADO '!J:J,'Produccion por productor'!E:E)*370</f>
        <v>0</v>
      </c>
      <c r="M940" s="91" t="e">
        <f t="shared" si="73"/>
        <v>#DIV/0!</v>
      </c>
      <c r="N940" s="88" t="e">
        <f t="shared" si="70"/>
        <v>#DIV/0!</v>
      </c>
    </row>
    <row r="941" spans="6:14" x14ac:dyDescent="0.25">
      <c r="F941" s="1"/>
      <c r="G941" s="114">
        <f t="shared" si="71"/>
        <v>0</v>
      </c>
      <c r="H941" s="37">
        <f t="shared" si="72"/>
        <v>0</v>
      </c>
      <c r="I941">
        <f t="shared" si="74"/>
        <v>0</v>
      </c>
      <c r="J941" s="1">
        <f>+SUMIFS('VOLCADO '!H:H,'VOLCADO '!C:C,'Produccion por productor'!A:A,'VOLCADO '!B:B,'Produccion por productor'!B:B,'VOLCADO '!I:I,'Produccion por productor'!C:C,'VOLCADO '!J:J,'Produccion por productor'!E:E)*370</f>
        <v>0</v>
      </c>
      <c r="M941" s="91" t="e">
        <f t="shared" si="73"/>
        <v>#DIV/0!</v>
      </c>
      <c r="N941" s="88" t="e">
        <f t="shared" si="70"/>
        <v>#DIV/0!</v>
      </c>
    </row>
    <row r="942" spans="6:14" x14ac:dyDescent="0.25">
      <c r="F942" s="1"/>
      <c r="G942" s="114">
        <f t="shared" si="71"/>
        <v>0</v>
      </c>
      <c r="H942" s="37">
        <f t="shared" si="72"/>
        <v>0</v>
      </c>
      <c r="I942">
        <f t="shared" si="74"/>
        <v>0</v>
      </c>
      <c r="J942" s="1">
        <f>+SUMIFS('VOLCADO '!H:H,'VOLCADO '!C:C,'Produccion por productor'!A:A,'VOLCADO '!B:B,'Produccion por productor'!B:B,'VOLCADO '!I:I,'Produccion por productor'!C:C,'VOLCADO '!J:J,'Produccion por productor'!E:E)*370</f>
        <v>0</v>
      </c>
      <c r="M942" s="91" t="e">
        <f t="shared" si="73"/>
        <v>#DIV/0!</v>
      </c>
      <c r="N942" s="88" t="e">
        <f t="shared" si="70"/>
        <v>#DIV/0!</v>
      </c>
    </row>
    <row r="943" spans="6:14" x14ac:dyDescent="0.25">
      <c r="F943" s="1"/>
      <c r="G943" s="114">
        <f t="shared" si="71"/>
        <v>0</v>
      </c>
      <c r="H943" s="37">
        <f t="shared" si="72"/>
        <v>0</v>
      </c>
      <c r="I943">
        <f t="shared" si="74"/>
        <v>0</v>
      </c>
      <c r="J943" s="1">
        <f>+SUMIFS('VOLCADO '!H:H,'VOLCADO '!C:C,'Produccion por productor'!A:A,'VOLCADO '!B:B,'Produccion por productor'!B:B,'VOLCADO '!I:I,'Produccion por productor'!C:C,'VOLCADO '!J:J,'Produccion por productor'!E:E)*370</f>
        <v>0</v>
      </c>
      <c r="M943" s="91" t="e">
        <f t="shared" si="73"/>
        <v>#DIV/0!</v>
      </c>
      <c r="N943" s="88" t="e">
        <f t="shared" si="70"/>
        <v>#DIV/0!</v>
      </c>
    </row>
    <row r="944" spans="6:14" x14ac:dyDescent="0.25">
      <c r="F944" s="1"/>
      <c r="G944" s="114">
        <f t="shared" si="71"/>
        <v>0</v>
      </c>
      <c r="H944" s="37">
        <f t="shared" si="72"/>
        <v>0</v>
      </c>
      <c r="I944">
        <f t="shared" si="74"/>
        <v>0</v>
      </c>
      <c r="J944" s="1">
        <f>+SUMIFS('VOLCADO '!H:H,'VOLCADO '!C:C,'Produccion por productor'!A:A,'VOLCADO '!B:B,'Produccion por productor'!B:B,'VOLCADO '!I:I,'Produccion por productor'!C:C,'VOLCADO '!J:J,'Produccion por productor'!E:E)*370</f>
        <v>0</v>
      </c>
      <c r="M944" s="91" t="e">
        <f t="shared" si="73"/>
        <v>#DIV/0!</v>
      </c>
      <c r="N944" s="88" t="e">
        <f t="shared" si="70"/>
        <v>#DIV/0!</v>
      </c>
    </row>
    <row r="945" spans="6:14" x14ac:dyDescent="0.25">
      <c r="F945" s="1"/>
      <c r="G945" s="114">
        <f t="shared" si="71"/>
        <v>0</v>
      </c>
      <c r="H945" s="37">
        <f t="shared" si="72"/>
        <v>0</v>
      </c>
      <c r="I945">
        <f t="shared" si="74"/>
        <v>0</v>
      </c>
      <c r="J945" s="1">
        <f>+SUMIFS('VOLCADO '!H:H,'VOLCADO '!C:C,'Produccion por productor'!A:A,'VOLCADO '!B:B,'Produccion por productor'!B:B,'VOLCADO '!I:I,'Produccion por productor'!C:C,'VOLCADO '!J:J,'Produccion por productor'!E:E)*370</f>
        <v>0</v>
      </c>
      <c r="M945" s="91" t="e">
        <f t="shared" si="73"/>
        <v>#DIV/0!</v>
      </c>
      <c r="N945" s="88" t="e">
        <f t="shared" si="70"/>
        <v>#DIV/0!</v>
      </c>
    </row>
    <row r="946" spans="6:14" x14ac:dyDescent="0.25">
      <c r="F946" s="1"/>
      <c r="G946" s="114">
        <f t="shared" si="71"/>
        <v>0</v>
      </c>
      <c r="H946" s="37">
        <f t="shared" si="72"/>
        <v>0</v>
      </c>
      <c r="I946">
        <f t="shared" si="74"/>
        <v>0</v>
      </c>
      <c r="J946" s="1">
        <f>+SUMIFS('VOLCADO '!H:H,'VOLCADO '!C:C,'Produccion por productor'!A:A,'VOLCADO '!B:B,'Produccion por productor'!B:B,'VOLCADO '!I:I,'Produccion por productor'!C:C,'VOLCADO '!J:J,'Produccion por productor'!E:E)*370</f>
        <v>0</v>
      </c>
      <c r="M946" s="91" t="e">
        <f t="shared" si="73"/>
        <v>#DIV/0!</v>
      </c>
      <c r="N946" s="88" t="e">
        <f t="shared" si="70"/>
        <v>#DIV/0!</v>
      </c>
    </row>
    <row r="947" spans="6:14" x14ac:dyDescent="0.25">
      <c r="F947" s="1"/>
      <c r="G947" s="114">
        <f t="shared" si="71"/>
        <v>0</v>
      </c>
      <c r="H947" s="37">
        <f t="shared" si="72"/>
        <v>0</v>
      </c>
      <c r="I947">
        <f t="shared" si="74"/>
        <v>0</v>
      </c>
      <c r="J947" s="1">
        <f>+SUMIFS('VOLCADO '!H:H,'VOLCADO '!C:C,'Produccion por productor'!A:A,'VOLCADO '!B:B,'Produccion por productor'!B:B,'VOLCADO '!I:I,'Produccion por productor'!C:C,'VOLCADO '!J:J,'Produccion por productor'!E:E)*370</f>
        <v>0</v>
      </c>
      <c r="M947" s="91" t="e">
        <f t="shared" si="73"/>
        <v>#DIV/0!</v>
      </c>
      <c r="N947" s="88" t="e">
        <f t="shared" si="70"/>
        <v>#DIV/0!</v>
      </c>
    </row>
    <row r="948" spans="6:14" x14ac:dyDescent="0.25">
      <c r="F948" s="1"/>
      <c r="G948" s="114">
        <f t="shared" si="71"/>
        <v>0</v>
      </c>
      <c r="H948" s="37">
        <f t="shared" si="72"/>
        <v>0</v>
      </c>
      <c r="I948">
        <f t="shared" si="74"/>
        <v>0</v>
      </c>
      <c r="J948" s="1">
        <f>+SUMIFS('VOLCADO '!H:H,'VOLCADO '!C:C,'Produccion por productor'!A:A,'VOLCADO '!B:B,'Produccion por productor'!B:B,'VOLCADO '!I:I,'Produccion por productor'!C:C,'VOLCADO '!J:J,'Produccion por productor'!E:E)*370</f>
        <v>0</v>
      </c>
      <c r="M948" s="91" t="e">
        <f t="shared" si="73"/>
        <v>#DIV/0!</v>
      </c>
      <c r="N948" s="88" t="e">
        <f t="shared" si="70"/>
        <v>#DIV/0!</v>
      </c>
    </row>
    <row r="949" spans="6:14" x14ac:dyDescent="0.25">
      <c r="F949" s="1"/>
      <c r="G949" s="114">
        <f t="shared" si="71"/>
        <v>0</v>
      </c>
      <c r="H949" s="37">
        <f t="shared" si="72"/>
        <v>0</v>
      </c>
      <c r="I949">
        <f t="shared" si="74"/>
        <v>0</v>
      </c>
      <c r="J949" s="1">
        <f>+SUMIFS('VOLCADO '!H:H,'VOLCADO '!C:C,'Produccion por productor'!A:A,'VOLCADO '!B:B,'Produccion por productor'!B:B,'VOLCADO '!I:I,'Produccion por productor'!C:C,'VOLCADO '!J:J,'Produccion por productor'!E:E)*370</f>
        <v>0</v>
      </c>
      <c r="M949" s="91" t="e">
        <f t="shared" si="73"/>
        <v>#DIV/0!</v>
      </c>
      <c r="N949" s="88" t="e">
        <f t="shared" si="70"/>
        <v>#DIV/0!</v>
      </c>
    </row>
    <row r="950" spans="6:14" x14ac:dyDescent="0.25">
      <c r="F950" s="1"/>
      <c r="G950" s="114">
        <f t="shared" si="71"/>
        <v>0</v>
      </c>
      <c r="H950" s="37">
        <f t="shared" si="72"/>
        <v>0</v>
      </c>
      <c r="I950">
        <f t="shared" si="74"/>
        <v>0</v>
      </c>
      <c r="J950" s="1">
        <f>+SUMIFS('VOLCADO '!H:H,'VOLCADO '!C:C,'Produccion por productor'!A:A,'VOLCADO '!B:B,'Produccion por productor'!B:B,'VOLCADO '!I:I,'Produccion por productor'!C:C,'VOLCADO '!J:J,'Produccion por productor'!E:E)*370</f>
        <v>0</v>
      </c>
      <c r="M950" s="91" t="e">
        <f t="shared" si="73"/>
        <v>#DIV/0!</v>
      </c>
      <c r="N950" s="88" t="e">
        <f t="shared" si="70"/>
        <v>#DIV/0!</v>
      </c>
    </row>
    <row r="951" spans="6:14" x14ac:dyDescent="0.25">
      <c r="F951" s="1"/>
      <c r="G951" s="114">
        <f t="shared" si="71"/>
        <v>0</v>
      </c>
      <c r="H951" s="37">
        <f t="shared" si="72"/>
        <v>0</v>
      </c>
      <c r="I951">
        <f t="shared" si="74"/>
        <v>0</v>
      </c>
      <c r="J951" s="1">
        <f>+SUMIFS('VOLCADO '!H:H,'VOLCADO '!C:C,'Produccion por productor'!A:A,'VOLCADO '!B:B,'Produccion por productor'!B:B,'VOLCADO '!I:I,'Produccion por productor'!C:C,'VOLCADO '!J:J,'Produccion por productor'!E:E)*370</f>
        <v>0</v>
      </c>
      <c r="M951" s="91" t="e">
        <f t="shared" si="73"/>
        <v>#DIV/0!</v>
      </c>
      <c r="N951" s="88" t="e">
        <f t="shared" si="70"/>
        <v>#DIV/0!</v>
      </c>
    </row>
    <row r="952" spans="6:14" x14ac:dyDescent="0.25">
      <c r="F952" s="1"/>
      <c r="G952" s="114">
        <f t="shared" si="71"/>
        <v>0</v>
      </c>
      <c r="H952" s="37">
        <f t="shared" si="72"/>
        <v>0</v>
      </c>
      <c r="I952">
        <f t="shared" si="74"/>
        <v>0</v>
      </c>
      <c r="J952" s="1">
        <f>+SUMIFS('VOLCADO '!H:H,'VOLCADO '!C:C,'Produccion por productor'!A:A,'VOLCADO '!B:B,'Produccion por productor'!B:B,'VOLCADO '!I:I,'Produccion por productor'!C:C,'VOLCADO '!J:J,'Produccion por productor'!E:E)*370</f>
        <v>0</v>
      </c>
      <c r="M952" s="91" t="e">
        <f t="shared" si="73"/>
        <v>#DIV/0!</v>
      </c>
      <c r="N952" s="88" t="e">
        <f t="shared" si="70"/>
        <v>#DIV/0!</v>
      </c>
    </row>
    <row r="953" spans="6:14" x14ac:dyDescent="0.25">
      <c r="F953" s="1"/>
      <c r="G953" s="114">
        <f t="shared" si="71"/>
        <v>0</v>
      </c>
      <c r="H953" s="37">
        <f t="shared" si="72"/>
        <v>0</v>
      </c>
      <c r="I953">
        <f t="shared" si="74"/>
        <v>0</v>
      </c>
      <c r="J953" s="1">
        <f>+SUMIFS('VOLCADO '!H:H,'VOLCADO '!C:C,'Produccion por productor'!A:A,'VOLCADO '!B:B,'Produccion por productor'!B:B,'VOLCADO '!I:I,'Produccion por productor'!C:C,'VOLCADO '!J:J,'Produccion por productor'!E:E)*370</f>
        <v>0</v>
      </c>
      <c r="M953" s="91" t="e">
        <f t="shared" si="73"/>
        <v>#DIV/0!</v>
      </c>
      <c r="N953" s="88" t="e">
        <f t="shared" si="70"/>
        <v>#DIV/0!</v>
      </c>
    </row>
    <row r="954" spans="6:14" x14ac:dyDescent="0.25">
      <c r="F954" s="1"/>
      <c r="G954" s="114">
        <f t="shared" si="71"/>
        <v>0</v>
      </c>
      <c r="H954" s="37">
        <f t="shared" si="72"/>
        <v>0</v>
      </c>
      <c r="I954">
        <f t="shared" si="74"/>
        <v>0</v>
      </c>
      <c r="J954" s="1">
        <f>+SUMIFS('VOLCADO '!H:H,'VOLCADO '!C:C,'Produccion por productor'!A:A,'VOLCADO '!B:B,'Produccion por productor'!B:B,'VOLCADO '!I:I,'Produccion por productor'!C:C,'VOLCADO '!J:J,'Produccion por productor'!E:E)*370</f>
        <v>0</v>
      </c>
      <c r="M954" s="91" t="e">
        <f t="shared" si="73"/>
        <v>#DIV/0!</v>
      </c>
      <c r="N954" s="88" t="e">
        <f t="shared" si="70"/>
        <v>#DIV/0!</v>
      </c>
    </row>
    <row r="955" spans="6:14" x14ac:dyDescent="0.25">
      <c r="F955" s="1"/>
      <c r="G955" s="114">
        <f t="shared" si="71"/>
        <v>0</v>
      </c>
      <c r="H955" s="37">
        <f t="shared" si="72"/>
        <v>0</v>
      </c>
      <c r="I955">
        <f t="shared" si="74"/>
        <v>0</v>
      </c>
      <c r="J955" s="1">
        <f>+SUMIFS('VOLCADO '!H:H,'VOLCADO '!C:C,'Produccion por productor'!A:A,'VOLCADO '!B:B,'Produccion por productor'!B:B,'VOLCADO '!I:I,'Produccion por productor'!C:C,'VOLCADO '!J:J,'Produccion por productor'!E:E)*370</f>
        <v>0</v>
      </c>
      <c r="M955" s="91" t="e">
        <f t="shared" si="73"/>
        <v>#DIV/0!</v>
      </c>
      <c r="N955" s="88" t="e">
        <f t="shared" si="70"/>
        <v>#DIV/0!</v>
      </c>
    </row>
    <row r="956" spans="6:14" x14ac:dyDescent="0.25">
      <c r="F956" s="1"/>
      <c r="G956" s="114">
        <f t="shared" si="71"/>
        <v>0</v>
      </c>
      <c r="H956" s="37">
        <f t="shared" si="72"/>
        <v>0</v>
      </c>
      <c r="I956">
        <f t="shared" si="74"/>
        <v>0</v>
      </c>
      <c r="J956" s="1">
        <f>+SUMIFS('VOLCADO '!H:H,'VOLCADO '!C:C,'Produccion por productor'!A:A,'VOLCADO '!B:B,'Produccion por productor'!B:B,'VOLCADO '!I:I,'Produccion por productor'!C:C,'VOLCADO '!J:J,'Produccion por productor'!E:E)*370</f>
        <v>0</v>
      </c>
      <c r="M956" s="91" t="e">
        <f t="shared" si="73"/>
        <v>#DIV/0!</v>
      </c>
      <c r="N956" s="88" t="e">
        <f t="shared" si="70"/>
        <v>#DIV/0!</v>
      </c>
    </row>
    <row r="957" spans="6:14" x14ac:dyDescent="0.25">
      <c r="F957" s="1"/>
      <c r="G957" s="114">
        <f t="shared" si="71"/>
        <v>0</v>
      </c>
      <c r="H957" s="37">
        <f t="shared" si="72"/>
        <v>0</v>
      </c>
      <c r="I957">
        <f t="shared" si="74"/>
        <v>0</v>
      </c>
      <c r="J957" s="1">
        <f>+SUMIFS('VOLCADO '!H:H,'VOLCADO '!C:C,'Produccion por productor'!A:A,'VOLCADO '!B:B,'Produccion por productor'!B:B,'VOLCADO '!I:I,'Produccion por productor'!C:C,'VOLCADO '!J:J,'Produccion por productor'!E:E)*370</f>
        <v>0</v>
      </c>
      <c r="M957" s="91" t="e">
        <f t="shared" si="73"/>
        <v>#DIV/0!</v>
      </c>
      <c r="N957" s="88" t="e">
        <f t="shared" si="70"/>
        <v>#DIV/0!</v>
      </c>
    </row>
    <row r="958" spans="6:14" x14ac:dyDescent="0.25">
      <c r="F958" s="1"/>
      <c r="G958" s="114">
        <f t="shared" si="71"/>
        <v>0</v>
      </c>
      <c r="H958" s="37">
        <f t="shared" si="72"/>
        <v>0</v>
      </c>
      <c r="I958">
        <f t="shared" si="74"/>
        <v>0</v>
      </c>
      <c r="J958" s="1">
        <f>+SUMIFS('VOLCADO '!H:H,'VOLCADO '!C:C,'Produccion por productor'!A:A,'VOLCADO '!B:B,'Produccion por productor'!B:B,'VOLCADO '!I:I,'Produccion por productor'!C:C,'VOLCADO '!J:J,'Produccion por productor'!E:E)*370</f>
        <v>0</v>
      </c>
      <c r="M958" s="91" t="e">
        <f t="shared" si="73"/>
        <v>#DIV/0!</v>
      </c>
      <c r="N958" s="88" t="e">
        <f t="shared" si="70"/>
        <v>#DIV/0!</v>
      </c>
    </row>
    <row r="959" spans="6:14" x14ac:dyDescent="0.25">
      <c r="F959" s="1"/>
      <c r="G959" s="114">
        <f t="shared" si="71"/>
        <v>0</v>
      </c>
      <c r="H959" s="37">
        <f t="shared" si="72"/>
        <v>0</v>
      </c>
      <c r="I959">
        <f t="shared" si="74"/>
        <v>0</v>
      </c>
      <c r="J959" s="1">
        <f>+SUMIFS('VOLCADO '!H:H,'VOLCADO '!C:C,'Produccion por productor'!A:A,'VOLCADO '!B:B,'Produccion por productor'!B:B,'VOLCADO '!I:I,'Produccion por productor'!C:C,'VOLCADO '!J:J,'Produccion por productor'!E:E)*370</f>
        <v>0</v>
      </c>
      <c r="M959" s="91" t="e">
        <f t="shared" si="73"/>
        <v>#DIV/0!</v>
      </c>
      <c r="N959" s="88" t="e">
        <f t="shared" si="70"/>
        <v>#DIV/0!</v>
      </c>
    </row>
    <row r="960" spans="6:14" x14ac:dyDescent="0.25">
      <c r="F960" s="1"/>
      <c r="G960" s="114">
        <f t="shared" si="71"/>
        <v>0</v>
      </c>
      <c r="H960" s="37">
        <f t="shared" si="72"/>
        <v>0</v>
      </c>
      <c r="I960">
        <f t="shared" si="74"/>
        <v>0</v>
      </c>
      <c r="J960" s="1">
        <f>+SUMIFS('VOLCADO '!H:H,'VOLCADO '!C:C,'Produccion por productor'!A:A,'VOLCADO '!B:B,'Produccion por productor'!B:B,'VOLCADO '!I:I,'Produccion por productor'!C:C,'VOLCADO '!J:J,'Produccion por productor'!E:E)*370</f>
        <v>0</v>
      </c>
      <c r="M960" s="91" t="e">
        <f t="shared" si="73"/>
        <v>#DIV/0!</v>
      </c>
      <c r="N960" s="88" t="e">
        <f t="shared" si="70"/>
        <v>#DIV/0!</v>
      </c>
    </row>
    <row r="961" spans="6:14" x14ac:dyDescent="0.25">
      <c r="F961" s="1"/>
      <c r="G961" s="114">
        <f t="shared" si="71"/>
        <v>0</v>
      </c>
      <c r="H961" s="37">
        <f t="shared" si="72"/>
        <v>0</v>
      </c>
      <c r="I961">
        <f t="shared" si="74"/>
        <v>0</v>
      </c>
      <c r="J961" s="1">
        <f>+SUMIFS('VOLCADO '!H:H,'VOLCADO '!C:C,'Produccion por productor'!A:A,'VOLCADO '!B:B,'Produccion por productor'!B:B,'VOLCADO '!I:I,'Produccion por productor'!C:C,'VOLCADO '!J:J,'Produccion por productor'!E:E)*370</f>
        <v>0</v>
      </c>
      <c r="M961" s="91" t="e">
        <f t="shared" si="73"/>
        <v>#DIV/0!</v>
      </c>
      <c r="N961" s="88" t="e">
        <f t="shared" ref="N961:N1024" si="75">+((F961+I961)/J961)*100</f>
        <v>#DIV/0!</v>
      </c>
    </row>
    <row r="962" spans="6:14" x14ac:dyDescent="0.25">
      <c r="F962" s="1"/>
      <c r="G962" s="114">
        <f t="shared" ref="G962:G1025" si="76">+F962+I962</f>
        <v>0</v>
      </c>
      <c r="H962" s="37">
        <f t="shared" ref="H962:H1025" si="77">+(F962*0.05)+F962</f>
        <v>0</v>
      </c>
      <c r="I962">
        <f t="shared" si="74"/>
        <v>0</v>
      </c>
      <c r="J962" s="1">
        <f>+SUMIFS('VOLCADO '!H:H,'VOLCADO '!C:C,'Produccion por productor'!A:A,'VOLCADO '!B:B,'Produccion por productor'!B:B,'VOLCADO '!I:I,'Produccion por productor'!C:C,'VOLCADO '!J:J,'Produccion por productor'!E:E)*370</f>
        <v>0</v>
      </c>
      <c r="M962" s="91" t="e">
        <f t="shared" si="73"/>
        <v>#DIV/0!</v>
      </c>
      <c r="N962" s="88" t="e">
        <f t="shared" si="75"/>
        <v>#DIV/0!</v>
      </c>
    </row>
    <row r="963" spans="6:14" x14ac:dyDescent="0.25">
      <c r="F963" s="1"/>
      <c r="G963" s="114">
        <f t="shared" si="76"/>
        <v>0</v>
      </c>
      <c r="H963" s="37">
        <f t="shared" si="77"/>
        <v>0</v>
      </c>
      <c r="I963">
        <f t="shared" si="74"/>
        <v>0</v>
      </c>
      <c r="J963" s="1">
        <f>+SUMIFS('VOLCADO '!H:H,'VOLCADO '!C:C,'Produccion por productor'!A:A,'VOLCADO '!B:B,'Produccion por productor'!B:B,'VOLCADO '!I:I,'Produccion por productor'!C:C,'VOLCADO '!J:J,'Produccion por productor'!E:E)*370</f>
        <v>0</v>
      </c>
      <c r="M963" s="91" t="e">
        <f t="shared" ref="M963:M1026" si="78">+((H963+I963)/J963)*100</f>
        <v>#DIV/0!</v>
      </c>
      <c r="N963" s="88" t="e">
        <f t="shared" si="75"/>
        <v>#DIV/0!</v>
      </c>
    </row>
    <row r="964" spans="6:14" x14ac:dyDescent="0.25">
      <c r="F964" s="1"/>
      <c r="G964" s="114">
        <f t="shared" si="76"/>
        <v>0</v>
      </c>
      <c r="H964" s="37">
        <f t="shared" si="77"/>
        <v>0</v>
      </c>
      <c r="I964">
        <f t="shared" si="74"/>
        <v>0</v>
      </c>
      <c r="J964" s="1">
        <f>+SUMIFS('VOLCADO '!H:H,'VOLCADO '!C:C,'Produccion por productor'!A:A,'VOLCADO '!B:B,'Produccion por productor'!B:B,'VOLCADO '!I:I,'Produccion por productor'!C:C,'VOLCADO '!J:J,'Produccion por productor'!E:E)*370</f>
        <v>0</v>
      </c>
      <c r="M964" s="91" t="e">
        <f t="shared" si="78"/>
        <v>#DIV/0!</v>
      </c>
      <c r="N964" s="88" t="e">
        <f t="shared" si="75"/>
        <v>#DIV/0!</v>
      </c>
    </row>
    <row r="965" spans="6:14" x14ac:dyDescent="0.25">
      <c r="F965" s="1"/>
      <c r="G965" s="114">
        <f t="shared" si="76"/>
        <v>0</v>
      </c>
      <c r="H965" s="37">
        <f t="shared" si="77"/>
        <v>0</v>
      </c>
      <c r="I965">
        <f t="shared" si="74"/>
        <v>0</v>
      </c>
      <c r="J965" s="1">
        <f>+SUMIFS('VOLCADO '!H:H,'VOLCADO '!C:C,'Produccion por productor'!A:A,'VOLCADO '!B:B,'Produccion por productor'!B:B,'VOLCADO '!I:I,'Produccion por productor'!C:C,'VOLCADO '!J:J,'Produccion por productor'!E:E)*370</f>
        <v>0</v>
      </c>
      <c r="M965" s="91" t="e">
        <f t="shared" si="78"/>
        <v>#DIV/0!</v>
      </c>
      <c r="N965" s="88" t="e">
        <f t="shared" si="75"/>
        <v>#DIV/0!</v>
      </c>
    </row>
    <row r="966" spans="6:14" x14ac:dyDescent="0.25">
      <c r="F966" s="1"/>
      <c r="G966" s="114">
        <f t="shared" si="76"/>
        <v>0</v>
      </c>
      <c r="H966" s="37">
        <f t="shared" si="77"/>
        <v>0</v>
      </c>
      <c r="I966">
        <f t="shared" si="74"/>
        <v>0</v>
      </c>
      <c r="J966" s="1">
        <f>+SUMIFS('VOLCADO '!H:H,'VOLCADO '!C:C,'Produccion por productor'!A:A,'VOLCADO '!B:B,'Produccion por productor'!B:B,'VOLCADO '!I:I,'Produccion por productor'!C:C,'VOLCADO '!J:J,'Produccion por productor'!E:E)*370</f>
        <v>0</v>
      </c>
      <c r="M966" s="91" t="e">
        <f t="shared" si="78"/>
        <v>#DIV/0!</v>
      </c>
      <c r="N966" s="88" t="e">
        <f t="shared" si="75"/>
        <v>#DIV/0!</v>
      </c>
    </row>
    <row r="967" spans="6:14" x14ac:dyDescent="0.25">
      <c r="F967" s="1"/>
      <c r="G967" s="114">
        <f t="shared" si="76"/>
        <v>0</v>
      </c>
      <c r="H967" s="37">
        <f t="shared" si="77"/>
        <v>0</v>
      </c>
      <c r="I967">
        <f t="shared" si="74"/>
        <v>0</v>
      </c>
      <c r="J967" s="1">
        <f>+SUMIFS('VOLCADO '!H:H,'VOLCADO '!C:C,'Produccion por productor'!A:A,'VOLCADO '!B:B,'Produccion por productor'!B:B,'VOLCADO '!I:I,'Produccion por productor'!C:C,'VOLCADO '!J:J,'Produccion por productor'!E:E)*370</f>
        <v>0</v>
      </c>
      <c r="M967" s="91" t="e">
        <f t="shared" si="78"/>
        <v>#DIV/0!</v>
      </c>
      <c r="N967" s="88" t="e">
        <f t="shared" si="75"/>
        <v>#DIV/0!</v>
      </c>
    </row>
    <row r="968" spans="6:14" x14ac:dyDescent="0.25">
      <c r="F968" s="1"/>
      <c r="G968" s="114">
        <f t="shared" si="76"/>
        <v>0</v>
      </c>
      <c r="H968" s="37">
        <f t="shared" si="77"/>
        <v>0</v>
      </c>
      <c r="I968">
        <f t="shared" si="74"/>
        <v>0</v>
      </c>
      <c r="J968" s="1">
        <f>+SUMIFS('VOLCADO '!H:H,'VOLCADO '!C:C,'Produccion por productor'!A:A,'VOLCADO '!B:B,'Produccion por productor'!B:B,'VOLCADO '!I:I,'Produccion por productor'!C:C,'VOLCADO '!J:J,'Produccion por productor'!E:E)*370</f>
        <v>0</v>
      </c>
      <c r="M968" s="91" t="e">
        <f t="shared" si="78"/>
        <v>#DIV/0!</v>
      </c>
      <c r="N968" s="88" t="e">
        <f t="shared" si="75"/>
        <v>#DIV/0!</v>
      </c>
    </row>
    <row r="969" spans="6:14" x14ac:dyDescent="0.25">
      <c r="F969" s="1"/>
      <c r="G969" s="114">
        <f t="shared" si="76"/>
        <v>0</v>
      </c>
      <c r="H969" s="37">
        <f t="shared" si="77"/>
        <v>0</v>
      </c>
      <c r="I969">
        <f t="shared" si="74"/>
        <v>0</v>
      </c>
      <c r="J969" s="1">
        <f>+SUMIFS('VOLCADO '!H:H,'VOLCADO '!C:C,'Produccion por productor'!A:A,'VOLCADO '!B:B,'Produccion por productor'!B:B,'VOLCADO '!I:I,'Produccion por productor'!C:C,'VOLCADO '!J:J,'Produccion por productor'!E:E)*370</f>
        <v>0</v>
      </c>
      <c r="M969" s="91" t="e">
        <f t="shared" si="78"/>
        <v>#DIV/0!</v>
      </c>
      <c r="N969" s="88" t="e">
        <f t="shared" si="75"/>
        <v>#DIV/0!</v>
      </c>
    </row>
    <row r="970" spans="6:14" x14ac:dyDescent="0.25">
      <c r="F970" s="1"/>
      <c r="G970" s="114">
        <f t="shared" si="76"/>
        <v>0</v>
      </c>
      <c r="H970" s="37">
        <f t="shared" si="77"/>
        <v>0</v>
      </c>
      <c r="I970">
        <f t="shared" si="74"/>
        <v>0</v>
      </c>
      <c r="J970" s="1">
        <f>+SUMIFS('VOLCADO '!H:H,'VOLCADO '!C:C,'Produccion por productor'!A:A,'VOLCADO '!B:B,'Produccion por productor'!B:B,'VOLCADO '!I:I,'Produccion por productor'!C:C,'VOLCADO '!J:J,'Produccion por productor'!E:E)*370</f>
        <v>0</v>
      </c>
      <c r="M970" s="91" t="e">
        <f t="shared" si="78"/>
        <v>#DIV/0!</v>
      </c>
      <c r="N970" s="88" t="e">
        <f t="shared" si="75"/>
        <v>#DIV/0!</v>
      </c>
    </row>
    <row r="971" spans="6:14" x14ac:dyDescent="0.25">
      <c r="F971" s="1"/>
      <c r="G971" s="114">
        <f t="shared" si="76"/>
        <v>0</v>
      </c>
      <c r="H971" s="37">
        <f t="shared" si="77"/>
        <v>0</v>
      </c>
      <c r="I971">
        <f t="shared" si="74"/>
        <v>0</v>
      </c>
      <c r="J971" s="1">
        <f>+SUMIFS('VOLCADO '!H:H,'VOLCADO '!C:C,'Produccion por productor'!A:A,'VOLCADO '!B:B,'Produccion por productor'!B:B,'VOLCADO '!I:I,'Produccion por productor'!C:C,'VOLCADO '!J:J,'Produccion por productor'!E:E)*370</f>
        <v>0</v>
      </c>
      <c r="M971" s="91" t="e">
        <f t="shared" si="78"/>
        <v>#DIV/0!</v>
      </c>
      <c r="N971" s="88" t="e">
        <f t="shared" si="75"/>
        <v>#DIV/0!</v>
      </c>
    </row>
    <row r="972" spans="6:14" x14ac:dyDescent="0.25">
      <c r="F972" s="1"/>
      <c r="G972" s="114">
        <f t="shared" si="76"/>
        <v>0</v>
      </c>
      <c r="H972" s="37">
        <f t="shared" si="77"/>
        <v>0</v>
      </c>
      <c r="I972">
        <f t="shared" si="74"/>
        <v>0</v>
      </c>
      <c r="J972" s="1">
        <f>+SUMIFS('VOLCADO '!H:H,'VOLCADO '!C:C,'Produccion por productor'!A:A,'VOLCADO '!B:B,'Produccion por productor'!B:B,'VOLCADO '!I:I,'Produccion por productor'!C:C,'VOLCADO '!J:J,'Produccion por productor'!E:E)*370</f>
        <v>0</v>
      </c>
      <c r="M972" s="91" t="e">
        <f t="shared" si="78"/>
        <v>#DIV/0!</v>
      </c>
      <c r="N972" s="88" t="e">
        <f t="shared" si="75"/>
        <v>#DIV/0!</v>
      </c>
    </row>
    <row r="973" spans="6:14" x14ac:dyDescent="0.25">
      <c r="F973" s="1"/>
      <c r="G973" s="114">
        <f t="shared" si="76"/>
        <v>0</v>
      </c>
      <c r="H973" s="37">
        <f t="shared" si="77"/>
        <v>0</v>
      </c>
      <c r="I973">
        <f t="shared" si="74"/>
        <v>0</v>
      </c>
      <c r="J973" s="1">
        <f>+SUMIFS('VOLCADO '!H:H,'VOLCADO '!C:C,'Produccion por productor'!A:A,'VOLCADO '!B:B,'Produccion por productor'!B:B,'VOLCADO '!I:I,'Produccion por productor'!C:C,'VOLCADO '!J:J,'Produccion por productor'!E:E)*370</f>
        <v>0</v>
      </c>
      <c r="M973" s="91" t="e">
        <f t="shared" si="78"/>
        <v>#DIV/0!</v>
      </c>
      <c r="N973" s="88" t="e">
        <f t="shared" si="75"/>
        <v>#DIV/0!</v>
      </c>
    </row>
    <row r="974" spans="6:14" x14ac:dyDescent="0.25">
      <c r="F974" s="1"/>
      <c r="G974" s="114">
        <f t="shared" si="76"/>
        <v>0</v>
      </c>
      <c r="H974" s="37">
        <f t="shared" si="77"/>
        <v>0</v>
      </c>
      <c r="I974">
        <f t="shared" ref="I974:I1037" si="79">+L974-K974</f>
        <v>0</v>
      </c>
      <c r="J974" s="1">
        <f>+SUMIFS('VOLCADO '!H:H,'VOLCADO '!C:C,'Produccion por productor'!A:A,'VOLCADO '!B:B,'Produccion por productor'!B:B,'VOLCADO '!I:I,'Produccion por productor'!C:C,'VOLCADO '!J:J,'Produccion por productor'!E:E)*370</f>
        <v>0</v>
      </c>
      <c r="M974" s="91" t="e">
        <f t="shared" si="78"/>
        <v>#DIV/0!</v>
      </c>
      <c r="N974" s="88" t="e">
        <f t="shared" si="75"/>
        <v>#DIV/0!</v>
      </c>
    </row>
    <row r="975" spans="6:14" x14ac:dyDescent="0.25">
      <c r="F975" s="1"/>
      <c r="G975" s="114">
        <f t="shared" si="76"/>
        <v>0</v>
      </c>
      <c r="H975" s="37">
        <f t="shared" si="77"/>
        <v>0</v>
      </c>
      <c r="I975">
        <f t="shared" si="79"/>
        <v>0</v>
      </c>
      <c r="J975" s="1">
        <f>+SUMIFS('VOLCADO '!H:H,'VOLCADO '!C:C,'Produccion por productor'!A:A,'VOLCADO '!B:B,'Produccion por productor'!B:B,'VOLCADO '!I:I,'Produccion por productor'!C:C,'VOLCADO '!J:J,'Produccion por productor'!E:E)*370</f>
        <v>0</v>
      </c>
      <c r="M975" s="91" t="e">
        <f t="shared" si="78"/>
        <v>#DIV/0!</v>
      </c>
      <c r="N975" s="88" t="e">
        <f t="shared" si="75"/>
        <v>#DIV/0!</v>
      </c>
    </row>
    <row r="976" spans="6:14" x14ac:dyDescent="0.25">
      <c r="F976" s="1"/>
      <c r="G976" s="114">
        <f t="shared" si="76"/>
        <v>0</v>
      </c>
      <c r="H976" s="37">
        <f t="shared" si="77"/>
        <v>0</v>
      </c>
      <c r="I976">
        <f t="shared" si="79"/>
        <v>0</v>
      </c>
      <c r="J976" s="1">
        <f>+SUMIFS('VOLCADO '!H:H,'VOLCADO '!C:C,'Produccion por productor'!A:A,'VOLCADO '!B:B,'Produccion por productor'!B:B,'VOLCADO '!I:I,'Produccion por productor'!C:C,'VOLCADO '!J:J,'Produccion por productor'!E:E)*370</f>
        <v>0</v>
      </c>
      <c r="M976" s="91" t="e">
        <f t="shared" si="78"/>
        <v>#DIV/0!</v>
      </c>
      <c r="N976" s="88" t="e">
        <f t="shared" si="75"/>
        <v>#DIV/0!</v>
      </c>
    </row>
    <row r="977" spans="6:14" x14ac:dyDescent="0.25">
      <c r="F977" s="1"/>
      <c r="G977" s="114">
        <f t="shared" si="76"/>
        <v>0</v>
      </c>
      <c r="H977" s="37">
        <f t="shared" si="77"/>
        <v>0</v>
      </c>
      <c r="I977">
        <f t="shared" si="79"/>
        <v>0</v>
      </c>
      <c r="J977" s="1">
        <f>+SUMIFS('VOLCADO '!H:H,'VOLCADO '!C:C,'Produccion por productor'!A:A,'VOLCADO '!B:B,'Produccion por productor'!B:B,'VOLCADO '!I:I,'Produccion por productor'!C:C,'VOLCADO '!J:J,'Produccion por productor'!E:E)*370</f>
        <v>0</v>
      </c>
      <c r="M977" s="91" t="e">
        <f t="shared" si="78"/>
        <v>#DIV/0!</v>
      </c>
      <c r="N977" s="88" t="e">
        <f t="shared" si="75"/>
        <v>#DIV/0!</v>
      </c>
    </row>
    <row r="978" spans="6:14" x14ac:dyDescent="0.25">
      <c r="F978" s="1"/>
      <c r="G978" s="114">
        <f t="shared" si="76"/>
        <v>0</v>
      </c>
      <c r="H978" s="37">
        <f t="shared" si="77"/>
        <v>0</v>
      </c>
      <c r="I978">
        <f t="shared" si="79"/>
        <v>0</v>
      </c>
      <c r="J978" s="1">
        <f>+SUMIFS('VOLCADO '!H:H,'VOLCADO '!C:C,'Produccion por productor'!A:A,'VOLCADO '!B:B,'Produccion por productor'!B:B,'VOLCADO '!I:I,'Produccion por productor'!C:C,'VOLCADO '!J:J,'Produccion por productor'!E:E)*370</f>
        <v>0</v>
      </c>
      <c r="M978" s="91" t="e">
        <f t="shared" si="78"/>
        <v>#DIV/0!</v>
      </c>
      <c r="N978" s="88" t="e">
        <f t="shared" si="75"/>
        <v>#DIV/0!</v>
      </c>
    </row>
    <row r="979" spans="6:14" x14ac:dyDescent="0.25">
      <c r="F979" s="1"/>
      <c r="G979" s="114">
        <f t="shared" si="76"/>
        <v>0</v>
      </c>
      <c r="H979" s="37">
        <f t="shared" si="77"/>
        <v>0</v>
      </c>
      <c r="I979">
        <f t="shared" si="79"/>
        <v>0</v>
      </c>
      <c r="J979" s="1">
        <f>+SUMIFS('VOLCADO '!H:H,'VOLCADO '!C:C,'Produccion por productor'!A:A,'VOLCADO '!B:B,'Produccion por productor'!B:B,'VOLCADO '!I:I,'Produccion por productor'!C:C,'VOLCADO '!J:J,'Produccion por productor'!E:E)*370</f>
        <v>0</v>
      </c>
      <c r="M979" s="91" t="e">
        <f t="shared" si="78"/>
        <v>#DIV/0!</v>
      </c>
      <c r="N979" s="88" t="e">
        <f t="shared" si="75"/>
        <v>#DIV/0!</v>
      </c>
    </row>
    <row r="980" spans="6:14" x14ac:dyDescent="0.25">
      <c r="F980" s="1"/>
      <c r="G980" s="114">
        <f t="shared" si="76"/>
        <v>0</v>
      </c>
      <c r="H980" s="37">
        <f t="shared" si="77"/>
        <v>0</v>
      </c>
      <c r="I980">
        <f t="shared" si="79"/>
        <v>0</v>
      </c>
      <c r="J980" s="1">
        <f>+SUMIFS('VOLCADO '!H:H,'VOLCADO '!C:C,'Produccion por productor'!A:A,'VOLCADO '!B:B,'Produccion por productor'!B:B,'VOLCADO '!I:I,'Produccion por productor'!C:C,'VOLCADO '!J:J,'Produccion por productor'!E:E)*370</f>
        <v>0</v>
      </c>
      <c r="M980" s="91" t="e">
        <f t="shared" si="78"/>
        <v>#DIV/0!</v>
      </c>
      <c r="N980" s="88" t="e">
        <f t="shared" si="75"/>
        <v>#DIV/0!</v>
      </c>
    </row>
    <row r="981" spans="6:14" x14ac:dyDescent="0.25">
      <c r="F981" s="1"/>
      <c r="G981" s="114">
        <f t="shared" si="76"/>
        <v>0</v>
      </c>
      <c r="H981" s="37">
        <f t="shared" si="77"/>
        <v>0</v>
      </c>
      <c r="I981">
        <f t="shared" si="79"/>
        <v>0</v>
      </c>
      <c r="J981" s="1">
        <f>+SUMIFS('VOLCADO '!H:H,'VOLCADO '!C:C,'Produccion por productor'!A:A,'VOLCADO '!B:B,'Produccion por productor'!B:B,'VOLCADO '!I:I,'Produccion por productor'!C:C,'VOLCADO '!J:J,'Produccion por productor'!E:E)*370</f>
        <v>0</v>
      </c>
      <c r="M981" s="91" t="e">
        <f t="shared" si="78"/>
        <v>#DIV/0!</v>
      </c>
      <c r="N981" s="88" t="e">
        <f t="shared" si="75"/>
        <v>#DIV/0!</v>
      </c>
    </row>
    <row r="982" spans="6:14" x14ac:dyDescent="0.25">
      <c r="F982" s="1"/>
      <c r="G982" s="114">
        <f t="shared" si="76"/>
        <v>0</v>
      </c>
      <c r="H982" s="37">
        <f t="shared" si="77"/>
        <v>0</v>
      </c>
      <c r="I982">
        <f t="shared" si="79"/>
        <v>0</v>
      </c>
      <c r="J982" s="1">
        <f>+SUMIFS('VOLCADO '!H:H,'VOLCADO '!C:C,'Produccion por productor'!A:A,'VOLCADO '!B:B,'Produccion por productor'!B:B,'VOLCADO '!I:I,'Produccion por productor'!C:C,'VOLCADO '!J:J,'Produccion por productor'!E:E)*370</f>
        <v>0</v>
      </c>
      <c r="M982" s="91" t="e">
        <f t="shared" si="78"/>
        <v>#DIV/0!</v>
      </c>
      <c r="N982" s="88" t="e">
        <f t="shared" si="75"/>
        <v>#DIV/0!</v>
      </c>
    </row>
    <row r="983" spans="6:14" x14ac:dyDescent="0.25">
      <c r="F983" s="1"/>
      <c r="G983" s="114">
        <f t="shared" si="76"/>
        <v>0</v>
      </c>
      <c r="H983" s="37">
        <f t="shared" si="77"/>
        <v>0</v>
      </c>
      <c r="I983">
        <f t="shared" si="79"/>
        <v>0</v>
      </c>
      <c r="J983" s="1">
        <f>+SUMIFS('VOLCADO '!H:H,'VOLCADO '!C:C,'Produccion por productor'!A:A,'VOLCADO '!B:B,'Produccion por productor'!B:B,'VOLCADO '!I:I,'Produccion por productor'!C:C,'VOLCADO '!J:J,'Produccion por productor'!E:E)*370</f>
        <v>0</v>
      </c>
      <c r="M983" s="91" t="e">
        <f t="shared" si="78"/>
        <v>#DIV/0!</v>
      </c>
      <c r="N983" s="88" t="e">
        <f t="shared" si="75"/>
        <v>#DIV/0!</v>
      </c>
    </row>
    <row r="984" spans="6:14" x14ac:dyDescent="0.25">
      <c r="F984" s="1"/>
      <c r="G984" s="114">
        <f t="shared" si="76"/>
        <v>0</v>
      </c>
      <c r="H984" s="37">
        <f t="shared" si="77"/>
        <v>0</v>
      </c>
      <c r="I984">
        <f t="shared" si="79"/>
        <v>0</v>
      </c>
      <c r="J984" s="1">
        <f>+SUMIFS('VOLCADO '!H:H,'VOLCADO '!C:C,'Produccion por productor'!A:A,'VOLCADO '!B:B,'Produccion por productor'!B:B,'VOLCADO '!I:I,'Produccion por productor'!C:C,'VOLCADO '!J:J,'Produccion por productor'!E:E)*370</f>
        <v>0</v>
      </c>
      <c r="M984" s="91" t="e">
        <f t="shared" si="78"/>
        <v>#DIV/0!</v>
      </c>
      <c r="N984" s="88" t="e">
        <f t="shared" si="75"/>
        <v>#DIV/0!</v>
      </c>
    </row>
    <row r="985" spans="6:14" x14ac:dyDescent="0.25">
      <c r="F985" s="1"/>
      <c r="G985" s="114">
        <f t="shared" si="76"/>
        <v>0</v>
      </c>
      <c r="H985" s="37">
        <f t="shared" si="77"/>
        <v>0</v>
      </c>
      <c r="I985">
        <f t="shared" si="79"/>
        <v>0</v>
      </c>
      <c r="J985" s="1">
        <f>+SUMIFS('VOLCADO '!H:H,'VOLCADO '!C:C,'Produccion por productor'!A:A,'VOLCADO '!B:B,'Produccion por productor'!B:B,'VOLCADO '!I:I,'Produccion por productor'!C:C,'VOLCADO '!J:J,'Produccion por productor'!E:E)*370</f>
        <v>0</v>
      </c>
      <c r="M985" s="91" t="e">
        <f t="shared" si="78"/>
        <v>#DIV/0!</v>
      </c>
      <c r="N985" s="88" t="e">
        <f t="shared" si="75"/>
        <v>#DIV/0!</v>
      </c>
    </row>
    <row r="986" spans="6:14" x14ac:dyDescent="0.25">
      <c r="F986" s="1"/>
      <c r="G986" s="114">
        <f t="shared" si="76"/>
        <v>0</v>
      </c>
      <c r="H986" s="37">
        <f t="shared" si="77"/>
        <v>0</v>
      </c>
      <c r="I986">
        <f t="shared" si="79"/>
        <v>0</v>
      </c>
      <c r="J986" s="1">
        <f>+SUMIFS('VOLCADO '!H:H,'VOLCADO '!C:C,'Produccion por productor'!A:A,'VOLCADO '!B:B,'Produccion por productor'!B:B,'VOLCADO '!I:I,'Produccion por productor'!C:C,'VOLCADO '!J:J,'Produccion por productor'!E:E)*370</f>
        <v>0</v>
      </c>
      <c r="M986" s="91" t="e">
        <f t="shared" si="78"/>
        <v>#DIV/0!</v>
      </c>
      <c r="N986" s="88" t="e">
        <f t="shared" si="75"/>
        <v>#DIV/0!</v>
      </c>
    </row>
    <row r="987" spans="6:14" x14ac:dyDescent="0.25">
      <c r="F987" s="1"/>
      <c r="G987" s="114">
        <f t="shared" si="76"/>
        <v>0</v>
      </c>
      <c r="H987" s="37">
        <f t="shared" si="77"/>
        <v>0</v>
      </c>
      <c r="I987">
        <f t="shared" si="79"/>
        <v>0</v>
      </c>
      <c r="J987" s="1">
        <f>+SUMIFS('VOLCADO '!H:H,'VOLCADO '!C:C,'Produccion por productor'!A:A,'VOLCADO '!B:B,'Produccion por productor'!B:B,'VOLCADO '!I:I,'Produccion por productor'!C:C,'VOLCADO '!J:J,'Produccion por productor'!E:E)*370</f>
        <v>0</v>
      </c>
      <c r="M987" s="91" t="e">
        <f t="shared" si="78"/>
        <v>#DIV/0!</v>
      </c>
      <c r="N987" s="88" t="e">
        <f t="shared" si="75"/>
        <v>#DIV/0!</v>
      </c>
    </row>
    <row r="988" spans="6:14" x14ac:dyDescent="0.25">
      <c r="F988" s="1"/>
      <c r="G988" s="114">
        <f t="shared" si="76"/>
        <v>0</v>
      </c>
      <c r="H988" s="37">
        <f t="shared" si="77"/>
        <v>0</v>
      </c>
      <c r="I988">
        <f t="shared" si="79"/>
        <v>0</v>
      </c>
      <c r="J988" s="1">
        <f>+SUMIFS('VOLCADO '!H:H,'VOLCADO '!C:C,'Produccion por productor'!A:A,'VOLCADO '!B:B,'Produccion por productor'!B:B,'VOLCADO '!I:I,'Produccion por productor'!C:C,'VOLCADO '!J:J,'Produccion por productor'!E:E)*370</f>
        <v>0</v>
      </c>
      <c r="M988" s="91" t="e">
        <f t="shared" si="78"/>
        <v>#DIV/0!</v>
      </c>
      <c r="N988" s="88" t="e">
        <f t="shared" si="75"/>
        <v>#DIV/0!</v>
      </c>
    </row>
    <row r="989" spans="6:14" x14ac:dyDescent="0.25">
      <c r="F989" s="1"/>
      <c r="G989" s="114">
        <f t="shared" si="76"/>
        <v>0</v>
      </c>
      <c r="H989" s="37">
        <f t="shared" si="77"/>
        <v>0</v>
      </c>
      <c r="I989">
        <f t="shared" si="79"/>
        <v>0</v>
      </c>
      <c r="J989" s="1">
        <f>+SUMIFS('VOLCADO '!H:H,'VOLCADO '!C:C,'Produccion por productor'!A:A,'VOLCADO '!B:B,'Produccion por productor'!B:B,'VOLCADO '!I:I,'Produccion por productor'!C:C,'VOLCADO '!J:J,'Produccion por productor'!E:E)*370</f>
        <v>0</v>
      </c>
      <c r="M989" s="91" t="e">
        <f t="shared" si="78"/>
        <v>#DIV/0!</v>
      </c>
      <c r="N989" s="88" t="e">
        <f t="shared" si="75"/>
        <v>#DIV/0!</v>
      </c>
    </row>
    <row r="990" spans="6:14" x14ac:dyDescent="0.25">
      <c r="F990" s="1"/>
      <c r="G990" s="114">
        <f t="shared" si="76"/>
        <v>0</v>
      </c>
      <c r="H990" s="37">
        <f t="shared" si="77"/>
        <v>0</v>
      </c>
      <c r="I990">
        <f t="shared" si="79"/>
        <v>0</v>
      </c>
      <c r="J990" s="1">
        <f>+SUMIFS('VOLCADO '!H:H,'VOLCADO '!C:C,'Produccion por productor'!A:A,'VOLCADO '!B:B,'Produccion por productor'!B:B,'VOLCADO '!I:I,'Produccion por productor'!C:C,'VOLCADO '!J:J,'Produccion por productor'!E:E)*370</f>
        <v>0</v>
      </c>
      <c r="M990" s="91" t="e">
        <f t="shared" si="78"/>
        <v>#DIV/0!</v>
      </c>
      <c r="N990" s="88" t="e">
        <f t="shared" si="75"/>
        <v>#DIV/0!</v>
      </c>
    </row>
    <row r="991" spans="6:14" x14ac:dyDescent="0.25">
      <c r="F991" s="1"/>
      <c r="G991" s="114">
        <f t="shared" si="76"/>
        <v>0</v>
      </c>
      <c r="H991" s="37">
        <f t="shared" si="77"/>
        <v>0</v>
      </c>
      <c r="I991">
        <f t="shared" si="79"/>
        <v>0</v>
      </c>
      <c r="J991" s="1">
        <f>+SUMIFS('VOLCADO '!H:H,'VOLCADO '!C:C,'Produccion por productor'!A:A,'VOLCADO '!B:B,'Produccion por productor'!B:B,'VOLCADO '!I:I,'Produccion por productor'!C:C,'VOLCADO '!J:J,'Produccion por productor'!E:E)*370</f>
        <v>0</v>
      </c>
      <c r="M991" s="91" t="e">
        <f t="shared" si="78"/>
        <v>#DIV/0!</v>
      </c>
      <c r="N991" s="88" t="e">
        <f t="shared" si="75"/>
        <v>#DIV/0!</v>
      </c>
    </row>
    <row r="992" spans="6:14" x14ac:dyDescent="0.25">
      <c r="F992" s="1"/>
      <c r="G992" s="114">
        <f t="shared" si="76"/>
        <v>0</v>
      </c>
      <c r="H992" s="37">
        <f t="shared" si="77"/>
        <v>0</v>
      </c>
      <c r="I992">
        <f t="shared" si="79"/>
        <v>0</v>
      </c>
      <c r="J992" s="1">
        <f>+SUMIFS('VOLCADO '!H:H,'VOLCADO '!C:C,'Produccion por productor'!A:A,'VOLCADO '!B:B,'Produccion por productor'!B:B,'VOLCADO '!I:I,'Produccion por productor'!C:C,'VOLCADO '!J:J,'Produccion por productor'!E:E)*370</f>
        <v>0</v>
      </c>
      <c r="M992" s="91" t="e">
        <f t="shared" si="78"/>
        <v>#DIV/0!</v>
      </c>
      <c r="N992" s="88" t="e">
        <f t="shared" si="75"/>
        <v>#DIV/0!</v>
      </c>
    </row>
    <row r="993" spans="6:14" x14ac:dyDescent="0.25">
      <c r="F993" s="1"/>
      <c r="G993" s="114">
        <f t="shared" si="76"/>
        <v>0</v>
      </c>
      <c r="H993" s="37">
        <f t="shared" si="77"/>
        <v>0</v>
      </c>
      <c r="I993">
        <f t="shared" si="79"/>
        <v>0</v>
      </c>
      <c r="J993" s="1">
        <f>+SUMIFS('VOLCADO '!H:H,'VOLCADO '!C:C,'Produccion por productor'!A:A,'VOLCADO '!B:B,'Produccion por productor'!B:B,'VOLCADO '!I:I,'Produccion por productor'!C:C,'VOLCADO '!J:J,'Produccion por productor'!E:E)*370</f>
        <v>0</v>
      </c>
      <c r="M993" s="91" t="e">
        <f t="shared" si="78"/>
        <v>#DIV/0!</v>
      </c>
      <c r="N993" s="88" t="e">
        <f t="shared" si="75"/>
        <v>#DIV/0!</v>
      </c>
    </row>
    <row r="994" spans="6:14" x14ac:dyDescent="0.25">
      <c r="F994" s="1"/>
      <c r="G994" s="114">
        <f t="shared" si="76"/>
        <v>0</v>
      </c>
      <c r="H994" s="37">
        <f t="shared" si="77"/>
        <v>0</v>
      </c>
      <c r="I994">
        <f t="shared" si="79"/>
        <v>0</v>
      </c>
      <c r="J994" s="1">
        <f>+SUMIFS('VOLCADO '!H:H,'VOLCADO '!C:C,'Produccion por productor'!A:A,'VOLCADO '!B:B,'Produccion por productor'!B:B,'VOLCADO '!I:I,'Produccion por productor'!C:C,'VOLCADO '!J:J,'Produccion por productor'!E:E)*370</f>
        <v>0</v>
      </c>
      <c r="M994" s="91" t="e">
        <f t="shared" si="78"/>
        <v>#DIV/0!</v>
      </c>
      <c r="N994" s="88" t="e">
        <f t="shared" si="75"/>
        <v>#DIV/0!</v>
      </c>
    </row>
    <row r="995" spans="6:14" x14ac:dyDescent="0.25">
      <c r="F995" s="1"/>
      <c r="G995" s="114">
        <f t="shared" si="76"/>
        <v>0</v>
      </c>
      <c r="H995" s="37">
        <f t="shared" si="77"/>
        <v>0</v>
      </c>
      <c r="I995">
        <f t="shared" si="79"/>
        <v>0</v>
      </c>
      <c r="J995" s="1">
        <f>+SUMIFS('VOLCADO '!H:H,'VOLCADO '!C:C,'Produccion por productor'!A:A,'VOLCADO '!B:B,'Produccion por productor'!B:B,'VOLCADO '!I:I,'Produccion por productor'!C:C,'VOLCADO '!J:J,'Produccion por productor'!E:E)*370</f>
        <v>0</v>
      </c>
      <c r="M995" s="91" t="e">
        <f t="shared" si="78"/>
        <v>#DIV/0!</v>
      </c>
      <c r="N995" s="88" t="e">
        <f t="shared" si="75"/>
        <v>#DIV/0!</v>
      </c>
    </row>
    <row r="996" spans="6:14" x14ac:dyDescent="0.25">
      <c r="F996" s="1"/>
      <c r="G996" s="114">
        <f t="shared" si="76"/>
        <v>0</v>
      </c>
      <c r="H996" s="37">
        <f t="shared" si="77"/>
        <v>0</v>
      </c>
      <c r="I996">
        <f t="shared" si="79"/>
        <v>0</v>
      </c>
      <c r="J996" s="1">
        <f>+SUMIFS('VOLCADO '!H:H,'VOLCADO '!C:C,'Produccion por productor'!A:A,'VOLCADO '!B:B,'Produccion por productor'!B:B,'VOLCADO '!I:I,'Produccion por productor'!C:C,'VOLCADO '!J:J,'Produccion por productor'!E:E)*370</f>
        <v>0</v>
      </c>
      <c r="M996" s="91" t="e">
        <f t="shared" si="78"/>
        <v>#DIV/0!</v>
      </c>
      <c r="N996" s="88" t="e">
        <f t="shared" si="75"/>
        <v>#DIV/0!</v>
      </c>
    </row>
    <row r="997" spans="6:14" x14ac:dyDescent="0.25">
      <c r="F997" s="1"/>
      <c r="G997" s="114">
        <f t="shared" si="76"/>
        <v>0</v>
      </c>
      <c r="H997" s="37">
        <f t="shared" si="77"/>
        <v>0</v>
      </c>
      <c r="I997">
        <f t="shared" si="79"/>
        <v>0</v>
      </c>
      <c r="J997" s="1">
        <f>+SUMIFS('VOLCADO '!H:H,'VOLCADO '!C:C,'Produccion por productor'!A:A,'VOLCADO '!B:B,'Produccion por productor'!B:B,'VOLCADO '!I:I,'Produccion por productor'!C:C,'VOLCADO '!J:J,'Produccion por productor'!E:E)*370</f>
        <v>0</v>
      </c>
      <c r="M997" s="91" t="e">
        <f t="shared" si="78"/>
        <v>#DIV/0!</v>
      </c>
      <c r="N997" s="88" t="e">
        <f t="shared" si="75"/>
        <v>#DIV/0!</v>
      </c>
    </row>
    <row r="998" spans="6:14" x14ac:dyDescent="0.25">
      <c r="F998" s="1"/>
      <c r="G998" s="114">
        <f t="shared" si="76"/>
        <v>0</v>
      </c>
      <c r="H998" s="37">
        <f t="shared" si="77"/>
        <v>0</v>
      </c>
      <c r="I998">
        <f t="shared" si="79"/>
        <v>0</v>
      </c>
      <c r="J998" s="1">
        <f>+SUMIFS('VOLCADO '!H:H,'VOLCADO '!C:C,'Produccion por productor'!A:A,'VOLCADO '!B:B,'Produccion por productor'!B:B,'VOLCADO '!I:I,'Produccion por productor'!C:C,'VOLCADO '!J:J,'Produccion por productor'!E:E)*370</f>
        <v>0</v>
      </c>
      <c r="M998" s="91" t="e">
        <f t="shared" si="78"/>
        <v>#DIV/0!</v>
      </c>
      <c r="N998" s="88" t="e">
        <f t="shared" si="75"/>
        <v>#DIV/0!</v>
      </c>
    </row>
    <row r="999" spans="6:14" x14ac:dyDescent="0.25">
      <c r="F999" s="1"/>
      <c r="G999" s="114">
        <f t="shared" si="76"/>
        <v>0</v>
      </c>
      <c r="H999" s="37">
        <f t="shared" si="77"/>
        <v>0</v>
      </c>
      <c r="I999">
        <f t="shared" si="79"/>
        <v>0</v>
      </c>
      <c r="J999" s="1">
        <f>+SUMIFS('VOLCADO '!H:H,'VOLCADO '!C:C,'Produccion por productor'!A:A,'VOLCADO '!B:B,'Produccion por productor'!B:B,'VOLCADO '!I:I,'Produccion por productor'!C:C,'VOLCADO '!J:J,'Produccion por productor'!E:E)*370</f>
        <v>0</v>
      </c>
      <c r="M999" s="91" t="e">
        <f t="shared" si="78"/>
        <v>#DIV/0!</v>
      </c>
      <c r="N999" s="88" t="e">
        <f t="shared" si="75"/>
        <v>#DIV/0!</v>
      </c>
    </row>
    <row r="1000" spans="6:14" x14ac:dyDescent="0.25">
      <c r="F1000" s="1"/>
      <c r="G1000" s="114">
        <f t="shared" si="76"/>
        <v>0</v>
      </c>
      <c r="H1000" s="37">
        <f t="shared" si="77"/>
        <v>0</v>
      </c>
      <c r="I1000">
        <f t="shared" si="79"/>
        <v>0</v>
      </c>
      <c r="J100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0" s="91" t="e">
        <f t="shared" si="78"/>
        <v>#DIV/0!</v>
      </c>
      <c r="N1000" s="88" t="e">
        <f t="shared" si="75"/>
        <v>#DIV/0!</v>
      </c>
    </row>
    <row r="1001" spans="6:14" x14ac:dyDescent="0.25">
      <c r="F1001" s="1"/>
      <c r="G1001" s="114">
        <f t="shared" si="76"/>
        <v>0</v>
      </c>
      <c r="H1001" s="37">
        <f t="shared" si="77"/>
        <v>0</v>
      </c>
      <c r="I1001">
        <f t="shared" si="79"/>
        <v>0</v>
      </c>
      <c r="J100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1" s="91" t="e">
        <f t="shared" si="78"/>
        <v>#DIV/0!</v>
      </c>
      <c r="N1001" s="88" t="e">
        <f t="shared" si="75"/>
        <v>#DIV/0!</v>
      </c>
    </row>
    <row r="1002" spans="6:14" x14ac:dyDescent="0.25">
      <c r="F1002" s="1"/>
      <c r="G1002" s="114">
        <f t="shared" si="76"/>
        <v>0</v>
      </c>
      <c r="H1002" s="37">
        <f t="shared" si="77"/>
        <v>0</v>
      </c>
      <c r="I1002">
        <f t="shared" si="79"/>
        <v>0</v>
      </c>
      <c r="J100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2" s="91" t="e">
        <f t="shared" si="78"/>
        <v>#DIV/0!</v>
      </c>
      <c r="N1002" s="88" t="e">
        <f t="shared" si="75"/>
        <v>#DIV/0!</v>
      </c>
    </row>
    <row r="1003" spans="6:14" x14ac:dyDescent="0.25">
      <c r="F1003" s="1"/>
      <c r="G1003" s="114">
        <f t="shared" si="76"/>
        <v>0</v>
      </c>
      <c r="H1003" s="37">
        <f t="shared" si="77"/>
        <v>0</v>
      </c>
      <c r="I1003">
        <f t="shared" si="79"/>
        <v>0</v>
      </c>
      <c r="J100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3" s="91" t="e">
        <f t="shared" si="78"/>
        <v>#DIV/0!</v>
      </c>
      <c r="N1003" s="88" t="e">
        <f t="shared" si="75"/>
        <v>#DIV/0!</v>
      </c>
    </row>
    <row r="1004" spans="6:14" x14ac:dyDescent="0.25">
      <c r="F1004" s="1"/>
      <c r="G1004" s="114">
        <f t="shared" si="76"/>
        <v>0</v>
      </c>
      <c r="H1004" s="37">
        <f t="shared" si="77"/>
        <v>0</v>
      </c>
      <c r="I1004">
        <f t="shared" si="79"/>
        <v>0</v>
      </c>
      <c r="J100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4" s="91" t="e">
        <f t="shared" si="78"/>
        <v>#DIV/0!</v>
      </c>
      <c r="N1004" s="88" t="e">
        <f t="shared" si="75"/>
        <v>#DIV/0!</v>
      </c>
    </row>
    <row r="1005" spans="6:14" x14ac:dyDescent="0.25">
      <c r="F1005" s="1"/>
      <c r="G1005" s="114">
        <f t="shared" si="76"/>
        <v>0</v>
      </c>
      <c r="H1005" s="37">
        <f t="shared" si="77"/>
        <v>0</v>
      </c>
      <c r="I1005">
        <f t="shared" si="79"/>
        <v>0</v>
      </c>
      <c r="J100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5" s="91" t="e">
        <f t="shared" si="78"/>
        <v>#DIV/0!</v>
      </c>
      <c r="N1005" s="88" t="e">
        <f t="shared" si="75"/>
        <v>#DIV/0!</v>
      </c>
    </row>
    <row r="1006" spans="6:14" x14ac:dyDescent="0.25">
      <c r="F1006" s="1"/>
      <c r="G1006" s="114">
        <f t="shared" si="76"/>
        <v>0</v>
      </c>
      <c r="H1006" s="37">
        <f t="shared" si="77"/>
        <v>0</v>
      </c>
      <c r="I1006">
        <f t="shared" si="79"/>
        <v>0</v>
      </c>
      <c r="J100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6" s="91" t="e">
        <f t="shared" si="78"/>
        <v>#DIV/0!</v>
      </c>
      <c r="N1006" s="88" t="e">
        <f t="shared" si="75"/>
        <v>#DIV/0!</v>
      </c>
    </row>
    <row r="1007" spans="6:14" x14ac:dyDescent="0.25">
      <c r="F1007" s="1"/>
      <c r="G1007" s="114">
        <f t="shared" si="76"/>
        <v>0</v>
      </c>
      <c r="H1007" s="37">
        <f t="shared" si="77"/>
        <v>0</v>
      </c>
      <c r="I1007">
        <f t="shared" si="79"/>
        <v>0</v>
      </c>
      <c r="J100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7" s="91" t="e">
        <f t="shared" si="78"/>
        <v>#DIV/0!</v>
      </c>
      <c r="N1007" s="88" t="e">
        <f t="shared" si="75"/>
        <v>#DIV/0!</v>
      </c>
    </row>
    <row r="1008" spans="6:14" x14ac:dyDescent="0.25">
      <c r="F1008" s="1"/>
      <c r="G1008" s="114">
        <f t="shared" si="76"/>
        <v>0</v>
      </c>
      <c r="H1008" s="37">
        <f t="shared" si="77"/>
        <v>0</v>
      </c>
      <c r="I1008">
        <f t="shared" si="79"/>
        <v>0</v>
      </c>
      <c r="J100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8" s="91" t="e">
        <f t="shared" si="78"/>
        <v>#DIV/0!</v>
      </c>
      <c r="N1008" s="88" t="e">
        <f t="shared" si="75"/>
        <v>#DIV/0!</v>
      </c>
    </row>
    <row r="1009" spans="6:14" x14ac:dyDescent="0.25">
      <c r="F1009" s="1"/>
      <c r="G1009" s="114">
        <f t="shared" si="76"/>
        <v>0</v>
      </c>
      <c r="H1009" s="37">
        <f t="shared" si="77"/>
        <v>0</v>
      </c>
      <c r="I1009">
        <f t="shared" si="79"/>
        <v>0</v>
      </c>
      <c r="J100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09" s="91" t="e">
        <f t="shared" si="78"/>
        <v>#DIV/0!</v>
      </c>
      <c r="N1009" s="88" t="e">
        <f t="shared" si="75"/>
        <v>#DIV/0!</v>
      </c>
    </row>
    <row r="1010" spans="6:14" x14ac:dyDescent="0.25">
      <c r="F1010" s="1"/>
      <c r="G1010" s="114">
        <f t="shared" si="76"/>
        <v>0</v>
      </c>
      <c r="H1010" s="37">
        <f t="shared" si="77"/>
        <v>0</v>
      </c>
      <c r="I1010">
        <f t="shared" si="79"/>
        <v>0</v>
      </c>
      <c r="J101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0" s="91" t="e">
        <f t="shared" si="78"/>
        <v>#DIV/0!</v>
      </c>
      <c r="N1010" s="88" t="e">
        <f t="shared" si="75"/>
        <v>#DIV/0!</v>
      </c>
    </row>
    <row r="1011" spans="6:14" x14ac:dyDescent="0.25">
      <c r="F1011" s="1"/>
      <c r="G1011" s="114">
        <f t="shared" si="76"/>
        <v>0</v>
      </c>
      <c r="H1011" s="37">
        <f t="shared" si="77"/>
        <v>0</v>
      </c>
      <c r="I1011">
        <f t="shared" si="79"/>
        <v>0</v>
      </c>
      <c r="J101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1" s="91" t="e">
        <f t="shared" si="78"/>
        <v>#DIV/0!</v>
      </c>
      <c r="N1011" s="88" t="e">
        <f t="shared" si="75"/>
        <v>#DIV/0!</v>
      </c>
    </row>
    <row r="1012" spans="6:14" x14ac:dyDescent="0.25">
      <c r="F1012" s="1"/>
      <c r="G1012" s="114">
        <f t="shared" si="76"/>
        <v>0</v>
      </c>
      <c r="H1012" s="37">
        <f t="shared" si="77"/>
        <v>0</v>
      </c>
      <c r="I1012">
        <f t="shared" si="79"/>
        <v>0</v>
      </c>
      <c r="J101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2" s="91" t="e">
        <f t="shared" si="78"/>
        <v>#DIV/0!</v>
      </c>
      <c r="N1012" s="88" t="e">
        <f t="shared" si="75"/>
        <v>#DIV/0!</v>
      </c>
    </row>
    <row r="1013" spans="6:14" x14ac:dyDescent="0.25">
      <c r="F1013" s="1"/>
      <c r="G1013" s="114">
        <f t="shared" si="76"/>
        <v>0</v>
      </c>
      <c r="H1013" s="37">
        <f t="shared" si="77"/>
        <v>0</v>
      </c>
      <c r="I1013">
        <f t="shared" si="79"/>
        <v>0</v>
      </c>
      <c r="J101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3" s="91" t="e">
        <f t="shared" si="78"/>
        <v>#DIV/0!</v>
      </c>
      <c r="N1013" s="88" t="e">
        <f t="shared" si="75"/>
        <v>#DIV/0!</v>
      </c>
    </row>
    <row r="1014" spans="6:14" x14ac:dyDescent="0.25">
      <c r="F1014" s="1"/>
      <c r="G1014" s="114">
        <f t="shared" si="76"/>
        <v>0</v>
      </c>
      <c r="H1014" s="37">
        <f t="shared" si="77"/>
        <v>0</v>
      </c>
      <c r="I1014">
        <f t="shared" si="79"/>
        <v>0</v>
      </c>
      <c r="J101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4" s="91" t="e">
        <f t="shared" si="78"/>
        <v>#DIV/0!</v>
      </c>
      <c r="N1014" s="88" t="e">
        <f t="shared" si="75"/>
        <v>#DIV/0!</v>
      </c>
    </row>
    <row r="1015" spans="6:14" x14ac:dyDescent="0.25">
      <c r="F1015" s="1"/>
      <c r="G1015" s="114">
        <f t="shared" si="76"/>
        <v>0</v>
      </c>
      <c r="H1015" s="37">
        <f t="shared" si="77"/>
        <v>0</v>
      </c>
      <c r="I1015">
        <f t="shared" si="79"/>
        <v>0</v>
      </c>
      <c r="J101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5" s="91" t="e">
        <f t="shared" si="78"/>
        <v>#DIV/0!</v>
      </c>
      <c r="N1015" s="88" t="e">
        <f t="shared" si="75"/>
        <v>#DIV/0!</v>
      </c>
    </row>
    <row r="1016" spans="6:14" x14ac:dyDescent="0.25">
      <c r="F1016" s="1"/>
      <c r="G1016" s="114">
        <f t="shared" si="76"/>
        <v>0</v>
      </c>
      <c r="H1016" s="37">
        <f t="shared" si="77"/>
        <v>0</v>
      </c>
      <c r="I1016">
        <f t="shared" si="79"/>
        <v>0</v>
      </c>
      <c r="J101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6" s="91" t="e">
        <f t="shared" si="78"/>
        <v>#DIV/0!</v>
      </c>
      <c r="N1016" s="88" t="e">
        <f t="shared" si="75"/>
        <v>#DIV/0!</v>
      </c>
    </row>
    <row r="1017" spans="6:14" x14ac:dyDescent="0.25">
      <c r="F1017" s="1"/>
      <c r="G1017" s="114">
        <f t="shared" si="76"/>
        <v>0</v>
      </c>
      <c r="H1017" s="37">
        <f t="shared" si="77"/>
        <v>0</v>
      </c>
      <c r="I1017">
        <f t="shared" si="79"/>
        <v>0</v>
      </c>
      <c r="J101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7" s="91" t="e">
        <f t="shared" si="78"/>
        <v>#DIV/0!</v>
      </c>
      <c r="N1017" s="88" t="e">
        <f t="shared" si="75"/>
        <v>#DIV/0!</v>
      </c>
    </row>
    <row r="1018" spans="6:14" x14ac:dyDescent="0.25">
      <c r="F1018" s="1"/>
      <c r="G1018" s="114">
        <f t="shared" si="76"/>
        <v>0</v>
      </c>
      <c r="H1018" s="37">
        <f t="shared" si="77"/>
        <v>0</v>
      </c>
      <c r="I1018">
        <f t="shared" si="79"/>
        <v>0</v>
      </c>
      <c r="J101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8" s="91" t="e">
        <f t="shared" si="78"/>
        <v>#DIV/0!</v>
      </c>
      <c r="N1018" s="88" t="e">
        <f t="shared" si="75"/>
        <v>#DIV/0!</v>
      </c>
    </row>
    <row r="1019" spans="6:14" x14ac:dyDescent="0.25">
      <c r="F1019" s="1"/>
      <c r="G1019" s="114">
        <f t="shared" si="76"/>
        <v>0</v>
      </c>
      <c r="H1019" s="37">
        <f t="shared" si="77"/>
        <v>0</v>
      </c>
      <c r="I1019">
        <f t="shared" si="79"/>
        <v>0</v>
      </c>
      <c r="J101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19" s="91" t="e">
        <f t="shared" si="78"/>
        <v>#DIV/0!</v>
      </c>
      <c r="N1019" s="88" t="e">
        <f t="shared" si="75"/>
        <v>#DIV/0!</v>
      </c>
    </row>
    <row r="1020" spans="6:14" x14ac:dyDescent="0.25">
      <c r="F1020" s="1"/>
      <c r="G1020" s="114">
        <f t="shared" si="76"/>
        <v>0</v>
      </c>
      <c r="H1020" s="37">
        <f t="shared" si="77"/>
        <v>0</v>
      </c>
      <c r="I1020">
        <f t="shared" si="79"/>
        <v>0</v>
      </c>
      <c r="J102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0" s="91" t="e">
        <f t="shared" si="78"/>
        <v>#DIV/0!</v>
      </c>
      <c r="N1020" s="88" t="e">
        <f t="shared" si="75"/>
        <v>#DIV/0!</v>
      </c>
    </row>
    <row r="1021" spans="6:14" x14ac:dyDescent="0.25">
      <c r="F1021" s="1"/>
      <c r="G1021" s="114">
        <f t="shared" si="76"/>
        <v>0</v>
      </c>
      <c r="H1021" s="37">
        <f t="shared" si="77"/>
        <v>0</v>
      </c>
      <c r="I1021">
        <f t="shared" si="79"/>
        <v>0</v>
      </c>
      <c r="J102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1" s="91" t="e">
        <f t="shared" si="78"/>
        <v>#DIV/0!</v>
      </c>
      <c r="N1021" s="88" t="e">
        <f t="shared" si="75"/>
        <v>#DIV/0!</v>
      </c>
    </row>
    <row r="1022" spans="6:14" x14ac:dyDescent="0.25">
      <c r="F1022" s="1"/>
      <c r="G1022" s="114">
        <f t="shared" si="76"/>
        <v>0</v>
      </c>
      <c r="H1022" s="37">
        <f t="shared" si="77"/>
        <v>0</v>
      </c>
      <c r="I1022">
        <f t="shared" si="79"/>
        <v>0</v>
      </c>
      <c r="J102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2" s="91" t="e">
        <f t="shared" si="78"/>
        <v>#DIV/0!</v>
      </c>
      <c r="N1022" s="88" t="e">
        <f t="shared" si="75"/>
        <v>#DIV/0!</v>
      </c>
    </row>
    <row r="1023" spans="6:14" x14ac:dyDescent="0.25">
      <c r="F1023" s="1"/>
      <c r="G1023" s="114">
        <f t="shared" si="76"/>
        <v>0</v>
      </c>
      <c r="H1023" s="37">
        <f t="shared" si="77"/>
        <v>0</v>
      </c>
      <c r="I1023">
        <f t="shared" si="79"/>
        <v>0</v>
      </c>
      <c r="J102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3" s="91" t="e">
        <f t="shared" si="78"/>
        <v>#DIV/0!</v>
      </c>
      <c r="N1023" s="88" t="e">
        <f t="shared" si="75"/>
        <v>#DIV/0!</v>
      </c>
    </row>
    <row r="1024" spans="6:14" x14ac:dyDescent="0.25">
      <c r="F1024" s="1"/>
      <c r="G1024" s="114">
        <f t="shared" si="76"/>
        <v>0</v>
      </c>
      <c r="H1024" s="37">
        <f t="shared" si="77"/>
        <v>0</v>
      </c>
      <c r="I1024">
        <f t="shared" si="79"/>
        <v>0</v>
      </c>
      <c r="J102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4" s="91" t="e">
        <f t="shared" si="78"/>
        <v>#DIV/0!</v>
      </c>
      <c r="N1024" s="88" t="e">
        <f t="shared" si="75"/>
        <v>#DIV/0!</v>
      </c>
    </row>
    <row r="1025" spans="6:14" x14ac:dyDescent="0.25">
      <c r="F1025" s="1"/>
      <c r="G1025" s="114">
        <f t="shared" si="76"/>
        <v>0</v>
      </c>
      <c r="H1025" s="37">
        <f t="shared" si="77"/>
        <v>0</v>
      </c>
      <c r="I1025">
        <f t="shared" si="79"/>
        <v>0</v>
      </c>
      <c r="J102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5" s="91" t="e">
        <f t="shared" si="78"/>
        <v>#DIV/0!</v>
      </c>
      <c r="N1025" s="88" t="e">
        <f t="shared" ref="N1025:N1088" si="80">+((F1025+I1025)/J1025)*100</f>
        <v>#DIV/0!</v>
      </c>
    </row>
    <row r="1026" spans="6:14" x14ac:dyDescent="0.25">
      <c r="F1026" s="1"/>
      <c r="G1026" s="114">
        <f t="shared" ref="G1026:G1089" si="81">+F1026+I1026</f>
        <v>0</v>
      </c>
      <c r="H1026" s="37">
        <f t="shared" ref="H1026:H1089" si="82">+(F1026*0.05)+F1026</f>
        <v>0</v>
      </c>
      <c r="I1026">
        <f t="shared" si="79"/>
        <v>0</v>
      </c>
      <c r="J102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6" s="91" t="e">
        <f t="shared" si="78"/>
        <v>#DIV/0!</v>
      </c>
      <c r="N1026" s="88" t="e">
        <f t="shared" si="80"/>
        <v>#DIV/0!</v>
      </c>
    </row>
    <row r="1027" spans="6:14" x14ac:dyDescent="0.25">
      <c r="F1027" s="1"/>
      <c r="G1027" s="114">
        <f t="shared" si="81"/>
        <v>0</v>
      </c>
      <c r="H1027" s="37">
        <f t="shared" si="82"/>
        <v>0</v>
      </c>
      <c r="I1027">
        <f t="shared" si="79"/>
        <v>0</v>
      </c>
      <c r="J102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7" s="91" t="e">
        <f t="shared" ref="M1027:M1090" si="83">+((H1027+I1027)/J1027)*100</f>
        <v>#DIV/0!</v>
      </c>
      <c r="N1027" s="88" t="e">
        <f t="shared" si="80"/>
        <v>#DIV/0!</v>
      </c>
    </row>
    <row r="1028" spans="6:14" x14ac:dyDescent="0.25">
      <c r="F1028" s="1"/>
      <c r="G1028" s="114">
        <f t="shared" si="81"/>
        <v>0</v>
      </c>
      <c r="H1028" s="37">
        <f t="shared" si="82"/>
        <v>0</v>
      </c>
      <c r="I1028">
        <f t="shared" si="79"/>
        <v>0</v>
      </c>
      <c r="J102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8" s="91" t="e">
        <f t="shared" si="83"/>
        <v>#DIV/0!</v>
      </c>
      <c r="N1028" s="88" t="e">
        <f t="shared" si="80"/>
        <v>#DIV/0!</v>
      </c>
    </row>
    <row r="1029" spans="6:14" x14ac:dyDescent="0.25">
      <c r="F1029" s="1"/>
      <c r="G1029" s="114">
        <f t="shared" si="81"/>
        <v>0</v>
      </c>
      <c r="H1029" s="37">
        <f t="shared" si="82"/>
        <v>0</v>
      </c>
      <c r="I1029">
        <f t="shared" si="79"/>
        <v>0</v>
      </c>
      <c r="J102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29" s="91" t="e">
        <f t="shared" si="83"/>
        <v>#DIV/0!</v>
      </c>
      <c r="N1029" s="88" t="e">
        <f t="shared" si="80"/>
        <v>#DIV/0!</v>
      </c>
    </row>
    <row r="1030" spans="6:14" x14ac:dyDescent="0.25">
      <c r="F1030" s="1"/>
      <c r="G1030" s="114">
        <f t="shared" si="81"/>
        <v>0</v>
      </c>
      <c r="H1030" s="37">
        <f t="shared" si="82"/>
        <v>0</v>
      </c>
      <c r="I1030">
        <f t="shared" si="79"/>
        <v>0</v>
      </c>
      <c r="J103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0" s="91" t="e">
        <f t="shared" si="83"/>
        <v>#DIV/0!</v>
      </c>
      <c r="N1030" s="88" t="e">
        <f t="shared" si="80"/>
        <v>#DIV/0!</v>
      </c>
    </row>
    <row r="1031" spans="6:14" x14ac:dyDescent="0.25">
      <c r="F1031" s="1"/>
      <c r="G1031" s="114">
        <f t="shared" si="81"/>
        <v>0</v>
      </c>
      <c r="H1031" s="37">
        <f t="shared" si="82"/>
        <v>0</v>
      </c>
      <c r="I1031">
        <f t="shared" si="79"/>
        <v>0</v>
      </c>
      <c r="J103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1" s="91" t="e">
        <f t="shared" si="83"/>
        <v>#DIV/0!</v>
      </c>
      <c r="N1031" s="88" t="e">
        <f t="shared" si="80"/>
        <v>#DIV/0!</v>
      </c>
    </row>
    <row r="1032" spans="6:14" x14ac:dyDescent="0.25">
      <c r="F1032" s="1"/>
      <c r="G1032" s="114">
        <f t="shared" si="81"/>
        <v>0</v>
      </c>
      <c r="H1032" s="37">
        <f t="shared" si="82"/>
        <v>0</v>
      </c>
      <c r="I1032">
        <f t="shared" si="79"/>
        <v>0</v>
      </c>
      <c r="J103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2" s="91" t="e">
        <f t="shared" si="83"/>
        <v>#DIV/0!</v>
      </c>
      <c r="N1032" s="88" t="e">
        <f t="shared" si="80"/>
        <v>#DIV/0!</v>
      </c>
    </row>
    <row r="1033" spans="6:14" x14ac:dyDescent="0.25">
      <c r="F1033" s="1"/>
      <c r="G1033" s="114">
        <f t="shared" si="81"/>
        <v>0</v>
      </c>
      <c r="H1033" s="37">
        <f t="shared" si="82"/>
        <v>0</v>
      </c>
      <c r="I1033">
        <f t="shared" si="79"/>
        <v>0</v>
      </c>
      <c r="J103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3" s="91" t="e">
        <f t="shared" si="83"/>
        <v>#DIV/0!</v>
      </c>
      <c r="N1033" s="88" t="e">
        <f t="shared" si="80"/>
        <v>#DIV/0!</v>
      </c>
    </row>
    <row r="1034" spans="6:14" x14ac:dyDescent="0.25">
      <c r="F1034" s="1"/>
      <c r="G1034" s="114">
        <f t="shared" si="81"/>
        <v>0</v>
      </c>
      <c r="H1034" s="37">
        <f t="shared" si="82"/>
        <v>0</v>
      </c>
      <c r="I1034">
        <f t="shared" si="79"/>
        <v>0</v>
      </c>
      <c r="J103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4" s="91" t="e">
        <f t="shared" si="83"/>
        <v>#DIV/0!</v>
      </c>
      <c r="N1034" s="88" t="e">
        <f t="shared" si="80"/>
        <v>#DIV/0!</v>
      </c>
    </row>
    <row r="1035" spans="6:14" x14ac:dyDescent="0.25">
      <c r="F1035" s="1"/>
      <c r="G1035" s="114">
        <f t="shared" si="81"/>
        <v>0</v>
      </c>
      <c r="H1035" s="37">
        <f t="shared" si="82"/>
        <v>0</v>
      </c>
      <c r="I1035">
        <f t="shared" si="79"/>
        <v>0</v>
      </c>
      <c r="J103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5" s="91" t="e">
        <f t="shared" si="83"/>
        <v>#DIV/0!</v>
      </c>
      <c r="N1035" s="88" t="e">
        <f t="shared" si="80"/>
        <v>#DIV/0!</v>
      </c>
    </row>
    <row r="1036" spans="6:14" x14ac:dyDescent="0.25">
      <c r="F1036" s="1"/>
      <c r="G1036" s="114">
        <f t="shared" si="81"/>
        <v>0</v>
      </c>
      <c r="H1036" s="37">
        <f t="shared" si="82"/>
        <v>0</v>
      </c>
      <c r="I1036">
        <f t="shared" si="79"/>
        <v>0</v>
      </c>
      <c r="J103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6" s="91" t="e">
        <f t="shared" si="83"/>
        <v>#DIV/0!</v>
      </c>
      <c r="N1036" s="88" t="e">
        <f t="shared" si="80"/>
        <v>#DIV/0!</v>
      </c>
    </row>
    <row r="1037" spans="6:14" x14ac:dyDescent="0.25">
      <c r="F1037" s="1"/>
      <c r="G1037" s="114">
        <f t="shared" si="81"/>
        <v>0</v>
      </c>
      <c r="H1037" s="37">
        <f t="shared" si="82"/>
        <v>0</v>
      </c>
      <c r="I1037">
        <f t="shared" si="79"/>
        <v>0</v>
      </c>
      <c r="J103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7" s="91" t="e">
        <f t="shared" si="83"/>
        <v>#DIV/0!</v>
      </c>
      <c r="N1037" s="88" t="e">
        <f t="shared" si="80"/>
        <v>#DIV/0!</v>
      </c>
    </row>
    <row r="1038" spans="6:14" x14ac:dyDescent="0.25">
      <c r="F1038" s="1"/>
      <c r="G1038" s="114">
        <f t="shared" si="81"/>
        <v>0</v>
      </c>
      <c r="H1038" s="37">
        <f t="shared" si="82"/>
        <v>0</v>
      </c>
      <c r="I1038">
        <f t="shared" ref="I1038:I1101" si="84">+L1038-K1038</f>
        <v>0</v>
      </c>
      <c r="J103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8" s="91" t="e">
        <f t="shared" si="83"/>
        <v>#DIV/0!</v>
      </c>
      <c r="N1038" s="88" t="e">
        <f t="shared" si="80"/>
        <v>#DIV/0!</v>
      </c>
    </row>
    <row r="1039" spans="6:14" x14ac:dyDescent="0.25">
      <c r="F1039" s="1"/>
      <c r="G1039" s="114">
        <f t="shared" si="81"/>
        <v>0</v>
      </c>
      <c r="H1039" s="37">
        <f t="shared" si="82"/>
        <v>0</v>
      </c>
      <c r="I1039">
        <f t="shared" si="84"/>
        <v>0</v>
      </c>
      <c r="J103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39" s="91" t="e">
        <f t="shared" si="83"/>
        <v>#DIV/0!</v>
      </c>
      <c r="N1039" s="88" t="e">
        <f t="shared" si="80"/>
        <v>#DIV/0!</v>
      </c>
    </row>
    <row r="1040" spans="6:14" x14ac:dyDescent="0.25">
      <c r="F1040" s="1"/>
      <c r="G1040" s="114">
        <f t="shared" si="81"/>
        <v>0</v>
      </c>
      <c r="H1040" s="37">
        <f t="shared" si="82"/>
        <v>0</v>
      </c>
      <c r="I1040">
        <f t="shared" si="84"/>
        <v>0</v>
      </c>
      <c r="J104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0" s="91" t="e">
        <f t="shared" si="83"/>
        <v>#DIV/0!</v>
      </c>
      <c r="N1040" s="88" t="e">
        <f t="shared" si="80"/>
        <v>#DIV/0!</v>
      </c>
    </row>
    <row r="1041" spans="6:14" x14ac:dyDescent="0.25">
      <c r="F1041" s="1"/>
      <c r="G1041" s="114">
        <f t="shared" si="81"/>
        <v>0</v>
      </c>
      <c r="H1041" s="37">
        <f t="shared" si="82"/>
        <v>0</v>
      </c>
      <c r="I1041">
        <f t="shared" si="84"/>
        <v>0</v>
      </c>
      <c r="J104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1" s="91" t="e">
        <f t="shared" si="83"/>
        <v>#DIV/0!</v>
      </c>
      <c r="N1041" s="88" t="e">
        <f t="shared" si="80"/>
        <v>#DIV/0!</v>
      </c>
    </row>
    <row r="1042" spans="6:14" x14ac:dyDescent="0.25">
      <c r="F1042" s="1"/>
      <c r="G1042" s="114">
        <f t="shared" si="81"/>
        <v>0</v>
      </c>
      <c r="H1042" s="37">
        <f t="shared" si="82"/>
        <v>0</v>
      </c>
      <c r="I1042">
        <f t="shared" si="84"/>
        <v>0</v>
      </c>
      <c r="J104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2" s="91" t="e">
        <f t="shared" si="83"/>
        <v>#DIV/0!</v>
      </c>
      <c r="N1042" s="88" t="e">
        <f t="shared" si="80"/>
        <v>#DIV/0!</v>
      </c>
    </row>
    <row r="1043" spans="6:14" x14ac:dyDescent="0.25">
      <c r="F1043" s="1"/>
      <c r="G1043" s="114">
        <f t="shared" si="81"/>
        <v>0</v>
      </c>
      <c r="H1043" s="37">
        <f t="shared" si="82"/>
        <v>0</v>
      </c>
      <c r="I1043">
        <f t="shared" si="84"/>
        <v>0</v>
      </c>
      <c r="J104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3" s="91" t="e">
        <f t="shared" si="83"/>
        <v>#DIV/0!</v>
      </c>
      <c r="N1043" s="88" t="e">
        <f t="shared" si="80"/>
        <v>#DIV/0!</v>
      </c>
    </row>
    <row r="1044" spans="6:14" x14ac:dyDescent="0.25">
      <c r="F1044" s="1"/>
      <c r="G1044" s="114">
        <f t="shared" si="81"/>
        <v>0</v>
      </c>
      <c r="H1044" s="37">
        <f t="shared" si="82"/>
        <v>0</v>
      </c>
      <c r="I1044">
        <f t="shared" si="84"/>
        <v>0</v>
      </c>
      <c r="J104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4" s="91" t="e">
        <f t="shared" si="83"/>
        <v>#DIV/0!</v>
      </c>
      <c r="N1044" s="88" t="e">
        <f t="shared" si="80"/>
        <v>#DIV/0!</v>
      </c>
    </row>
    <row r="1045" spans="6:14" x14ac:dyDescent="0.25">
      <c r="F1045" s="1"/>
      <c r="G1045" s="114">
        <f t="shared" si="81"/>
        <v>0</v>
      </c>
      <c r="H1045" s="37">
        <f t="shared" si="82"/>
        <v>0</v>
      </c>
      <c r="I1045">
        <f t="shared" si="84"/>
        <v>0</v>
      </c>
      <c r="J104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5" s="91" t="e">
        <f t="shared" si="83"/>
        <v>#DIV/0!</v>
      </c>
      <c r="N1045" s="88" t="e">
        <f t="shared" si="80"/>
        <v>#DIV/0!</v>
      </c>
    </row>
    <row r="1046" spans="6:14" x14ac:dyDescent="0.25">
      <c r="F1046" s="1"/>
      <c r="G1046" s="114">
        <f t="shared" si="81"/>
        <v>0</v>
      </c>
      <c r="H1046" s="37">
        <f t="shared" si="82"/>
        <v>0</v>
      </c>
      <c r="I1046">
        <f t="shared" si="84"/>
        <v>0</v>
      </c>
      <c r="J104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6" s="91" t="e">
        <f t="shared" si="83"/>
        <v>#DIV/0!</v>
      </c>
      <c r="N1046" s="88" t="e">
        <f t="shared" si="80"/>
        <v>#DIV/0!</v>
      </c>
    </row>
    <row r="1047" spans="6:14" x14ac:dyDescent="0.25">
      <c r="F1047" s="1"/>
      <c r="G1047" s="114">
        <f t="shared" si="81"/>
        <v>0</v>
      </c>
      <c r="H1047" s="37">
        <f t="shared" si="82"/>
        <v>0</v>
      </c>
      <c r="I1047">
        <f t="shared" si="84"/>
        <v>0</v>
      </c>
      <c r="J104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7" s="91" t="e">
        <f t="shared" si="83"/>
        <v>#DIV/0!</v>
      </c>
      <c r="N1047" s="88" t="e">
        <f t="shared" si="80"/>
        <v>#DIV/0!</v>
      </c>
    </row>
    <row r="1048" spans="6:14" x14ac:dyDescent="0.25">
      <c r="F1048" s="1"/>
      <c r="G1048" s="114">
        <f t="shared" si="81"/>
        <v>0</v>
      </c>
      <c r="H1048" s="37">
        <f t="shared" si="82"/>
        <v>0</v>
      </c>
      <c r="I1048">
        <f t="shared" si="84"/>
        <v>0</v>
      </c>
      <c r="J104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8" s="91" t="e">
        <f t="shared" si="83"/>
        <v>#DIV/0!</v>
      </c>
      <c r="N1048" s="88" t="e">
        <f t="shared" si="80"/>
        <v>#DIV/0!</v>
      </c>
    </row>
    <row r="1049" spans="6:14" x14ac:dyDescent="0.25">
      <c r="F1049" s="1"/>
      <c r="G1049" s="114">
        <f t="shared" si="81"/>
        <v>0</v>
      </c>
      <c r="H1049" s="37">
        <f t="shared" si="82"/>
        <v>0</v>
      </c>
      <c r="I1049">
        <f t="shared" si="84"/>
        <v>0</v>
      </c>
      <c r="J104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49" s="91" t="e">
        <f t="shared" si="83"/>
        <v>#DIV/0!</v>
      </c>
      <c r="N1049" s="88" t="e">
        <f t="shared" si="80"/>
        <v>#DIV/0!</v>
      </c>
    </row>
    <row r="1050" spans="6:14" x14ac:dyDescent="0.25">
      <c r="F1050" s="1"/>
      <c r="G1050" s="114">
        <f t="shared" si="81"/>
        <v>0</v>
      </c>
      <c r="H1050" s="37">
        <f t="shared" si="82"/>
        <v>0</v>
      </c>
      <c r="I1050">
        <f t="shared" si="84"/>
        <v>0</v>
      </c>
      <c r="J105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0" s="91" t="e">
        <f t="shared" si="83"/>
        <v>#DIV/0!</v>
      </c>
      <c r="N1050" s="88" t="e">
        <f t="shared" si="80"/>
        <v>#DIV/0!</v>
      </c>
    </row>
    <row r="1051" spans="6:14" x14ac:dyDescent="0.25">
      <c r="F1051" s="1"/>
      <c r="G1051" s="114">
        <f t="shared" si="81"/>
        <v>0</v>
      </c>
      <c r="H1051" s="37">
        <f t="shared" si="82"/>
        <v>0</v>
      </c>
      <c r="I1051">
        <f t="shared" si="84"/>
        <v>0</v>
      </c>
      <c r="J105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1" s="91" t="e">
        <f t="shared" si="83"/>
        <v>#DIV/0!</v>
      </c>
      <c r="N1051" s="88" t="e">
        <f t="shared" si="80"/>
        <v>#DIV/0!</v>
      </c>
    </row>
    <row r="1052" spans="6:14" x14ac:dyDescent="0.25">
      <c r="F1052" s="1"/>
      <c r="G1052" s="114">
        <f t="shared" si="81"/>
        <v>0</v>
      </c>
      <c r="H1052" s="37">
        <f t="shared" si="82"/>
        <v>0</v>
      </c>
      <c r="I1052">
        <f t="shared" si="84"/>
        <v>0</v>
      </c>
      <c r="J105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2" s="91" t="e">
        <f t="shared" si="83"/>
        <v>#DIV/0!</v>
      </c>
      <c r="N1052" s="88" t="e">
        <f t="shared" si="80"/>
        <v>#DIV/0!</v>
      </c>
    </row>
    <row r="1053" spans="6:14" x14ac:dyDescent="0.25">
      <c r="F1053" s="1"/>
      <c r="G1053" s="114">
        <f t="shared" si="81"/>
        <v>0</v>
      </c>
      <c r="H1053" s="37">
        <f t="shared" si="82"/>
        <v>0</v>
      </c>
      <c r="I1053">
        <f t="shared" si="84"/>
        <v>0</v>
      </c>
      <c r="J105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3" s="91" t="e">
        <f t="shared" si="83"/>
        <v>#DIV/0!</v>
      </c>
      <c r="N1053" s="88" t="e">
        <f t="shared" si="80"/>
        <v>#DIV/0!</v>
      </c>
    </row>
    <row r="1054" spans="6:14" x14ac:dyDescent="0.25">
      <c r="F1054" s="1"/>
      <c r="G1054" s="114">
        <f t="shared" si="81"/>
        <v>0</v>
      </c>
      <c r="H1054" s="37">
        <f t="shared" si="82"/>
        <v>0</v>
      </c>
      <c r="I1054">
        <f t="shared" si="84"/>
        <v>0</v>
      </c>
      <c r="J105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4" s="91" t="e">
        <f t="shared" si="83"/>
        <v>#DIV/0!</v>
      </c>
      <c r="N1054" s="88" t="e">
        <f t="shared" si="80"/>
        <v>#DIV/0!</v>
      </c>
    </row>
    <row r="1055" spans="6:14" x14ac:dyDescent="0.25">
      <c r="F1055" s="1"/>
      <c r="G1055" s="114">
        <f t="shared" si="81"/>
        <v>0</v>
      </c>
      <c r="H1055" s="37">
        <f t="shared" si="82"/>
        <v>0</v>
      </c>
      <c r="I1055">
        <f t="shared" si="84"/>
        <v>0</v>
      </c>
      <c r="J105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5" s="91" t="e">
        <f t="shared" si="83"/>
        <v>#DIV/0!</v>
      </c>
      <c r="N1055" s="88" t="e">
        <f t="shared" si="80"/>
        <v>#DIV/0!</v>
      </c>
    </row>
    <row r="1056" spans="6:14" x14ac:dyDescent="0.25">
      <c r="F1056" s="1"/>
      <c r="G1056" s="114">
        <f t="shared" si="81"/>
        <v>0</v>
      </c>
      <c r="H1056" s="37">
        <f t="shared" si="82"/>
        <v>0</v>
      </c>
      <c r="I1056">
        <f t="shared" si="84"/>
        <v>0</v>
      </c>
      <c r="J105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6" s="91" t="e">
        <f t="shared" si="83"/>
        <v>#DIV/0!</v>
      </c>
      <c r="N1056" s="88" t="e">
        <f t="shared" si="80"/>
        <v>#DIV/0!</v>
      </c>
    </row>
    <row r="1057" spans="6:14" x14ac:dyDescent="0.25">
      <c r="F1057" s="1"/>
      <c r="G1057" s="114">
        <f t="shared" si="81"/>
        <v>0</v>
      </c>
      <c r="H1057" s="37">
        <f t="shared" si="82"/>
        <v>0</v>
      </c>
      <c r="I1057">
        <f t="shared" si="84"/>
        <v>0</v>
      </c>
      <c r="J105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7" s="91" t="e">
        <f t="shared" si="83"/>
        <v>#DIV/0!</v>
      </c>
      <c r="N1057" s="88" t="e">
        <f t="shared" si="80"/>
        <v>#DIV/0!</v>
      </c>
    </row>
    <row r="1058" spans="6:14" x14ac:dyDescent="0.25">
      <c r="F1058" s="1"/>
      <c r="G1058" s="114">
        <f t="shared" si="81"/>
        <v>0</v>
      </c>
      <c r="H1058" s="37">
        <f t="shared" si="82"/>
        <v>0</v>
      </c>
      <c r="I1058">
        <f t="shared" si="84"/>
        <v>0</v>
      </c>
      <c r="J105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8" s="91" t="e">
        <f t="shared" si="83"/>
        <v>#DIV/0!</v>
      </c>
      <c r="N1058" s="88" t="e">
        <f t="shared" si="80"/>
        <v>#DIV/0!</v>
      </c>
    </row>
    <row r="1059" spans="6:14" x14ac:dyDescent="0.25">
      <c r="F1059" s="1"/>
      <c r="G1059" s="114">
        <f t="shared" si="81"/>
        <v>0</v>
      </c>
      <c r="H1059" s="37">
        <f t="shared" si="82"/>
        <v>0</v>
      </c>
      <c r="I1059">
        <f t="shared" si="84"/>
        <v>0</v>
      </c>
      <c r="J105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59" s="91" t="e">
        <f t="shared" si="83"/>
        <v>#DIV/0!</v>
      </c>
      <c r="N1059" s="88" t="e">
        <f t="shared" si="80"/>
        <v>#DIV/0!</v>
      </c>
    </row>
    <row r="1060" spans="6:14" x14ac:dyDescent="0.25">
      <c r="F1060" s="1"/>
      <c r="G1060" s="114">
        <f t="shared" si="81"/>
        <v>0</v>
      </c>
      <c r="H1060" s="37">
        <f t="shared" si="82"/>
        <v>0</v>
      </c>
      <c r="I1060">
        <f t="shared" si="84"/>
        <v>0</v>
      </c>
      <c r="J106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0" s="91" t="e">
        <f t="shared" si="83"/>
        <v>#DIV/0!</v>
      </c>
      <c r="N1060" s="88" t="e">
        <f t="shared" si="80"/>
        <v>#DIV/0!</v>
      </c>
    </row>
    <row r="1061" spans="6:14" x14ac:dyDescent="0.25">
      <c r="F1061" s="1"/>
      <c r="G1061" s="114">
        <f t="shared" si="81"/>
        <v>0</v>
      </c>
      <c r="H1061" s="37">
        <f t="shared" si="82"/>
        <v>0</v>
      </c>
      <c r="I1061">
        <f t="shared" si="84"/>
        <v>0</v>
      </c>
      <c r="J106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1" s="91" t="e">
        <f t="shared" si="83"/>
        <v>#DIV/0!</v>
      </c>
      <c r="N1061" s="88" t="e">
        <f t="shared" si="80"/>
        <v>#DIV/0!</v>
      </c>
    </row>
    <row r="1062" spans="6:14" x14ac:dyDescent="0.25">
      <c r="F1062" s="1"/>
      <c r="G1062" s="114">
        <f t="shared" si="81"/>
        <v>0</v>
      </c>
      <c r="H1062" s="37">
        <f t="shared" si="82"/>
        <v>0</v>
      </c>
      <c r="I1062">
        <f t="shared" si="84"/>
        <v>0</v>
      </c>
      <c r="J106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2" s="91" t="e">
        <f t="shared" si="83"/>
        <v>#DIV/0!</v>
      </c>
      <c r="N1062" s="88" t="e">
        <f t="shared" si="80"/>
        <v>#DIV/0!</v>
      </c>
    </row>
    <row r="1063" spans="6:14" x14ac:dyDescent="0.25">
      <c r="F1063" s="1"/>
      <c r="G1063" s="114">
        <f t="shared" si="81"/>
        <v>0</v>
      </c>
      <c r="H1063" s="37">
        <f t="shared" si="82"/>
        <v>0</v>
      </c>
      <c r="I1063">
        <f t="shared" si="84"/>
        <v>0</v>
      </c>
      <c r="J106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3" s="91" t="e">
        <f t="shared" si="83"/>
        <v>#DIV/0!</v>
      </c>
      <c r="N1063" s="88" t="e">
        <f t="shared" si="80"/>
        <v>#DIV/0!</v>
      </c>
    </row>
    <row r="1064" spans="6:14" x14ac:dyDescent="0.25">
      <c r="F1064" s="1"/>
      <c r="G1064" s="114">
        <f t="shared" si="81"/>
        <v>0</v>
      </c>
      <c r="H1064" s="37">
        <f t="shared" si="82"/>
        <v>0</v>
      </c>
      <c r="I1064">
        <f t="shared" si="84"/>
        <v>0</v>
      </c>
      <c r="J106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4" s="91" t="e">
        <f t="shared" si="83"/>
        <v>#DIV/0!</v>
      </c>
      <c r="N1064" s="88" t="e">
        <f t="shared" si="80"/>
        <v>#DIV/0!</v>
      </c>
    </row>
    <row r="1065" spans="6:14" x14ac:dyDescent="0.25">
      <c r="F1065" s="1"/>
      <c r="G1065" s="114">
        <f t="shared" si="81"/>
        <v>0</v>
      </c>
      <c r="H1065" s="37">
        <f t="shared" si="82"/>
        <v>0</v>
      </c>
      <c r="I1065">
        <f t="shared" si="84"/>
        <v>0</v>
      </c>
      <c r="J106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5" s="91" t="e">
        <f t="shared" si="83"/>
        <v>#DIV/0!</v>
      </c>
      <c r="N1065" s="88" t="e">
        <f t="shared" si="80"/>
        <v>#DIV/0!</v>
      </c>
    </row>
    <row r="1066" spans="6:14" x14ac:dyDescent="0.25">
      <c r="F1066" s="1"/>
      <c r="G1066" s="114">
        <f t="shared" si="81"/>
        <v>0</v>
      </c>
      <c r="H1066" s="37">
        <f t="shared" si="82"/>
        <v>0</v>
      </c>
      <c r="I1066">
        <f t="shared" si="84"/>
        <v>0</v>
      </c>
      <c r="J106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6" s="91" t="e">
        <f t="shared" si="83"/>
        <v>#DIV/0!</v>
      </c>
      <c r="N1066" s="88" t="e">
        <f t="shared" si="80"/>
        <v>#DIV/0!</v>
      </c>
    </row>
    <row r="1067" spans="6:14" x14ac:dyDescent="0.25">
      <c r="F1067" s="1"/>
      <c r="G1067" s="114">
        <f t="shared" si="81"/>
        <v>0</v>
      </c>
      <c r="H1067" s="37">
        <f t="shared" si="82"/>
        <v>0</v>
      </c>
      <c r="I1067">
        <f t="shared" si="84"/>
        <v>0</v>
      </c>
      <c r="J106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7" s="91" t="e">
        <f t="shared" si="83"/>
        <v>#DIV/0!</v>
      </c>
      <c r="N1067" s="88" t="e">
        <f t="shared" si="80"/>
        <v>#DIV/0!</v>
      </c>
    </row>
    <row r="1068" spans="6:14" x14ac:dyDescent="0.25">
      <c r="F1068" s="1"/>
      <c r="G1068" s="114">
        <f t="shared" si="81"/>
        <v>0</v>
      </c>
      <c r="H1068" s="37">
        <f t="shared" si="82"/>
        <v>0</v>
      </c>
      <c r="I1068">
        <f t="shared" si="84"/>
        <v>0</v>
      </c>
      <c r="J106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8" s="91" t="e">
        <f t="shared" si="83"/>
        <v>#DIV/0!</v>
      </c>
      <c r="N1068" s="88" t="e">
        <f t="shared" si="80"/>
        <v>#DIV/0!</v>
      </c>
    </row>
    <row r="1069" spans="6:14" x14ac:dyDescent="0.25">
      <c r="F1069" s="1"/>
      <c r="G1069" s="114">
        <f t="shared" si="81"/>
        <v>0</v>
      </c>
      <c r="H1069" s="37">
        <f t="shared" si="82"/>
        <v>0</v>
      </c>
      <c r="I1069">
        <f t="shared" si="84"/>
        <v>0</v>
      </c>
      <c r="J106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69" s="91" t="e">
        <f t="shared" si="83"/>
        <v>#DIV/0!</v>
      </c>
      <c r="N1069" s="88" t="e">
        <f t="shared" si="80"/>
        <v>#DIV/0!</v>
      </c>
    </row>
    <row r="1070" spans="6:14" x14ac:dyDescent="0.25">
      <c r="F1070" s="1"/>
      <c r="G1070" s="114">
        <f t="shared" si="81"/>
        <v>0</v>
      </c>
      <c r="H1070" s="37">
        <f t="shared" si="82"/>
        <v>0</v>
      </c>
      <c r="I1070">
        <f t="shared" si="84"/>
        <v>0</v>
      </c>
      <c r="J107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0" s="91" t="e">
        <f t="shared" si="83"/>
        <v>#DIV/0!</v>
      </c>
      <c r="N1070" s="88" t="e">
        <f t="shared" si="80"/>
        <v>#DIV/0!</v>
      </c>
    </row>
    <row r="1071" spans="6:14" x14ac:dyDescent="0.25">
      <c r="F1071" s="1"/>
      <c r="G1071" s="114">
        <f t="shared" si="81"/>
        <v>0</v>
      </c>
      <c r="H1071" s="37">
        <f t="shared" si="82"/>
        <v>0</v>
      </c>
      <c r="I1071">
        <f t="shared" si="84"/>
        <v>0</v>
      </c>
      <c r="J107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1" s="91" t="e">
        <f t="shared" si="83"/>
        <v>#DIV/0!</v>
      </c>
      <c r="N1071" s="88" t="e">
        <f t="shared" si="80"/>
        <v>#DIV/0!</v>
      </c>
    </row>
    <row r="1072" spans="6:14" x14ac:dyDescent="0.25">
      <c r="F1072" s="1"/>
      <c r="G1072" s="114">
        <f t="shared" si="81"/>
        <v>0</v>
      </c>
      <c r="H1072" s="37">
        <f t="shared" si="82"/>
        <v>0</v>
      </c>
      <c r="I1072">
        <f t="shared" si="84"/>
        <v>0</v>
      </c>
      <c r="J107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2" s="91" t="e">
        <f t="shared" si="83"/>
        <v>#DIV/0!</v>
      </c>
      <c r="N1072" s="88" t="e">
        <f t="shared" si="80"/>
        <v>#DIV/0!</v>
      </c>
    </row>
    <row r="1073" spans="6:14" x14ac:dyDescent="0.25">
      <c r="F1073" s="1"/>
      <c r="G1073" s="114">
        <f t="shared" si="81"/>
        <v>0</v>
      </c>
      <c r="H1073" s="37">
        <f t="shared" si="82"/>
        <v>0</v>
      </c>
      <c r="I1073">
        <f t="shared" si="84"/>
        <v>0</v>
      </c>
      <c r="J107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3" s="91" t="e">
        <f t="shared" si="83"/>
        <v>#DIV/0!</v>
      </c>
      <c r="N1073" s="88" t="e">
        <f t="shared" si="80"/>
        <v>#DIV/0!</v>
      </c>
    </row>
    <row r="1074" spans="6:14" x14ac:dyDescent="0.25">
      <c r="F1074" s="1"/>
      <c r="G1074" s="114">
        <f t="shared" si="81"/>
        <v>0</v>
      </c>
      <c r="H1074" s="37">
        <f t="shared" si="82"/>
        <v>0</v>
      </c>
      <c r="I1074">
        <f t="shared" si="84"/>
        <v>0</v>
      </c>
      <c r="J107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4" s="91" t="e">
        <f t="shared" si="83"/>
        <v>#DIV/0!</v>
      </c>
      <c r="N1074" s="88" t="e">
        <f t="shared" si="80"/>
        <v>#DIV/0!</v>
      </c>
    </row>
    <row r="1075" spans="6:14" x14ac:dyDescent="0.25">
      <c r="F1075" s="1"/>
      <c r="G1075" s="114">
        <f t="shared" si="81"/>
        <v>0</v>
      </c>
      <c r="H1075" s="37">
        <f t="shared" si="82"/>
        <v>0</v>
      </c>
      <c r="I1075">
        <f t="shared" si="84"/>
        <v>0</v>
      </c>
      <c r="J107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5" s="91" t="e">
        <f t="shared" si="83"/>
        <v>#DIV/0!</v>
      </c>
      <c r="N1075" s="88" t="e">
        <f t="shared" si="80"/>
        <v>#DIV/0!</v>
      </c>
    </row>
    <row r="1076" spans="6:14" x14ac:dyDescent="0.25">
      <c r="F1076" s="1"/>
      <c r="G1076" s="114">
        <f t="shared" si="81"/>
        <v>0</v>
      </c>
      <c r="H1076" s="37">
        <f t="shared" si="82"/>
        <v>0</v>
      </c>
      <c r="I1076">
        <f t="shared" si="84"/>
        <v>0</v>
      </c>
      <c r="J107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6" s="91" t="e">
        <f t="shared" si="83"/>
        <v>#DIV/0!</v>
      </c>
      <c r="N1076" s="88" t="e">
        <f t="shared" si="80"/>
        <v>#DIV/0!</v>
      </c>
    </row>
    <row r="1077" spans="6:14" x14ac:dyDescent="0.25">
      <c r="F1077" s="1"/>
      <c r="G1077" s="114">
        <f t="shared" si="81"/>
        <v>0</v>
      </c>
      <c r="H1077" s="37">
        <f t="shared" si="82"/>
        <v>0</v>
      </c>
      <c r="I1077">
        <f t="shared" si="84"/>
        <v>0</v>
      </c>
      <c r="J107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7" s="91" t="e">
        <f t="shared" si="83"/>
        <v>#DIV/0!</v>
      </c>
      <c r="N1077" s="88" t="e">
        <f t="shared" si="80"/>
        <v>#DIV/0!</v>
      </c>
    </row>
    <row r="1078" spans="6:14" x14ac:dyDescent="0.25">
      <c r="F1078" s="1"/>
      <c r="G1078" s="114">
        <f t="shared" si="81"/>
        <v>0</v>
      </c>
      <c r="H1078" s="37">
        <f t="shared" si="82"/>
        <v>0</v>
      </c>
      <c r="I1078">
        <f t="shared" si="84"/>
        <v>0</v>
      </c>
      <c r="J107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8" s="91" t="e">
        <f t="shared" si="83"/>
        <v>#DIV/0!</v>
      </c>
      <c r="N1078" s="88" t="e">
        <f t="shared" si="80"/>
        <v>#DIV/0!</v>
      </c>
    </row>
    <row r="1079" spans="6:14" x14ac:dyDescent="0.25">
      <c r="F1079" s="1"/>
      <c r="G1079" s="114">
        <f t="shared" si="81"/>
        <v>0</v>
      </c>
      <c r="H1079" s="37">
        <f t="shared" si="82"/>
        <v>0</v>
      </c>
      <c r="I1079">
        <f t="shared" si="84"/>
        <v>0</v>
      </c>
      <c r="J107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79" s="91" t="e">
        <f t="shared" si="83"/>
        <v>#DIV/0!</v>
      </c>
      <c r="N1079" s="88" t="e">
        <f t="shared" si="80"/>
        <v>#DIV/0!</v>
      </c>
    </row>
    <row r="1080" spans="6:14" x14ac:dyDescent="0.25">
      <c r="F1080" s="1"/>
      <c r="G1080" s="114">
        <f t="shared" si="81"/>
        <v>0</v>
      </c>
      <c r="H1080" s="37">
        <f t="shared" si="82"/>
        <v>0</v>
      </c>
      <c r="I1080">
        <f t="shared" si="84"/>
        <v>0</v>
      </c>
      <c r="J108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0" s="91" t="e">
        <f t="shared" si="83"/>
        <v>#DIV/0!</v>
      </c>
      <c r="N1080" s="88" t="e">
        <f t="shared" si="80"/>
        <v>#DIV/0!</v>
      </c>
    </row>
    <row r="1081" spans="6:14" x14ac:dyDescent="0.25">
      <c r="F1081" s="1"/>
      <c r="G1081" s="114">
        <f t="shared" si="81"/>
        <v>0</v>
      </c>
      <c r="H1081" s="37">
        <f t="shared" si="82"/>
        <v>0</v>
      </c>
      <c r="I1081">
        <f t="shared" si="84"/>
        <v>0</v>
      </c>
      <c r="J108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1" s="91" t="e">
        <f t="shared" si="83"/>
        <v>#DIV/0!</v>
      </c>
      <c r="N1081" s="88" t="e">
        <f t="shared" si="80"/>
        <v>#DIV/0!</v>
      </c>
    </row>
    <row r="1082" spans="6:14" x14ac:dyDescent="0.25">
      <c r="F1082" s="1"/>
      <c r="G1082" s="114">
        <f t="shared" si="81"/>
        <v>0</v>
      </c>
      <c r="H1082" s="37">
        <f t="shared" si="82"/>
        <v>0</v>
      </c>
      <c r="I1082">
        <f t="shared" si="84"/>
        <v>0</v>
      </c>
      <c r="J108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2" s="91" t="e">
        <f t="shared" si="83"/>
        <v>#DIV/0!</v>
      </c>
      <c r="N1082" s="88" t="e">
        <f t="shared" si="80"/>
        <v>#DIV/0!</v>
      </c>
    </row>
    <row r="1083" spans="6:14" x14ac:dyDescent="0.25">
      <c r="F1083" s="1"/>
      <c r="G1083" s="114">
        <f t="shared" si="81"/>
        <v>0</v>
      </c>
      <c r="H1083" s="37">
        <f t="shared" si="82"/>
        <v>0</v>
      </c>
      <c r="I1083">
        <f t="shared" si="84"/>
        <v>0</v>
      </c>
      <c r="J108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3" s="91" t="e">
        <f t="shared" si="83"/>
        <v>#DIV/0!</v>
      </c>
      <c r="N1083" s="88" t="e">
        <f t="shared" si="80"/>
        <v>#DIV/0!</v>
      </c>
    </row>
    <row r="1084" spans="6:14" x14ac:dyDescent="0.25">
      <c r="F1084" s="1"/>
      <c r="G1084" s="114">
        <f t="shared" si="81"/>
        <v>0</v>
      </c>
      <c r="H1084" s="37">
        <f t="shared" si="82"/>
        <v>0</v>
      </c>
      <c r="I1084">
        <f t="shared" si="84"/>
        <v>0</v>
      </c>
      <c r="J108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4" s="91" t="e">
        <f t="shared" si="83"/>
        <v>#DIV/0!</v>
      </c>
      <c r="N1084" s="88" t="e">
        <f t="shared" si="80"/>
        <v>#DIV/0!</v>
      </c>
    </row>
    <row r="1085" spans="6:14" x14ac:dyDescent="0.25">
      <c r="F1085" s="1"/>
      <c r="G1085" s="114">
        <f t="shared" si="81"/>
        <v>0</v>
      </c>
      <c r="H1085" s="37">
        <f t="shared" si="82"/>
        <v>0</v>
      </c>
      <c r="I1085">
        <f t="shared" si="84"/>
        <v>0</v>
      </c>
      <c r="J108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5" s="91" t="e">
        <f t="shared" si="83"/>
        <v>#DIV/0!</v>
      </c>
      <c r="N1085" s="88" t="e">
        <f t="shared" si="80"/>
        <v>#DIV/0!</v>
      </c>
    </row>
    <row r="1086" spans="6:14" x14ac:dyDescent="0.25">
      <c r="F1086" s="1"/>
      <c r="G1086" s="114">
        <f t="shared" si="81"/>
        <v>0</v>
      </c>
      <c r="H1086" s="37">
        <f t="shared" si="82"/>
        <v>0</v>
      </c>
      <c r="I1086">
        <f t="shared" si="84"/>
        <v>0</v>
      </c>
      <c r="J108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6" s="91" t="e">
        <f t="shared" si="83"/>
        <v>#DIV/0!</v>
      </c>
      <c r="N1086" s="88" t="e">
        <f t="shared" si="80"/>
        <v>#DIV/0!</v>
      </c>
    </row>
    <row r="1087" spans="6:14" x14ac:dyDescent="0.25">
      <c r="F1087" s="1"/>
      <c r="G1087" s="114">
        <f t="shared" si="81"/>
        <v>0</v>
      </c>
      <c r="H1087" s="37">
        <f t="shared" si="82"/>
        <v>0</v>
      </c>
      <c r="I1087">
        <f t="shared" si="84"/>
        <v>0</v>
      </c>
      <c r="J108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7" s="91" t="e">
        <f t="shared" si="83"/>
        <v>#DIV/0!</v>
      </c>
      <c r="N1087" s="88" t="e">
        <f t="shared" si="80"/>
        <v>#DIV/0!</v>
      </c>
    </row>
    <row r="1088" spans="6:14" x14ac:dyDescent="0.25">
      <c r="F1088" s="1"/>
      <c r="G1088" s="114">
        <f t="shared" si="81"/>
        <v>0</v>
      </c>
      <c r="H1088" s="37">
        <f t="shared" si="82"/>
        <v>0</v>
      </c>
      <c r="I1088">
        <f t="shared" si="84"/>
        <v>0</v>
      </c>
      <c r="J108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8" s="91" t="e">
        <f t="shared" si="83"/>
        <v>#DIV/0!</v>
      </c>
      <c r="N1088" s="88" t="e">
        <f t="shared" si="80"/>
        <v>#DIV/0!</v>
      </c>
    </row>
    <row r="1089" spans="6:14" x14ac:dyDescent="0.25">
      <c r="F1089" s="1"/>
      <c r="G1089" s="114">
        <f t="shared" si="81"/>
        <v>0</v>
      </c>
      <c r="H1089" s="37">
        <f t="shared" si="82"/>
        <v>0</v>
      </c>
      <c r="I1089">
        <f t="shared" si="84"/>
        <v>0</v>
      </c>
      <c r="J108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89" s="91" t="e">
        <f t="shared" si="83"/>
        <v>#DIV/0!</v>
      </c>
      <c r="N1089" s="88" t="e">
        <f t="shared" ref="N1089:N1152" si="85">+((F1089+I1089)/J1089)*100</f>
        <v>#DIV/0!</v>
      </c>
    </row>
    <row r="1090" spans="6:14" x14ac:dyDescent="0.25">
      <c r="F1090" s="1"/>
      <c r="G1090" s="114">
        <f t="shared" ref="G1090:G1153" si="86">+F1090+I1090</f>
        <v>0</v>
      </c>
      <c r="H1090" s="37">
        <f t="shared" ref="H1090:H1153" si="87">+(F1090*0.05)+F1090</f>
        <v>0</v>
      </c>
      <c r="I1090">
        <f t="shared" si="84"/>
        <v>0</v>
      </c>
      <c r="J1090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0" s="91" t="e">
        <f t="shared" si="83"/>
        <v>#DIV/0!</v>
      </c>
      <c r="N1090" s="88" t="e">
        <f t="shared" si="85"/>
        <v>#DIV/0!</v>
      </c>
    </row>
    <row r="1091" spans="6:14" x14ac:dyDescent="0.25">
      <c r="F1091" s="1"/>
      <c r="G1091" s="114">
        <f t="shared" si="86"/>
        <v>0</v>
      </c>
      <c r="H1091" s="37">
        <f t="shared" si="87"/>
        <v>0</v>
      </c>
      <c r="I1091">
        <f t="shared" si="84"/>
        <v>0</v>
      </c>
      <c r="J1091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1" s="91" t="e">
        <f t="shared" ref="M1091:M1154" si="88">+((H1091+I1091)/J1091)*100</f>
        <v>#DIV/0!</v>
      </c>
      <c r="N1091" s="88" t="e">
        <f t="shared" si="85"/>
        <v>#DIV/0!</v>
      </c>
    </row>
    <row r="1092" spans="6:14" x14ac:dyDescent="0.25">
      <c r="F1092" s="1"/>
      <c r="G1092" s="114">
        <f t="shared" si="86"/>
        <v>0</v>
      </c>
      <c r="H1092" s="37">
        <f t="shared" si="87"/>
        <v>0</v>
      </c>
      <c r="I1092">
        <f t="shared" si="84"/>
        <v>0</v>
      </c>
      <c r="J1092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2" s="91" t="e">
        <f t="shared" si="88"/>
        <v>#DIV/0!</v>
      </c>
      <c r="N1092" s="88" t="e">
        <f t="shared" si="85"/>
        <v>#DIV/0!</v>
      </c>
    </row>
    <row r="1093" spans="6:14" x14ac:dyDescent="0.25">
      <c r="F1093" s="1"/>
      <c r="G1093" s="114">
        <f t="shared" si="86"/>
        <v>0</v>
      </c>
      <c r="H1093" s="37">
        <f t="shared" si="87"/>
        <v>0</v>
      </c>
      <c r="I1093">
        <f t="shared" si="84"/>
        <v>0</v>
      </c>
      <c r="J1093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3" s="91" t="e">
        <f t="shared" si="88"/>
        <v>#DIV/0!</v>
      </c>
      <c r="N1093" s="88" t="e">
        <f t="shared" si="85"/>
        <v>#DIV/0!</v>
      </c>
    </row>
    <row r="1094" spans="6:14" x14ac:dyDescent="0.25">
      <c r="F1094" s="1"/>
      <c r="G1094" s="114">
        <f t="shared" si="86"/>
        <v>0</v>
      </c>
      <c r="H1094" s="37">
        <f t="shared" si="87"/>
        <v>0</v>
      </c>
      <c r="I1094">
        <f t="shared" si="84"/>
        <v>0</v>
      </c>
      <c r="J1094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4" s="91" t="e">
        <f t="shared" si="88"/>
        <v>#DIV/0!</v>
      </c>
      <c r="N1094" s="88" t="e">
        <f t="shared" si="85"/>
        <v>#DIV/0!</v>
      </c>
    </row>
    <row r="1095" spans="6:14" x14ac:dyDescent="0.25">
      <c r="F1095" s="1"/>
      <c r="G1095" s="114">
        <f t="shared" si="86"/>
        <v>0</v>
      </c>
      <c r="H1095" s="37">
        <f t="shared" si="87"/>
        <v>0</v>
      </c>
      <c r="I1095">
        <f t="shared" si="84"/>
        <v>0</v>
      </c>
      <c r="J1095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5" s="91" t="e">
        <f t="shared" si="88"/>
        <v>#DIV/0!</v>
      </c>
      <c r="N1095" s="88" t="e">
        <f t="shared" si="85"/>
        <v>#DIV/0!</v>
      </c>
    </row>
    <row r="1096" spans="6:14" x14ac:dyDescent="0.25">
      <c r="F1096" s="1"/>
      <c r="G1096" s="114">
        <f t="shared" si="86"/>
        <v>0</v>
      </c>
      <c r="H1096" s="37">
        <f t="shared" si="87"/>
        <v>0</v>
      </c>
      <c r="I1096">
        <f t="shared" si="84"/>
        <v>0</v>
      </c>
      <c r="J1096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6" s="91" t="e">
        <f t="shared" si="88"/>
        <v>#DIV/0!</v>
      </c>
      <c r="N1096" s="88" t="e">
        <f t="shared" si="85"/>
        <v>#DIV/0!</v>
      </c>
    </row>
    <row r="1097" spans="6:14" x14ac:dyDescent="0.25">
      <c r="F1097" s="1"/>
      <c r="G1097" s="114">
        <f t="shared" si="86"/>
        <v>0</v>
      </c>
      <c r="H1097" s="37">
        <f t="shared" si="87"/>
        <v>0</v>
      </c>
      <c r="I1097">
        <f t="shared" si="84"/>
        <v>0</v>
      </c>
      <c r="J1097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7" s="91" t="e">
        <f t="shared" si="88"/>
        <v>#DIV/0!</v>
      </c>
      <c r="N1097" s="88" t="e">
        <f t="shared" si="85"/>
        <v>#DIV/0!</v>
      </c>
    </row>
    <row r="1098" spans="6:14" x14ac:dyDescent="0.25">
      <c r="F1098" s="1"/>
      <c r="G1098" s="114">
        <f t="shared" si="86"/>
        <v>0</v>
      </c>
      <c r="H1098" s="37">
        <f t="shared" si="87"/>
        <v>0</v>
      </c>
      <c r="I1098">
        <f t="shared" si="84"/>
        <v>0</v>
      </c>
      <c r="J1098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8" s="91" t="e">
        <f t="shared" si="88"/>
        <v>#DIV/0!</v>
      </c>
      <c r="N1098" s="88" t="e">
        <f t="shared" si="85"/>
        <v>#DIV/0!</v>
      </c>
    </row>
    <row r="1099" spans="6:14" x14ac:dyDescent="0.25">
      <c r="F1099" s="1"/>
      <c r="G1099" s="114">
        <f t="shared" si="86"/>
        <v>0</v>
      </c>
      <c r="H1099" s="37">
        <f t="shared" si="87"/>
        <v>0</v>
      </c>
      <c r="I1099">
        <f t="shared" si="84"/>
        <v>0</v>
      </c>
      <c r="J1099" s="1">
        <f>+SUMIFS('VOLCADO '!H:H,'VOLCADO '!C:C,'Produccion por productor'!A:A,'VOLCADO '!B:B,'Produccion por productor'!B:B,'VOLCADO '!I:I,'Produccion por productor'!C:C,'VOLCADO '!J:J,'Produccion por productor'!E:E)*370</f>
        <v>0</v>
      </c>
      <c r="M1099" s="91" t="e">
        <f t="shared" si="88"/>
        <v>#DIV/0!</v>
      </c>
      <c r="N1099" s="88" t="e">
        <f t="shared" si="85"/>
        <v>#DIV/0!</v>
      </c>
    </row>
    <row r="1100" spans="6:14" x14ac:dyDescent="0.25">
      <c r="F1100" s="1"/>
      <c r="G1100" s="114">
        <f t="shared" si="86"/>
        <v>0</v>
      </c>
      <c r="H1100" s="37">
        <f t="shared" si="87"/>
        <v>0</v>
      </c>
      <c r="I1100">
        <f t="shared" si="84"/>
        <v>0</v>
      </c>
      <c r="J110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0" s="91" t="e">
        <f t="shared" si="88"/>
        <v>#DIV/0!</v>
      </c>
      <c r="N1100" s="88" t="e">
        <f t="shared" si="85"/>
        <v>#DIV/0!</v>
      </c>
    </row>
    <row r="1101" spans="6:14" x14ac:dyDescent="0.25">
      <c r="F1101" s="1"/>
      <c r="G1101" s="114">
        <f t="shared" si="86"/>
        <v>0</v>
      </c>
      <c r="H1101" s="37">
        <f t="shared" si="87"/>
        <v>0</v>
      </c>
      <c r="I1101">
        <f t="shared" si="84"/>
        <v>0</v>
      </c>
      <c r="J110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1" s="91" t="e">
        <f t="shared" si="88"/>
        <v>#DIV/0!</v>
      </c>
      <c r="N1101" s="88" t="e">
        <f t="shared" si="85"/>
        <v>#DIV/0!</v>
      </c>
    </row>
    <row r="1102" spans="6:14" x14ac:dyDescent="0.25">
      <c r="F1102" s="1"/>
      <c r="G1102" s="114">
        <f t="shared" si="86"/>
        <v>0</v>
      </c>
      <c r="H1102" s="37">
        <f t="shared" si="87"/>
        <v>0</v>
      </c>
      <c r="I1102">
        <f t="shared" ref="I1102:I1165" si="89">+L1102-K1102</f>
        <v>0</v>
      </c>
      <c r="J110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2" s="91" t="e">
        <f t="shared" si="88"/>
        <v>#DIV/0!</v>
      </c>
      <c r="N1102" s="88" t="e">
        <f t="shared" si="85"/>
        <v>#DIV/0!</v>
      </c>
    </row>
    <row r="1103" spans="6:14" x14ac:dyDescent="0.25">
      <c r="F1103" s="1"/>
      <c r="G1103" s="114">
        <f t="shared" si="86"/>
        <v>0</v>
      </c>
      <c r="H1103" s="37">
        <f t="shared" si="87"/>
        <v>0</v>
      </c>
      <c r="I1103">
        <f t="shared" si="89"/>
        <v>0</v>
      </c>
      <c r="J110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3" s="91" t="e">
        <f t="shared" si="88"/>
        <v>#DIV/0!</v>
      </c>
      <c r="N1103" s="88" t="e">
        <f t="shared" si="85"/>
        <v>#DIV/0!</v>
      </c>
    </row>
    <row r="1104" spans="6:14" x14ac:dyDescent="0.25">
      <c r="F1104" s="1"/>
      <c r="G1104" s="114">
        <f t="shared" si="86"/>
        <v>0</v>
      </c>
      <c r="H1104" s="37">
        <f t="shared" si="87"/>
        <v>0</v>
      </c>
      <c r="I1104">
        <f t="shared" si="89"/>
        <v>0</v>
      </c>
      <c r="J110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4" s="91" t="e">
        <f t="shared" si="88"/>
        <v>#DIV/0!</v>
      </c>
      <c r="N1104" s="88" t="e">
        <f t="shared" si="85"/>
        <v>#DIV/0!</v>
      </c>
    </row>
    <row r="1105" spans="6:14" x14ac:dyDescent="0.25">
      <c r="F1105" s="1"/>
      <c r="G1105" s="114">
        <f t="shared" si="86"/>
        <v>0</v>
      </c>
      <c r="H1105" s="37">
        <f t="shared" si="87"/>
        <v>0</v>
      </c>
      <c r="I1105">
        <f t="shared" si="89"/>
        <v>0</v>
      </c>
      <c r="J110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5" s="91" t="e">
        <f t="shared" si="88"/>
        <v>#DIV/0!</v>
      </c>
      <c r="N1105" s="88" t="e">
        <f t="shared" si="85"/>
        <v>#DIV/0!</v>
      </c>
    </row>
    <row r="1106" spans="6:14" x14ac:dyDescent="0.25">
      <c r="F1106" s="1"/>
      <c r="G1106" s="114">
        <f t="shared" si="86"/>
        <v>0</v>
      </c>
      <c r="H1106" s="37">
        <f t="shared" si="87"/>
        <v>0</v>
      </c>
      <c r="I1106">
        <f t="shared" si="89"/>
        <v>0</v>
      </c>
      <c r="J110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6" s="91" t="e">
        <f t="shared" si="88"/>
        <v>#DIV/0!</v>
      </c>
      <c r="N1106" s="88" t="e">
        <f t="shared" si="85"/>
        <v>#DIV/0!</v>
      </c>
    </row>
    <row r="1107" spans="6:14" x14ac:dyDescent="0.25">
      <c r="F1107" s="1"/>
      <c r="G1107" s="114">
        <f t="shared" si="86"/>
        <v>0</v>
      </c>
      <c r="H1107" s="37">
        <f t="shared" si="87"/>
        <v>0</v>
      </c>
      <c r="I1107">
        <f t="shared" si="89"/>
        <v>0</v>
      </c>
      <c r="J110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7" s="91" t="e">
        <f t="shared" si="88"/>
        <v>#DIV/0!</v>
      </c>
      <c r="N1107" s="88" t="e">
        <f t="shared" si="85"/>
        <v>#DIV/0!</v>
      </c>
    </row>
    <row r="1108" spans="6:14" x14ac:dyDescent="0.25">
      <c r="F1108" s="1"/>
      <c r="G1108" s="114">
        <f t="shared" si="86"/>
        <v>0</v>
      </c>
      <c r="H1108" s="37">
        <f t="shared" si="87"/>
        <v>0</v>
      </c>
      <c r="I1108">
        <f t="shared" si="89"/>
        <v>0</v>
      </c>
      <c r="J110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8" s="91" t="e">
        <f t="shared" si="88"/>
        <v>#DIV/0!</v>
      </c>
      <c r="N1108" s="88" t="e">
        <f t="shared" si="85"/>
        <v>#DIV/0!</v>
      </c>
    </row>
    <row r="1109" spans="6:14" x14ac:dyDescent="0.25">
      <c r="F1109" s="1"/>
      <c r="G1109" s="114">
        <f t="shared" si="86"/>
        <v>0</v>
      </c>
      <c r="H1109" s="37">
        <f t="shared" si="87"/>
        <v>0</v>
      </c>
      <c r="I1109">
        <f t="shared" si="89"/>
        <v>0</v>
      </c>
      <c r="J110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09" s="91" t="e">
        <f t="shared" si="88"/>
        <v>#DIV/0!</v>
      </c>
      <c r="N1109" s="88" t="e">
        <f t="shared" si="85"/>
        <v>#DIV/0!</v>
      </c>
    </row>
    <row r="1110" spans="6:14" x14ac:dyDescent="0.25">
      <c r="F1110" s="1"/>
      <c r="G1110" s="114">
        <f t="shared" si="86"/>
        <v>0</v>
      </c>
      <c r="H1110" s="37">
        <f t="shared" si="87"/>
        <v>0</v>
      </c>
      <c r="I1110">
        <f t="shared" si="89"/>
        <v>0</v>
      </c>
      <c r="J111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0" s="91" t="e">
        <f t="shared" si="88"/>
        <v>#DIV/0!</v>
      </c>
      <c r="N1110" s="88" t="e">
        <f t="shared" si="85"/>
        <v>#DIV/0!</v>
      </c>
    </row>
    <row r="1111" spans="6:14" x14ac:dyDescent="0.25">
      <c r="F1111" s="1"/>
      <c r="G1111" s="114">
        <f t="shared" si="86"/>
        <v>0</v>
      </c>
      <c r="H1111" s="37">
        <f t="shared" si="87"/>
        <v>0</v>
      </c>
      <c r="I1111">
        <f t="shared" si="89"/>
        <v>0</v>
      </c>
      <c r="J111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1" s="91" t="e">
        <f t="shared" si="88"/>
        <v>#DIV/0!</v>
      </c>
      <c r="N1111" s="88" t="e">
        <f t="shared" si="85"/>
        <v>#DIV/0!</v>
      </c>
    </row>
    <row r="1112" spans="6:14" x14ac:dyDescent="0.25">
      <c r="F1112" s="1"/>
      <c r="G1112" s="114">
        <f t="shared" si="86"/>
        <v>0</v>
      </c>
      <c r="H1112" s="37">
        <f t="shared" si="87"/>
        <v>0</v>
      </c>
      <c r="I1112">
        <f t="shared" si="89"/>
        <v>0</v>
      </c>
      <c r="J111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2" s="91" t="e">
        <f t="shared" si="88"/>
        <v>#DIV/0!</v>
      </c>
      <c r="N1112" s="88" t="e">
        <f t="shared" si="85"/>
        <v>#DIV/0!</v>
      </c>
    </row>
    <row r="1113" spans="6:14" x14ac:dyDescent="0.25">
      <c r="F1113" s="1"/>
      <c r="G1113" s="114">
        <f t="shared" si="86"/>
        <v>0</v>
      </c>
      <c r="H1113" s="37">
        <f t="shared" si="87"/>
        <v>0</v>
      </c>
      <c r="I1113">
        <f t="shared" si="89"/>
        <v>0</v>
      </c>
      <c r="J111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3" s="91" t="e">
        <f t="shared" si="88"/>
        <v>#DIV/0!</v>
      </c>
      <c r="N1113" s="88" t="e">
        <f t="shared" si="85"/>
        <v>#DIV/0!</v>
      </c>
    </row>
    <row r="1114" spans="6:14" x14ac:dyDescent="0.25">
      <c r="F1114" s="1"/>
      <c r="G1114" s="114">
        <f t="shared" si="86"/>
        <v>0</v>
      </c>
      <c r="H1114" s="37">
        <f t="shared" si="87"/>
        <v>0</v>
      </c>
      <c r="I1114">
        <f t="shared" si="89"/>
        <v>0</v>
      </c>
      <c r="J111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4" s="91" t="e">
        <f t="shared" si="88"/>
        <v>#DIV/0!</v>
      </c>
      <c r="N1114" s="88" t="e">
        <f t="shared" si="85"/>
        <v>#DIV/0!</v>
      </c>
    </row>
    <row r="1115" spans="6:14" x14ac:dyDescent="0.25">
      <c r="F1115" s="1"/>
      <c r="G1115" s="114">
        <f t="shared" si="86"/>
        <v>0</v>
      </c>
      <c r="H1115" s="37">
        <f t="shared" si="87"/>
        <v>0</v>
      </c>
      <c r="I1115">
        <f t="shared" si="89"/>
        <v>0</v>
      </c>
      <c r="J111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5" s="91" t="e">
        <f t="shared" si="88"/>
        <v>#DIV/0!</v>
      </c>
      <c r="N1115" s="88" t="e">
        <f t="shared" si="85"/>
        <v>#DIV/0!</v>
      </c>
    </row>
    <row r="1116" spans="6:14" x14ac:dyDescent="0.25">
      <c r="F1116" s="1"/>
      <c r="G1116" s="114">
        <f t="shared" si="86"/>
        <v>0</v>
      </c>
      <c r="H1116" s="37">
        <f t="shared" si="87"/>
        <v>0</v>
      </c>
      <c r="I1116">
        <f t="shared" si="89"/>
        <v>0</v>
      </c>
      <c r="J111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6" s="91" t="e">
        <f t="shared" si="88"/>
        <v>#DIV/0!</v>
      </c>
      <c r="N1116" s="88" t="e">
        <f t="shared" si="85"/>
        <v>#DIV/0!</v>
      </c>
    </row>
    <row r="1117" spans="6:14" x14ac:dyDescent="0.25">
      <c r="F1117" s="1"/>
      <c r="G1117" s="114">
        <f t="shared" si="86"/>
        <v>0</v>
      </c>
      <c r="H1117" s="37">
        <f t="shared" si="87"/>
        <v>0</v>
      </c>
      <c r="I1117">
        <f t="shared" si="89"/>
        <v>0</v>
      </c>
      <c r="J111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7" s="91" t="e">
        <f t="shared" si="88"/>
        <v>#DIV/0!</v>
      </c>
      <c r="N1117" s="88" t="e">
        <f t="shared" si="85"/>
        <v>#DIV/0!</v>
      </c>
    </row>
    <row r="1118" spans="6:14" x14ac:dyDescent="0.25">
      <c r="F1118" s="1"/>
      <c r="G1118" s="114">
        <f t="shared" si="86"/>
        <v>0</v>
      </c>
      <c r="H1118" s="37">
        <f t="shared" si="87"/>
        <v>0</v>
      </c>
      <c r="I1118">
        <f t="shared" si="89"/>
        <v>0</v>
      </c>
      <c r="J111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8" s="91" t="e">
        <f t="shared" si="88"/>
        <v>#DIV/0!</v>
      </c>
      <c r="N1118" s="88" t="e">
        <f t="shared" si="85"/>
        <v>#DIV/0!</v>
      </c>
    </row>
    <row r="1119" spans="6:14" x14ac:dyDescent="0.25">
      <c r="F1119" s="1"/>
      <c r="G1119" s="114">
        <f t="shared" si="86"/>
        <v>0</v>
      </c>
      <c r="H1119" s="37">
        <f t="shared" si="87"/>
        <v>0</v>
      </c>
      <c r="I1119">
        <f t="shared" si="89"/>
        <v>0</v>
      </c>
      <c r="J111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19" s="91" t="e">
        <f t="shared" si="88"/>
        <v>#DIV/0!</v>
      </c>
      <c r="N1119" s="88" t="e">
        <f t="shared" si="85"/>
        <v>#DIV/0!</v>
      </c>
    </row>
    <row r="1120" spans="6:14" x14ac:dyDescent="0.25">
      <c r="F1120" s="1"/>
      <c r="G1120" s="114">
        <f t="shared" si="86"/>
        <v>0</v>
      </c>
      <c r="H1120" s="37">
        <f t="shared" si="87"/>
        <v>0</v>
      </c>
      <c r="I1120">
        <f t="shared" si="89"/>
        <v>0</v>
      </c>
      <c r="J112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0" s="91" t="e">
        <f t="shared" si="88"/>
        <v>#DIV/0!</v>
      </c>
      <c r="N1120" s="88" t="e">
        <f t="shared" si="85"/>
        <v>#DIV/0!</v>
      </c>
    </row>
    <row r="1121" spans="6:14" x14ac:dyDescent="0.25">
      <c r="F1121" s="1"/>
      <c r="G1121" s="114">
        <f t="shared" si="86"/>
        <v>0</v>
      </c>
      <c r="H1121" s="37">
        <f t="shared" si="87"/>
        <v>0</v>
      </c>
      <c r="I1121">
        <f t="shared" si="89"/>
        <v>0</v>
      </c>
      <c r="J112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1" s="91" t="e">
        <f t="shared" si="88"/>
        <v>#DIV/0!</v>
      </c>
      <c r="N1121" s="88" t="e">
        <f t="shared" si="85"/>
        <v>#DIV/0!</v>
      </c>
    </row>
    <row r="1122" spans="6:14" x14ac:dyDescent="0.25">
      <c r="F1122" s="1"/>
      <c r="G1122" s="114">
        <f t="shared" si="86"/>
        <v>0</v>
      </c>
      <c r="H1122" s="37">
        <f t="shared" si="87"/>
        <v>0</v>
      </c>
      <c r="I1122">
        <f t="shared" si="89"/>
        <v>0</v>
      </c>
      <c r="J112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2" s="91" t="e">
        <f t="shared" si="88"/>
        <v>#DIV/0!</v>
      </c>
      <c r="N1122" s="88" t="e">
        <f t="shared" si="85"/>
        <v>#DIV/0!</v>
      </c>
    </row>
    <row r="1123" spans="6:14" x14ac:dyDescent="0.25">
      <c r="F1123" s="1"/>
      <c r="G1123" s="114">
        <f t="shared" si="86"/>
        <v>0</v>
      </c>
      <c r="H1123" s="37">
        <f t="shared" si="87"/>
        <v>0</v>
      </c>
      <c r="I1123">
        <f t="shared" si="89"/>
        <v>0</v>
      </c>
      <c r="J112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3" s="91" t="e">
        <f t="shared" si="88"/>
        <v>#DIV/0!</v>
      </c>
      <c r="N1123" s="88" t="e">
        <f t="shared" si="85"/>
        <v>#DIV/0!</v>
      </c>
    </row>
    <row r="1124" spans="6:14" x14ac:dyDescent="0.25">
      <c r="F1124" s="1"/>
      <c r="G1124" s="114">
        <f t="shared" si="86"/>
        <v>0</v>
      </c>
      <c r="H1124" s="37">
        <f t="shared" si="87"/>
        <v>0</v>
      </c>
      <c r="I1124">
        <f t="shared" si="89"/>
        <v>0</v>
      </c>
      <c r="J112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4" s="91" t="e">
        <f t="shared" si="88"/>
        <v>#DIV/0!</v>
      </c>
      <c r="N1124" s="88" t="e">
        <f t="shared" si="85"/>
        <v>#DIV/0!</v>
      </c>
    </row>
    <row r="1125" spans="6:14" x14ac:dyDescent="0.25">
      <c r="F1125" s="1"/>
      <c r="G1125" s="114">
        <f t="shared" si="86"/>
        <v>0</v>
      </c>
      <c r="H1125" s="37">
        <f t="shared" si="87"/>
        <v>0</v>
      </c>
      <c r="I1125">
        <f t="shared" si="89"/>
        <v>0</v>
      </c>
      <c r="J112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5" s="91" t="e">
        <f t="shared" si="88"/>
        <v>#DIV/0!</v>
      </c>
      <c r="N1125" s="88" t="e">
        <f t="shared" si="85"/>
        <v>#DIV/0!</v>
      </c>
    </row>
    <row r="1126" spans="6:14" x14ac:dyDescent="0.25">
      <c r="F1126" s="1"/>
      <c r="G1126" s="114">
        <f t="shared" si="86"/>
        <v>0</v>
      </c>
      <c r="H1126" s="37">
        <f t="shared" si="87"/>
        <v>0</v>
      </c>
      <c r="I1126">
        <f t="shared" si="89"/>
        <v>0</v>
      </c>
      <c r="J112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6" s="91" t="e">
        <f t="shared" si="88"/>
        <v>#DIV/0!</v>
      </c>
      <c r="N1126" s="88" t="e">
        <f t="shared" si="85"/>
        <v>#DIV/0!</v>
      </c>
    </row>
    <row r="1127" spans="6:14" x14ac:dyDescent="0.25">
      <c r="F1127" s="1"/>
      <c r="G1127" s="114">
        <f t="shared" si="86"/>
        <v>0</v>
      </c>
      <c r="H1127" s="37">
        <f t="shared" si="87"/>
        <v>0</v>
      </c>
      <c r="I1127">
        <f t="shared" si="89"/>
        <v>0</v>
      </c>
      <c r="J112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7" s="91" t="e">
        <f t="shared" si="88"/>
        <v>#DIV/0!</v>
      </c>
      <c r="N1127" s="88" t="e">
        <f t="shared" si="85"/>
        <v>#DIV/0!</v>
      </c>
    </row>
    <row r="1128" spans="6:14" x14ac:dyDescent="0.25">
      <c r="F1128" s="1"/>
      <c r="G1128" s="114">
        <f t="shared" si="86"/>
        <v>0</v>
      </c>
      <c r="H1128" s="37">
        <f t="shared" si="87"/>
        <v>0</v>
      </c>
      <c r="I1128">
        <f t="shared" si="89"/>
        <v>0</v>
      </c>
      <c r="J112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8" s="91" t="e">
        <f t="shared" si="88"/>
        <v>#DIV/0!</v>
      </c>
      <c r="N1128" s="88" t="e">
        <f t="shared" si="85"/>
        <v>#DIV/0!</v>
      </c>
    </row>
    <row r="1129" spans="6:14" x14ac:dyDescent="0.25">
      <c r="F1129" s="1"/>
      <c r="G1129" s="114">
        <f t="shared" si="86"/>
        <v>0</v>
      </c>
      <c r="H1129" s="37">
        <f t="shared" si="87"/>
        <v>0</v>
      </c>
      <c r="I1129">
        <f t="shared" si="89"/>
        <v>0</v>
      </c>
      <c r="J112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29" s="91" t="e">
        <f t="shared" si="88"/>
        <v>#DIV/0!</v>
      </c>
      <c r="N1129" s="88" t="e">
        <f t="shared" si="85"/>
        <v>#DIV/0!</v>
      </c>
    </row>
    <row r="1130" spans="6:14" x14ac:dyDescent="0.25">
      <c r="F1130" s="1"/>
      <c r="G1130" s="114">
        <f t="shared" si="86"/>
        <v>0</v>
      </c>
      <c r="H1130" s="37">
        <f t="shared" si="87"/>
        <v>0</v>
      </c>
      <c r="I1130">
        <f t="shared" si="89"/>
        <v>0</v>
      </c>
      <c r="J113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0" s="91" t="e">
        <f t="shared" si="88"/>
        <v>#DIV/0!</v>
      </c>
      <c r="N1130" s="88" t="e">
        <f t="shared" si="85"/>
        <v>#DIV/0!</v>
      </c>
    </row>
    <row r="1131" spans="6:14" x14ac:dyDescent="0.25">
      <c r="F1131" s="1"/>
      <c r="G1131" s="114">
        <f t="shared" si="86"/>
        <v>0</v>
      </c>
      <c r="H1131" s="37">
        <f t="shared" si="87"/>
        <v>0</v>
      </c>
      <c r="I1131">
        <f t="shared" si="89"/>
        <v>0</v>
      </c>
      <c r="J113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1" s="91" t="e">
        <f t="shared" si="88"/>
        <v>#DIV/0!</v>
      </c>
      <c r="N1131" s="88" t="e">
        <f t="shared" si="85"/>
        <v>#DIV/0!</v>
      </c>
    </row>
    <row r="1132" spans="6:14" x14ac:dyDescent="0.25">
      <c r="F1132" s="1"/>
      <c r="G1132" s="114">
        <f t="shared" si="86"/>
        <v>0</v>
      </c>
      <c r="H1132" s="37">
        <f t="shared" si="87"/>
        <v>0</v>
      </c>
      <c r="I1132">
        <f t="shared" si="89"/>
        <v>0</v>
      </c>
      <c r="J113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2" s="91" t="e">
        <f t="shared" si="88"/>
        <v>#DIV/0!</v>
      </c>
      <c r="N1132" s="88" t="e">
        <f t="shared" si="85"/>
        <v>#DIV/0!</v>
      </c>
    </row>
    <row r="1133" spans="6:14" x14ac:dyDescent="0.25">
      <c r="F1133" s="1"/>
      <c r="G1133" s="114">
        <f t="shared" si="86"/>
        <v>0</v>
      </c>
      <c r="H1133" s="37">
        <f t="shared" si="87"/>
        <v>0</v>
      </c>
      <c r="I1133">
        <f t="shared" si="89"/>
        <v>0</v>
      </c>
      <c r="J113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3" s="91" t="e">
        <f t="shared" si="88"/>
        <v>#DIV/0!</v>
      </c>
      <c r="N1133" s="88" t="e">
        <f t="shared" si="85"/>
        <v>#DIV/0!</v>
      </c>
    </row>
    <row r="1134" spans="6:14" x14ac:dyDescent="0.25">
      <c r="F1134" s="1"/>
      <c r="G1134" s="114">
        <f t="shared" si="86"/>
        <v>0</v>
      </c>
      <c r="H1134" s="37">
        <f t="shared" si="87"/>
        <v>0</v>
      </c>
      <c r="I1134">
        <f t="shared" si="89"/>
        <v>0</v>
      </c>
      <c r="J113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4" s="91" t="e">
        <f t="shared" si="88"/>
        <v>#DIV/0!</v>
      </c>
      <c r="N1134" s="88" t="e">
        <f t="shared" si="85"/>
        <v>#DIV/0!</v>
      </c>
    </row>
    <row r="1135" spans="6:14" x14ac:dyDescent="0.25">
      <c r="F1135" s="1"/>
      <c r="G1135" s="114">
        <f t="shared" si="86"/>
        <v>0</v>
      </c>
      <c r="H1135" s="37">
        <f t="shared" si="87"/>
        <v>0</v>
      </c>
      <c r="I1135">
        <f t="shared" si="89"/>
        <v>0</v>
      </c>
      <c r="J113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5" s="91" t="e">
        <f t="shared" si="88"/>
        <v>#DIV/0!</v>
      </c>
      <c r="N1135" s="88" t="e">
        <f t="shared" si="85"/>
        <v>#DIV/0!</v>
      </c>
    </row>
    <row r="1136" spans="6:14" x14ac:dyDescent="0.25">
      <c r="F1136" s="1"/>
      <c r="G1136" s="114">
        <f t="shared" si="86"/>
        <v>0</v>
      </c>
      <c r="H1136" s="37">
        <f t="shared" si="87"/>
        <v>0</v>
      </c>
      <c r="I1136">
        <f t="shared" si="89"/>
        <v>0</v>
      </c>
      <c r="J113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6" s="91" t="e">
        <f t="shared" si="88"/>
        <v>#DIV/0!</v>
      </c>
      <c r="N1136" s="88" t="e">
        <f t="shared" si="85"/>
        <v>#DIV/0!</v>
      </c>
    </row>
    <row r="1137" spans="6:14" x14ac:dyDescent="0.25">
      <c r="F1137" s="1"/>
      <c r="G1137" s="114">
        <f t="shared" si="86"/>
        <v>0</v>
      </c>
      <c r="H1137" s="37">
        <f t="shared" si="87"/>
        <v>0</v>
      </c>
      <c r="I1137">
        <f t="shared" si="89"/>
        <v>0</v>
      </c>
      <c r="J113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7" s="91" t="e">
        <f t="shared" si="88"/>
        <v>#DIV/0!</v>
      </c>
      <c r="N1137" s="88" t="e">
        <f t="shared" si="85"/>
        <v>#DIV/0!</v>
      </c>
    </row>
    <row r="1138" spans="6:14" x14ac:dyDescent="0.25">
      <c r="F1138" s="1"/>
      <c r="G1138" s="114">
        <f t="shared" si="86"/>
        <v>0</v>
      </c>
      <c r="H1138" s="37">
        <f t="shared" si="87"/>
        <v>0</v>
      </c>
      <c r="I1138">
        <f t="shared" si="89"/>
        <v>0</v>
      </c>
      <c r="J113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8" s="91" t="e">
        <f t="shared" si="88"/>
        <v>#DIV/0!</v>
      </c>
      <c r="N1138" s="88" t="e">
        <f t="shared" si="85"/>
        <v>#DIV/0!</v>
      </c>
    </row>
    <row r="1139" spans="6:14" x14ac:dyDescent="0.25">
      <c r="F1139" s="1"/>
      <c r="G1139" s="114">
        <f t="shared" si="86"/>
        <v>0</v>
      </c>
      <c r="H1139" s="37">
        <f t="shared" si="87"/>
        <v>0</v>
      </c>
      <c r="I1139">
        <f t="shared" si="89"/>
        <v>0</v>
      </c>
      <c r="J113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39" s="91" t="e">
        <f t="shared" si="88"/>
        <v>#DIV/0!</v>
      </c>
      <c r="N1139" s="88" t="e">
        <f t="shared" si="85"/>
        <v>#DIV/0!</v>
      </c>
    </row>
    <row r="1140" spans="6:14" x14ac:dyDescent="0.25">
      <c r="F1140" s="1"/>
      <c r="G1140" s="114">
        <f t="shared" si="86"/>
        <v>0</v>
      </c>
      <c r="H1140" s="37">
        <f t="shared" si="87"/>
        <v>0</v>
      </c>
      <c r="I1140">
        <f t="shared" si="89"/>
        <v>0</v>
      </c>
      <c r="J114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0" s="91" t="e">
        <f t="shared" si="88"/>
        <v>#DIV/0!</v>
      </c>
      <c r="N1140" s="88" t="e">
        <f t="shared" si="85"/>
        <v>#DIV/0!</v>
      </c>
    </row>
    <row r="1141" spans="6:14" x14ac:dyDescent="0.25">
      <c r="F1141" s="1"/>
      <c r="G1141" s="114">
        <f t="shared" si="86"/>
        <v>0</v>
      </c>
      <c r="H1141" s="37">
        <f t="shared" si="87"/>
        <v>0</v>
      </c>
      <c r="I1141">
        <f t="shared" si="89"/>
        <v>0</v>
      </c>
      <c r="J114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1" s="91" t="e">
        <f t="shared" si="88"/>
        <v>#DIV/0!</v>
      </c>
      <c r="N1141" s="88" t="e">
        <f t="shared" si="85"/>
        <v>#DIV/0!</v>
      </c>
    </row>
    <row r="1142" spans="6:14" x14ac:dyDescent="0.25">
      <c r="F1142" s="1"/>
      <c r="G1142" s="114">
        <f t="shared" si="86"/>
        <v>0</v>
      </c>
      <c r="H1142" s="37">
        <f t="shared" si="87"/>
        <v>0</v>
      </c>
      <c r="I1142">
        <f t="shared" si="89"/>
        <v>0</v>
      </c>
      <c r="J114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2" s="91" t="e">
        <f t="shared" si="88"/>
        <v>#DIV/0!</v>
      </c>
      <c r="N1142" s="88" t="e">
        <f t="shared" si="85"/>
        <v>#DIV/0!</v>
      </c>
    </row>
    <row r="1143" spans="6:14" x14ac:dyDescent="0.25">
      <c r="F1143" s="1"/>
      <c r="G1143" s="114">
        <f t="shared" si="86"/>
        <v>0</v>
      </c>
      <c r="H1143" s="37">
        <f t="shared" si="87"/>
        <v>0</v>
      </c>
      <c r="I1143">
        <f t="shared" si="89"/>
        <v>0</v>
      </c>
      <c r="J114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3" s="91" t="e">
        <f t="shared" si="88"/>
        <v>#DIV/0!</v>
      </c>
      <c r="N1143" s="88" t="e">
        <f t="shared" si="85"/>
        <v>#DIV/0!</v>
      </c>
    </row>
    <row r="1144" spans="6:14" x14ac:dyDescent="0.25">
      <c r="F1144" s="1"/>
      <c r="G1144" s="114">
        <f t="shared" si="86"/>
        <v>0</v>
      </c>
      <c r="H1144" s="37">
        <f t="shared" si="87"/>
        <v>0</v>
      </c>
      <c r="I1144">
        <f t="shared" si="89"/>
        <v>0</v>
      </c>
      <c r="J114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4" s="91" t="e">
        <f t="shared" si="88"/>
        <v>#DIV/0!</v>
      </c>
      <c r="N1144" s="88" t="e">
        <f t="shared" si="85"/>
        <v>#DIV/0!</v>
      </c>
    </row>
    <row r="1145" spans="6:14" x14ac:dyDescent="0.25">
      <c r="F1145" s="1"/>
      <c r="G1145" s="114">
        <f t="shared" si="86"/>
        <v>0</v>
      </c>
      <c r="H1145" s="37">
        <f t="shared" si="87"/>
        <v>0</v>
      </c>
      <c r="I1145">
        <f t="shared" si="89"/>
        <v>0</v>
      </c>
      <c r="J114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5" s="91" t="e">
        <f t="shared" si="88"/>
        <v>#DIV/0!</v>
      </c>
      <c r="N1145" s="88" t="e">
        <f t="shared" si="85"/>
        <v>#DIV/0!</v>
      </c>
    </row>
    <row r="1146" spans="6:14" x14ac:dyDescent="0.25">
      <c r="F1146" s="1"/>
      <c r="G1146" s="114">
        <f t="shared" si="86"/>
        <v>0</v>
      </c>
      <c r="H1146" s="37">
        <f t="shared" si="87"/>
        <v>0</v>
      </c>
      <c r="I1146">
        <f t="shared" si="89"/>
        <v>0</v>
      </c>
      <c r="J114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6" s="91" t="e">
        <f t="shared" si="88"/>
        <v>#DIV/0!</v>
      </c>
      <c r="N1146" s="88" t="e">
        <f t="shared" si="85"/>
        <v>#DIV/0!</v>
      </c>
    </row>
    <row r="1147" spans="6:14" x14ac:dyDescent="0.25">
      <c r="F1147" s="1"/>
      <c r="G1147" s="114">
        <f t="shared" si="86"/>
        <v>0</v>
      </c>
      <c r="H1147" s="37">
        <f t="shared" si="87"/>
        <v>0</v>
      </c>
      <c r="I1147">
        <f t="shared" si="89"/>
        <v>0</v>
      </c>
      <c r="J114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7" s="91" t="e">
        <f t="shared" si="88"/>
        <v>#DIV/0!</v>
      </c>
      <c r="N1147" s="88" t="e">
        <f t="shared" si="85"/>
        <v>#DIV/0!</v>
      </c>
    </row>
    <row r="1148" spans="6:14" x14ac:dyDescent="0.25">
      <c r="F1148" s="1"/>
      <c r="G1148" s="114">
        <f t="shared" si="86"/>
        <v>0</v>
      </c>
      <c r="H1148" s="37">
        <f t="shared" si="87"/>
        <v>0</v>
      </c>
      <c r="I1148">
        <f t="shared" si="89"/>
        <v>0</v>
      </c>
      <c r="J114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8" s="91" t="e">
        <f t="shared" si="88"/>
        <v>#DIV/0!</v>
      </c>
      <c r="N1148" s="88" t="e">
        <f t="shared" si="85"/>
        <v>#DIV/0!</v>
      </c>
    </row>
    <row r="1149" spans="6:14" x14ac:dyDescent="0.25">
      <c r="F1149" s="1"/>
      <c r="G1149" s="114">
        <f t="shared" si="86"/>
        <v>0</v>
      </c>
      <c r="H1149" s="37">
        <f t="shared" si="87"/>
        <v>0</v>
      </c>
      <c r="I1149">
        <f t="shared" si="89"/>
        <v>0</v>
      </c>
      <c r="J114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49" s="91" t="e">
        <f t="shared" si="88"/>
        <v>#DIV/0!</v>
      </c>
      <c r="N1149" s="88" t="e">
        <f t="shared" si="85"/>
        <v>#DIV/0!</v>
      </c>
    </row>
    <row r="1150" spans="6:14" x14ac:dyDescent="0.25">
      <c r="F1150" s="1"/>
      <c r="G1150" s="114">
        <f t="shared" si="86"/>
        <v>0</v>
      </c>
      <c r="H1150" s="37">
        <f t="shared" si="87"/>
        <v>0</v>
      </c>
      <c r="I1150">
        <f t="shared" si="89"/>
        <v>0</v>
      </c>
      <c r="J115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0" s="91" t="e">
        <f t="shared" si="88"/>
        <v>#DIV/0!</v>
      </c>
      <c r="N1150" s="88" t="e">
        <f t="shared" si="85"/>
        <v>#DIV/0!</v>
      </c>
    </row>
    <row r="1151" spans="6:14" x14ac:dyDescent="0.25">
      <c r="F1151" s="1"/>
      <c r="G1151" s="114">
        <f t="shared" si="86"/>
        <v>0</v>
      </c>
      <c r="H1151" s="37">
        <f t="shared" si="87"/>
        <v>0</v>
      </c>
      <c r="I1151">
        <f t="shared" si="89"/>
        <v>0</v>
      </c>
      <c r="J115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1" s="91" t="e">
        <f t="shared" si="88"/>
        <v>#DIV/0!</v>
      </c>
      <c r="N1151" s="88" t="e">
        <f t="shared" si="85"/>
        <v>#DIV/0!</v>
      </c>
    </row>
    <row r="1152" spans="6:14" x14ac:dyDescent="0.25">
      <c r="F1152" s="1"/>
      <c r="G1152" s="114">
        <f t="shared" si="86"/>
        <v>0</v>
      </c>
      <c r="H1152" s="37">
        <f t="shared" si="87"/>
        <v>0</v>
      </c>
      <c r="I1152">
        <f t="shared" si="89"/>
        <v>0</v>
      </c>
      <c r="J115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2" s="91" t="e">
        <f t="shared" si="88"/>
        <v>#DIV/0!</v>
      </c>
      <c r="N1152" s="88" t="e">
        <f t="shared" si="85"/>
        <v>#DIV/0!</v>
      </c>
    </row>
    <row r="1153" spans="6:14" x14ac:dyDescent="0.25">
      <c r="F1153" s="1"/>
      <c r="G1153" s="114">
        <f t="shared" si="86"/>
        <v>0</v>
      </c>
      <c r="H1153" s="37">
        <f t="shared" si="87"/>
        <v>0</v>
      </c>
      <c r="I1153">
        <f t="shared" si="89"/>
        <v>0</v>
      </c>
      <c r="J115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3" s="91" t="e">
        <f t="shared" si="88"/>
        <v>#DIV/0!</v>
      </c>
      <c r="N1153" s="88" t="e">
        <f t="shared" ref="N1153:N1216" si="90">+((F1153+I1153)/J1153)*100</f>
        <v>#DIV/0!</v>
      </c>
    </row>
    <row r="1154" spans="6:14" x14ac:dyDescent="0.25">
      <c r="F1154" s="1"/>
      <c r="G1154" s="114">
        <f t="shared" ref="G1154:G1217" si="91">+F1154+I1154</f>
        <v>0</v>
      </c>
      <c r="H1154" s="37">
        <f t="shared" ref="H1154:H1217" si="92">+(F1154*0.05)+F1154</f>
        <v>0</v>
      </c>
      <c r="I1154">
        <f t="shared" si="89"/>
        <v>0</v>
      </c>
      <c r="J115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4" s="91" t="e">
        <f t="shared" si="88"/>
        <v>#DIV/0!</v>
      </c>
      <c r="N1154" s="88" t="e">
        <f t="shared" si="90"/>
        <v>#DIV/0!</v>
      </c>
    </row>
    <row r="1155" spans="6:14" x14ac:dyDescent="0.25">
      <c r="F1155" s="1"/>
      <c r="G1155" s="114">
        <f t="shared" si="91"/>
        <v>0</v>
      </c>
      <c r="H1155" s="37">
        <f t="shared" si="92"/>
        <v>0</v>
      </c>
      <c r="I1155">
        <f t="shared" si="89"/>
        <v>0</v>
      </c>
      <c r="J115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5" s="91" t="e">
        <f t="shared" ref="M1155:M1218" si="93">+((H1155+I1155)/J1155)*100</f>
        <v>#DIV/0!</v>
      </c>
      <c r="N1155" s="88" t="e">
        <f t="shared" si="90"/>
        <v>#DIV/0!</v>
      </c>
    </row>
    <row r="1156" spans="6:14" x14ac:dyDescent="0.25">
      <c r="F1156" s="1"/>
      <c r="G1156" s="114">
        <f t="shared" si="91"/>
        <v>0</v>
      </c>
      <c r="H1156" s="37">
        <f t="shared" si="92"/>
        <v>0</v>
      </c>
      <c r="I1156">
        <f t="shared" si="89"/>
        <v>0</v>
      </c>
      <c r="J115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6" s="91" t="e">
        <f t="shared" si="93"/>
        <v>#DIV/0!</v>
      </c>
      <c r="N1156" s="88" t="e">
        <f t="shared" si="90"/>
        <v>#DIV/0!</v>
      </c>
    </row>
    <row r="1157" spans="6:14" x14ac:dyDescent="0.25">
      <c r="F1157" s="1"/>
      <c r="G1157" s="114">
        <f t="shared" si="91"/>
        <v>0</v>
      </c>
      <c r="H1157" s="37">
        <f t="shared" si="92"/>
        <v>0</v>
      </c>
      <c r="I1157">
        <f t="shared" si="89"/>
        <v>0</v>
      </c>
      <c r="J115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7" s="91" t="e">
        <f t="shared" si="93"/>
        <v>#DIV/0!</v>
      </c>
      <c r="N1157" s="88" t="e">
        <f t="shared" si="90"/>
        <v>#DIV/0!</v>
      </c>
    </row>
    <row r="1158" spans="6:14" x14ac:dyDescent="0.25">
      <c r="F1158" s="1"/>
      <c r="G1158" s="114">
        <f t="shared" si="91"/>
        <v>0</v>
      </c>
      <c r="H1158" s="37">
        <f t="shared" si="92"/>
        <v>0</v>
      </c>
      <c r="I1158">
        <f t="shared" si="89"/>
        <v>0</v>
      </c>
      <c r="J115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8" s="91" t="e">
        <f t="shared" si="93"/>
        <v>#DIV/0!</v>
      </c>
      <c r="N1158" s="88" t="e">
        <f t="shared" si="90"/>
        <v>#DIV/0!</v>
      </c>
    </row>
    <row r="1159" spans="6:14" x14ac:dyDescent="0.25">
      <c r="F1159" s="1"/>
      <c r="G1159" s="114">
        <f t="shared" si="91"/>
        <v>0</v>
      </c>
      <c r="H1159" s="37">
        <f t="shared" si="92"/>
        <v>0</v>
      </c>
      <c r="I1159">
        <f t="shared" si="89"/>
        <v>0</v>
      </c>
      <c r="J115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59" s="91" t="e">
        <f t="shared" si="93"/>
        <v>#DIV/0!</v>
      </c>
      <c r="N1159" s="88" t="e">
        <f t="shared" si="90"/>
        <v>#DIV/0!</v>
      </c>
    </row>
    <row r="1160" spans="6:14" x14ac:dyDescent="0.25">
      <c r="F1160" s="1"/>
      <c r="G1160" s="114">
        <f t="shared" si="91"/>
        <v>0</v>
      </c>
      <c r="H1160" s="37">
        <f t="shared" si="92"/>
        <v>0</v>
      </c>
      <c r="I1160">
        <f t="shared" si="89"/>
        <v>0</v>
      </c>
      <c r="J116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0" s="91" t="e">
        <f t="shared" si="93"/>
        <v>#DIV/0!</v>
      </c>
      <c r="N1160" s="88" t="e">
        <f t="shared" si="90"/>
        <v>#DIV/0!</v>
      </c>
    </row>
    <row r="1161" spans="6:14" x14ac:dyDescent="0.25">
      <c r="F1161" s="1"/>
      <c r="G1161" s="114">
        <f t="shared" si="91"/>
        <v>0</v>
      </c>
      <c r="H1161" s="37">
        <f t="shared" si="92"/>
        <v>0</v>
      </c>
      <c r="I1161">
        <f t="shared" si="89"/>
        <v>0</v>
      </c>
      <c r="J116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1" s="91" t="e">
        <f t="shared" si="93"/>
        <v>#DIV/0!</v>
      </c>
      <c r="N1161" s="88" t="e">
        <f t="shared" si="90"/>
        <v>#DIV/0!</v>
      </c>
    </row>
    <row r="1162" spans="6:14" x14ac:dyDescent="0.25">
      <c r="F1162" s="1"/>
      <c r="G1162" s="114">
        <f t="shared" si="91"/>
        <v>0</v>
      </c>
      <c r="H1162" s="37">
        <f t="shared" si="92"/>
        <v>0</v>
      </c>
      <c r="I1162">
        <f t="shared" si="89"/>
        <v>0</v>
      </c>
      <c r="J116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2" s="91" t="e">
        <f t="shared" si="93"/>
        <v>#DIV/0!</v>
      </c>
      <c r="N1162" s="88" t="e">
        <f t="shared" si="90"/>
        <v>#DIV/0!</v>
      </c>
    </row>
    <row r="1163" spans="6:14" x14ac:dyDescent="0.25">
      <c r="F1163" s="1"/>
      <c r="G1163" s="114">
        <f t="shared" si="91"/>
        <v>0</v>
      </c>
      <c r="H1163" s="37">
        <f t="shared" si="92"/>
        <v>0</v>
      </c>
      <c r="I1163">
        <f t="shared" si="89"/>
        <v>0</v>
      </c>
      <c r="J116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3" s="91" t="e">
        <f t="shared" si="93"/>
        <v>#DIV/0!</v>
      </c>
      <c r="N1163" s="88" t="e">
        <f t="shared" si="90"/>
        <v>#DIV/0!</v>
      </c>
    </row>
    <row r="1164" spans="6:14" x14ac:dyDescent="0.25">
      <c r="F1164" s="1"/>
      <c r="G1164" s="114">
        <f t="shared" si="91"/>
        <v>0</v>
      </c>
      <c r="H1164" s="37">
        <f t="shared" si="92"/>
        <v>0</v>
      </c>
      <c r="I1164">
        <f t="shared" si="89"/>
        <v>0</v>
      </c>
      <c r="J116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4" s="91" t="e">
        <f t="shared" si="93"/>
        <v>#DIV/0!</v>
      </c>
      <c r="N1164" s="88" t="e">
        <f t="shared" si="90"/>
        <v>#DIV/0!</v>
      </c>
    </row>
    <row r="1165" spans="6:14" x14ac:dyDescent="0.25">
      <c r="F1165" s="1"/>
      <c r="G1165" s="114">
        <f t="shared" si="91"/>
        <v>0</v>
      </c>
      <c r="H1165" s="37">
        <f t="shared" si="92"/>
        <v>0</v>
      </c>
      <c r="I1165">
        <f t="shared" si="89"/>
        <v>0</v>
      </c>
      <c r="J116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5" s="91" t="e">
        <f t="shared" si="93"/>
        <v>#DIV/0!</v>
      </c>
      <c r="N1165" s="88" t="e">
        <f t="shared" si="90"/>
        <v>#DIV/0!</v>
      </c>
    </row>
    <row r="1166" spans="6:14" x14ac:dyDescent="0.25">
      <c r="F1166" s="1"/>
      <c r="G1166" s="114">
        <f t="shared" si="91"/>
        <v>0</v>
      </c>
      <c r="H1166" s="37">
        <f t="shared" si="92"/>
        <v>0</v>
      </c>
      <c r="I1166">
        <f t="shared" ref="I1166:I1229" si="94">+L1166-K1166</f>
        <v>0</v>
      </c>
      <c r="J116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6" s="91" t="e">
        <f t="shared" si="93"/>
        <v>#DIV/0!</v>
      </c>
      <c r="N1166" s="88" t="e">
        <f t="shared" si="90"/>
        <v>#DIV/0!</v>
      </c>
    </row>
    <row r="1167" spans="6:14" x14ac:dyDescent="0.25">
      <c r="F1167" s="1"/>
      <c r="G1167" s="114">
        <f t="shared" si="91"/>
        <v>0</v>
      </c>
      <c r="H1167" s="37">
        <f t="shared" si="92"/>
        <v>0</v>
      </c>
      <c r="I1167">
        <f t="shared" si="94"/>
        <v>0</v>
      </c>
      <c r="J116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7" s="91" t="e">
        <f t="shared" si="93"/>
        <v>#DIV/0!</v>
      </c>
      <c r="N1167" s="88" t="e">
        <f t="shared" si="90"/>
        <v>#DIV/0!</v>
      </c>
    </row>
    <row r="1168" spans="6:14" x14ac:dyDescent="0.25">
      <c r="F1168" s="1"/>
      <c r="G1168" s="114">
        <f t="shared" si="91"/>
        <v>0</v>
      </c>
      <c r="H1168" s="37">
        <f t="shared" si="92"/>
        <v>0</v>
      </c>
      <c r="I1168">
        <f t="shared" si="94"/>
        <v>0</v>
      </c>
      <c r="J116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8" s="91" t="e">
        <f t="shared" si="93"/>
        <v>#DIV/0!</v>
      </c>
      <c r="N1168" s="88" t="e">
        <f t="shared" si="90"/>
        <v>#DIV/0!</v>
      </c>
    </row>
    <row r="1169" spans="6:14" x14ac:dyDescent="0.25">
      <c r="F1169" s="1"/>
      <c r="G1169" s="114">
        <f t="shared" si="91"/>
        <v>0</v>
      </c>
      <c r="H1169" s="37">
        <f t="shared" si="92"/>
        <v>0</v>
      </c>
      <c r="I1169">
        <f t="shared" si="94"/>
        <v>0</v>
      </c>
      <c r="J116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69" s="91" t="e">
        <f t="shared" si="93"/>
        <v>#DIV/0!</v>
      </c>
      <c r="N1169" s="88" t="e">
        <f t="shared" si="90"/>
        <v>#DIV/0!</v>
      </c>
    </row>
    <row r="1170" spans="6:14" x14ac:dyDescent="0.25">
      <c r="F1170" s="1"/>
      <c r="G1170" s="114">
        <f t="shared" si="91"/>
        <v>0</v>
      </c>
      <c r="H1170" s="37">
        <f t="shared" si="92"/>
        <v>0</v>
      </c>
      <c r="I1170">
        <f t="shared" si="94"/>
        <v>0</v>
      </c>
      <c r="J117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0" s="91" t="e">
        <f t="shared" si="93"/>
        <v>#DIV/0!</v>
      </c>
      <c r="N1170" s="88" t="e">
        <f t="shared" si="90"/>
        <v>#DIV/0!</v>
      </c>
    </row>
    <row r="1171" spans="6:14" x14ac:dyDescent="0.25">
      <c r="F1171" s="1"/>
      <c r="G1171" s="114">
        <f t="shared" si="91"/>
        <v>0</v>
      </c>
      <c r="H1171" s="37">
        <f t="shared" si="92"/>
        <v>0</v>
      </c>
      <c r="I1171">
        <f t="shared" si="94"/>
        <v>0</v>
      </c>
      <c r="J117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1" s="91" t="e">
        <f t="shared" si="93"/>
        <v>#DIV/0!</v>
      </c>
      <c r="N1171" s="88" t="e">
        <f t="shared" si="90"/>
        <v>#DIV/0!</v>
      </c>
    </row>
    <row r="1172" spans="6:14" x14ac:dyDescent="0.25">
      <c r="F1172" s="1"/>
      <c r="G1172" s="114">
        <f t="shared" si="91"/>
        <v>0</v>
      </c>
      <c r="H1172" s="37">
        <f t="shared" si="92"/>
        <v>0</v>
      </c>
      <c r="I1172">
        <f t="shared" si="94"/>
        <v>0</v>
      </c>
      <c r="J117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2" s="91" t="e">
        <f t="shared" si="93"/>
        <v>#DIV/0!</v>
      </c>
      <c r="N1172" s="88" t="e">
        <f t="shared" si="90"/>
        <v>#DIV/0!</v>
      </c>
    </row>
    <row r="1173" spans="6:14" x14ac:dyDescent="0.25">
      <c r="F1173" s="1"/>
      <c r="G1173" s="114">
        <f t="shared" si="91"/>
        <v>0</v>
      </c>
      <c r="H1173" s="37">
        <f t="shared" si="92"/>
        <v>0</v>
      </c>
      <c r="I1173">
        <f t="shared" si="94"/>
        <v>0</v>
      </c>
      <c r="J117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3" s="91" t="e">
        <f t="shared" si="93"/>
        <v>#DIV/0!</v>
      </c>
      <c r="N1173" s="88" t="e">
        <f t="shared" si="90"/>
        <v>#DIV/0!</v>
      </c>
    </row>
    <row r="1174" spans="6:14" x14ac:dyDescent="0.25">
      <c r="F1174" s="1"/>
      <c r="G1174" s="114">
        <f t="shared" si="91"/>
        <v>0</v>
      </c>
      <c r="H1174" s="37">
        <f t="shared" si="92"/>
        <v>0</v>
      </c>
      <c r="I1174">
        <f t="shared" si="94"/>
        <v>0</v>
      </c>
      <c r="J117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4" s="91" t="e">
        <f t="shared" si="93"/>
        <v>#DIV/0!</v>
      </c>
      <c r="N1174" s="88" t="e">
        <f t="shared" si="90"/>
        <v>#DIV/0!</v>
      </c>
    </row>
    <row r="1175" spans="6:14" x14ac:dyDescent="0.25">
      <c r="F1175" s="1"/>
      <c r="G1175" s="114">
        <f t="shared" si="91"/>
        <v>0</v>
      </c>
      <c r="H1175" s="37">
        <f t="shared" si="92"/>
        <v>0</v>
      </c>
      <c r="I1175">
        <f t="shared" si="94"/>
        <v>0</v>
      </c>
      <c r="J117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5" s="91" t="e">
        <f t="shared" si="93"/>
        <v>#DIV/0!</v>
      </c>
      <c r="N1175" s="88" t="e">
        <f t="shared" si="90"/>
        <v>#DIV/0!</v>
      </c>
    </row>
    <row r="1176" spans="6:14" x14ac:dyDescent="0.25">
      <c r="F1176" s="1"/>
      <c r="G1176" s="114">
        <f t="shared" si="91"/>
        <v>0</v>
      </c>
      <c r="H1176" s="37">
        <f t="shared" si="92"/>
        <v>0</v>
      </c>
      <c r="I1176">
        <f t="shared" si="94"/>
        <v>0</v>
      </c>
      <c r="J117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6" s="91" t="e">
        <f t="shared" si="93"/>
        <v>#DIV/0!</v>
      </c>
      <c r="N1176" s="88" t="e">
        <f t="shared" si="90"/>
        <v>#DIV/0!</v>
      </c>
    </row>
    <row r="1177" spans="6:14" x14ac:dyDescent="0.25">
      <c r="F1177" s="1"/>
      <c r="G1177" s="114">
        <f t="shared" si="91"/>
        <v>0</v>
      </c>
      <c r="H1177" s="37">
        <f t="shared" si="92"/>
        <v>0</v>
      </c>
      <c r="I1177">
        <f t="shared" si="94"/>
        <v>0</v>
      </c>
      <c r="J117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7" s="91" t="e">
        <f t="shared" si="93"/>
        <v>#DIV/0!</v>
      </c>
      <c r="N1177" s="88" t="e">
        <f t="shared" si="90"/>
        <v>#DIV/0!</v>
      </c>
    </row>
    <row r="1178" spans="6:14" x14ac:dyDescent="0.25">
      <c r="F1178" s="1"/>
      <c r="G1178" s="114">
        <f t="shared" si="91"/>
        <v>0</v>
      </c>
      <c r="H1178" s="37">
        <f t="shared" si="92"/>
        <v>0</v>
      </c>
      <c r="I1178">
        <f t="shared" si="94"/>
        <v>0</v>
      </c>
      <c r="J117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8" s="91" t="e">
        <f t="shared" si="93"/>
        <v>#DIV/0!</v>
      </c>
      <c r="N1178" s="88" t="e">
        <f t="shared" si="90"/>
        <v>#DIV/0!</v>
      </c>
    </row>
    <row r="1179" spans="6:14" x14ac:dyDescent="0.25">
      <c r="F1179" s="1"/>
      <c r="G1179" s="114">
        <f t="shared" si="91"/>
        <v>0</v>
      </c>
      <c r="H1179" s="37">
        <f t="shared" si="92"/>
        <v>0</v>
      </c>
      <c r="I1179">
        <f t="shared" si="94"/>
        <v>0</v>
      </c>
      <c r="J117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79" s="91" t="e">
        <f t="shared" si="93"/>
        <v>#DIV/0!</v>
      </c>
      <c r="N1179" s="88" t="e">
        <f t="shared" si="90"/>
        <v>#DIV/0!</v>
      </c>
    </row>
    <row r="1180" spans="6:14" x14ac:dyDescent="0.25">
      <c r="F1180" s="1"/>
      <c r="G1180" s="114">
        <f t="shared" si="91"/>
        <v>0</v>
      </c>
      <c r="H1180" s="37">
        <f t="shared" si="92"/>
        <v>0</v>
      </c>
      <c r="I1180">
        <f t="shared" si="94"/>
        <v>0</v>
      </c>
      <c r="J118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0" s="91" t="e">
        <f t="shared" si="93"/>
        <v>#DIV/0!</v>
      </c>
      <c r="N1180" s="88" t="e">
        <f t="shared" si="90"/>
        <v>#DIV/0!</v>
      </c>
    </row>
    <row r="1181" spans="6:14" x14ac:dyDescent="0.25">
      <c r="F1181" s="1"/>
      <c r="G1181" s="114">
        <f t="shared" si="91"/>
        <v>0</v>
      </c>
      <c r="H1181" s="37">
        <f t="shared" si="92"/>
        <v>0</v>
      </c>
      <c r="I1181">
        <f t="shared" si="94"/>
        <v>0</v>
      </c>
      <c r="J118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1" s="91" t="e">
        <f t="shared" si="93"/>
        <v>#DIV/0!</v>
      </c>
      <c r="N1181" s="88" t="e">
        <f t="shared" si="90"/>
        <v>#DIV/0!</v>
      </c>
    </row>
    <row r="1182" spans="6:14" x14ac:dyDescent="0.25">
      <c r="F1182" s="1"/>
      <c r="G1182" s="114">
        <f t="shared" si="91"/>
        <v>0</v>
      </c>
      <c r="H1182" s="37">
        <f t="shared" si="92"/>
        <v>0</v>
      </c>
      <c r="I1182">
        <f t="shared" si="94"/>
        <v>0</v>
      </c>
      <c r="J118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2" s="91" t="e">
        <f t="shared" si="93"/>
        <v>#DIV/0!</v>
      </c>
      <c r="N1182" s="88" t="e">
        <f t="shared" si="90"/>
        <v>#DIV/0!</v>
      </c>
    </row>
    <row r="1183" spans="6:14" x14ac:dyDescent="0.25">
      <c r="F1183" s="1"/>
      <c r="G1183" s="114">
        <f t="shared" si="91"/>
        <v>0</v>
      </c>
      <c r="H1183" s="37">
        <f t="shared" si="92"/>
        <v>0</v>
      </c>
      <c r="I1183">
        <f t="shared" si="94"/>
        <v>0</v>
      </c>
      <c r="J118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3" s="91" t="e">
        <f t="shared" si="93"/>
        <v>#DIV/0!</v>
      </c>
      <c r="N1183" s="88" t="e">
        <f t="shared" si="90"/>
        <v>#DIV/0!</v>
      </c>
    </row>
    <row r="1184" spans="6:14" x14ac:dyDescent="0.25">
      <c r="F1184" s="1"/>
      <c r="G1184" s="114">
        <f t="shared" si="91"/>
        <v>0</v>
      </c>
      <c r="H1184" s="37">
        <f t="shared" si="92"/>
        <v>0</v>
      </c>
      <c r="I1184">
        <f t="shared" si="94"/>
        <v>0</v>
      </c>
      <c r="J118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4" s="91" t="e">
        <f t="shared" si="93"/>
        <v>#DIV/0!</v>
      </c>
      <c r="N1184" s="88" t="e">
        <f t="shared" si="90"/>
        <v>#DIV/0!</v>
      </c>
    </row>
    <row r="1185" spans="6:14" x14ac:dyDescent="0.25">
      <c r="F1185" s="1"/>
      <c r="G1185" s="114">
        <f t="shared" si="91"/>
        <v>0</v>
      </c>
      <c r="H1185" s="37">
        <f t="shared" si="92"/>
        <v>0</v>
      </c>
      <c r="I1185">
        <f t="shared" si="94"/>
        <v>0</v>
      </c>
      <c r="J118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5" s="91" t="e">
        <f t="shared" si="93"/>
        <v>#DIV/0!</v>
      </c>
      <c r="N1185" s="88" t="e">
        <f t="shared" si="90"/>
        <v>#DIV/0!</v>
      </c>
    </row>
    <row r="1186" spans="6:14" x14ac:dyDescent="0.25">
      <c r="F1186" s="1"/>
      <c r="G1186" s="114">
        <f t="shared" si="91"/>
        <v>0</v>
      </c>
      <c r="H1186" s="37">
        <f t="shared" si="92"/>
        <v>0</v>
      </c>
      <c r="I1186">
        <f t="shared" si="94"/>
        <v>0</v>
      </c>
      <c r="J118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6" s="91" t="e">
        <f t="shared" si="93"/>
        <v>#DIV/0!</v>
      </c>
      <c r="N1186" s="88" t="e">
        <f t="shared" si="90"/>
        <v>#DIV/0!</v>
      </c>
    </row>
    <row r="1187" spans="6:14" x14ac:dyDescent="0.25">
      <c r="F1187" s="1"/>
      <c r="G1187" s="114">
        <f t="shared" si="91"/>
        <v>0</v>
      </c>
      <c r="H1187" s="37">
        <f t="shared" si="92"/>
        <v>0</v>
      </c>
      <c r="I1187">
        <f t="shared" si="94"/>
        <v>0</v>
      </c>
      <c r="J118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7" s="91" t="e">
        <f t="shared" si="93"/>
        <v>#DIV/0!</v>
      </c>
      <c r="N1187" s="88" t="e">
        <f t="shared" si="90"/>
        <v>#DIV/0!</v>
      </c>
    </row>
    <row r="1188" spans="6:14" x14ac:dyDescent="0.25">
      <c r="F1188" s="1"/>
      <c r="G1188" s="114">
        <f t="shared" si="91"/>
        <v>0</v>
      </c>
      <c r="H1188" s="37">
        <f t="shared" si="92"/>
        <v>0</v>
      </c>
      <c r="I1188">
        <f t="shared" si="94"/>
        <v>0</v>
      </c>
      <c r="J118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8" s="91" t="e">
        <f t="shared" si="93"/>
        <v>#DIV/0!</v>
      </c>
      <c r="N1188" s="88" t="e">
        <f t="shared" si="90"/>
        <v>#DIV/0!</v>
      </c>
    </row>
    <row r="1189" spans="6:14" x14ac:dyDescent="0.25">
      <c r="F1189" s="1"/>
      <c r="G1189" s="114">
        <f t="shared" si="91"/>
        <v>0</v>
      </c>
      <c r="H1189" s="37">
        <f t="shared" si="92"/>
        <v>0</v>
      </c>
      <c r="I1189">
        <f t="shared" si="94"/>
        <v>0</v>
      </c>
      <c r="J118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89" s="91" t="e">
        <f t="shared" si="93"/>
        <v>#DIV/0!</v>
      </c>
      <c r="N1189" s="88" t="e">
        <f t="shared" si="90"/>
        <v>#DIV/0!</v>
      </c>
    </row>
    <row r="1190" spans="6:14" x14ac:dyDescent="0.25">
      <c r="F1190" s="1"/>
      <c r="G1190" s="114">
        <f t="shared" si="91"/>
        <v>0</v>
      </c>
      <c r="H1190" s="37">
        <f t="shared" si="92"/>
        <v>0</v>
      </c>
      <c r="I1190">
        <f t="shared" si="94"/>
        <v>0</v>
      </c>
      <c r="J1190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0" s="91" t="e">
        <f t="shared" si="93"/>
        <v>#DIV/0!</v>
      </c>
      <c r="N1190" s="88" t="e">
        <f t="shared" si="90"/>
        <v>#DIV/0!</v>
      </c>
    </row>
    <row r="1191" spans="6:14" x14ac:dyDescent="0.25">
      <c r="F1191" s="1"/>
      <c r="G1191" s="114">
        <f t="shared" si="91"/>
        <v>0</v>
      </c>
      <c r="H1191" s="37">
        <f t="shared" si="92"/>
        <v>0</v>
      </c>
      <c r="I1191">
        <f t="shared" si="94"/>
        <v>0</v>
      </c>
      <c r="J1191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1" s="91" t="e">
        <f t="shared" si="93"/>
        <v>#DIV/0!</v>
      </c>
      <c r="N1191" s="88" t="e">
        <f t="shared" si="90"/>
        <v>#DIV/0!</v>
      </c>
    </row>
    <row r="1192" spans="6:14" x14ac:dyDescent="0.25">
      <c r="F1192" s="1"/>
      <c r="G1192" s="114">
        <f t="shared" si="91"/>
        <v>0</v>
      </c>
      <c r="H1192" s="37">
        <f t="shared" si="92"/>
        <v>0</v>
      </c>
      <c r="I1192">
        <f t="shared" si="94"/>
        <v>0</v>
      </c>
      <c r="J1192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2" s="91" t="e">
        <f t="shared" si="93"/>
        <v>#DIV/0!</v>
      </c>
      <c r="N1192" s="88" t="e">
        <f t="shared" si="90"/>
        <v>#DIV/0!</v>
      </c>
    </row>
    <row r="1193" spans="6:14" x14ac:dyDescent="0.25">
      <c r="F1193" s="1"/>
      <c r="G1193" s="114">
        <f t="shared" si="91"/>
        <v>0</v>
      </c>
      <c r="H1193" s="37">
        <f t="shared" si="92"/>
        <v>0</v>
      </c>
      <c r="I1193">
        <f t="shared" si="94"/>
        <v>0</v>
      </c>
      <c r="J1193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3" s="91" t="e">
        <f t="shared" si="93"/>
        <v>#DIV/0!</v>
      </c>
      <c r="N1193" s="88" t="e">
        <f t="shared" si="90"/>
        <v>#DIV/0!</v>
      </c>
    </row>
    <row r="1194" spans="6:14" x14ac:dyDescent="0.25">
      <c r="F1194" s="1"/>
      <c r="G1194" s="114">
        <f t="shared" si="91"/>
        <v>0</v>
      </c>
      <c r="H1194" s="37">
        <f t="shared" si="92"/>
        <v>0</v>
      </c>
      <c r="I1194">
        <f t="shared" si="94"/>
        <v>0</v>
      </c>
      <c r="J1194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4" s="91" t="e">
        <f t="shared" si="93"/>
        <v>#DIV/0!</v>
      </c>
      <c r="N1194" s="88" t="e">
        <f t="shared" si="90"/>
        <v>#DIV/0!</v>
      </c>
    </row>
    <row r="1195" spans="6:14" x14ac:dyDescent="0.25">
      <c r="F1195" s="1"/>
      <c r="G1195" s="114">
        <f t="shared" si="91"/>
        <v>0</v>
      </c>
      <c r="H1195" s="37">
        <f t="shared" si="92"/>
        <v>0</v>
      </c>
      <c r="I1195">
        <f t="shared" si="94"/>
        <v>0</v>
      </c>
      <c r="J1195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5" s="91" t="e">
        <f t="shared" si="93"/>
        <v>#DIV/0!</v>
      </c>
      <c r="N1195" s="88" t="e">
        <f t="shared" si="90"/>
        <v>#DIV/0!</v>
      </c>
    </row>
    <row r="1196" spans="6:14" x14ac:dyDescent="0.25">
      <c r="F1196" s="1"/>
      <c r="G1196" s="114">
        <f t="shared" si="91"/>
        <v>0</v>
      </c>
      <c r="H1196" s="37">
        <f t="shared" si="92"/>
        <v>0</v>
      </c>
      <c r="I1196">
        <f t="shared" si="94"/>
        <v>0</v>
      </c>
      <c r="J1196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6" s="91" t="e">
        <f t="shared" si="93"/>
        <v>#DIV/0!</v>
      </c>
      <c r="N1196" s="88" t="e">
        <f t="shared" si="90"/>
        <v>#DIV/0!</v>
      </c>
    </row>
    <row r="1197" spans="6:14" x14ac:dyDescent="0.25">
      <c r="F1197" s="1"/>
      <c r="G1197" s="114">
        <f t="shared" si="91"/>
        <v>0</v>
      </c>
      <c r="H1197" s="37">
        <f t="shared" si="92"/>
        <v>0</v>
      </c>
      <c r="I1197">
        <f t="shared" si="94"/>
        <v>0</v>
      </c>
      <c r="J1197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7" s="91" t="e">
        <f t="shared" si="93"/>
        <v>#DIV/0!</v>
      </c>
      <c r="N1197" s="88" t="e">
        <f t="shared" si="90"/>
        <v>#DIV/0!</v>
      </c>
    </row>
    <row r="1198" spans="6:14" x14ac:dyDescent="0.25">
      <c r="F1198" s="1"/>
      <c r="G1198" s="114">
        <f t="shared" si="91"/>
        <v>0</v>
      </c>
      <c r="H1198" s="37">
        <f t="shared" si="92"/>
        <v>0</v>
      </c>
      <c r="I1198">
        <f t="shared" si="94"/>
        <v>0</v>
      </c>
      <c r="J1198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8" s="91" t="e">
        <f t="shared" si="93"/>
        <v>#DIV/0!</v>
      </c>
      <c r="N1198" s="88" t="e">
        <f t="shared" si="90"/>
        <v>#DIV/0!</v>
      </c>
    </row>
    <row r="1199" spans="6:14" x14ac:dyDescent="0.25">
      <c r="F1199" s="1"/>
      <c r="G1199" s="114">
        <f t="shared" si="91"/>
        <v>0</v>
      </c>
      <c r="H1199" s="37">
        <f t="shared" si="92"/>
        <v>0</v>
      </c>
      <c r="I1199">
        <f t="shared" si="94"/>
        <v>0</v>
      </c>
      <c r="J1199" s="1">
        <f>+SUMIFS('VOLCADO '!H:H,'VOLCADO '!C:C,'Produccion por productor'!A:A,'VOLCADO '!B:B,'Produccion por productor'!B:B,'VOLCADO '!I:I,'Produccion por productor'!C:C,'VOLCADO '!J:J,'Produccion por productor'!E:E)*370</f>
        <v>0</v>
      </c>
      <c r="M1199" s="91" t="e">
        <f t="shared" si="93"/>
        <v>#DIV/0!</v>
      </c>
      <c r="N1199" s="88" t="e">
        <f t="shared" si="90"/>
        <v>#DIV/0!</v>
      </c>
    </row>
    <row r="1200" spans="6:14" x14ac:dyDescent="0.25">
      <c r="F1200" s="1"/>
      <c r="G1200" s="114">
        <f t="shared" si="91"/>
        <v>0</v>
      </c>
      <c r="H1200" s="37">
        <f t="shared" si="92"/>
        <v>0</v>
      </c>
      <c r="I1200">
        <f t="shared" si="94"/>
        <v>0</v>
      </c>
      <c r="J120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0" s="91" t="e">
        <f t="shared" si="93"/>
        <v>#DIV/0!</v>
      </c>
      <c r="N1200" s="88" t="e">
        <f t="shared" si="90"/>
        <v>#DIV/0!</v>
      </c>
    </row>
    <row r="1201" spans="6:14" x14ac:dyDescent="0.25">
      <c r="F1201" s="1"/>
      <c r="G1201" s="114">
        <f t="shared" si="91"/>
        <v>0</v>
      </c>
      <c r="H1201" s="37">
        <f t="shared" si="92"/>
        <v>0</v>
      </c>
      <c r="I1201">
        <f t="shared" si="94"/>
        <v>0</v>
      </c>
      <c r="J120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1" s="91" t="e">
        <f t="shared" si="93"/>
        <v>#DIV/0!</v>
      </c>
      <c r="N1201" s="88" t="e">
        <f t="shared" si="90"/>
        <v>#DIV/0!</v>
      </c>
    </row>
    <row r="1202" spans="6:14" x14ac:dyDescent="0.25">
      <c r="F1202" s="1"/>
      <c r="G1202" s="114">
        <f t="shared" si="91"/>
        <v>0</v>
      </c>
      <c r="H1202" s="37">
        <f t="shared" si="92"/>
        <v>0</v>
      </c>
      <c r="I1202">
        <f t="shared" si="94"/>
        <v>0</v>
      </c>
      <c r="J120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2" s="91" t="e">
        <f t="shared" si="93"/>
        <v>#DIV/0!</v>
      </c>
      <c r="N1202" s="88" t="e">
        <f t="shared" si="90"/>
        <v>#DIV/0!</v>
      </c>
    </row>
    <row r="1203" spans="6:14" x14ac:dyDescent="0.25">
      <c r="F1203" s="1"/>
      <c r="G1203" s="114">
        <f t="shared" si="91"/>
        <v>0</v>
      </c>
      <c r="H1203" s="37">
        <f t="shared" si="92"/>
        <v>0</v>
      </c>
      <c r="I1203">
        <f t="shared" si="94"/>
        <v>0</v>
      </c>
      <c r="J120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3" s="91" t="e">
        <f t="shared" si="93"/>
        <v>#DIV/0!</v>
      </c>
      <c r="N1203" s="88" t="e">
        <f t="shared" si="90"/>
        <v>#DIV/0!</v>
      </c>
    </row>
    <row r="1204" spans="6:14" x14ac:dyDescent="0.25">
      <c r="F1204" s="1"/>
      <c r="G1204" s="114">
        <f t="shared" si="91"/>
        <v>0</v>
      </c>
      <c r="H1204" s="37">
        <f t="shared" si="92"/>
        <v>0</v>
      </c>
      <c r="I1204">
        <f t="shared" si="94"/>
        <v>0</v>
      </c>
      <c r="J120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4" s="91" t="e">
        <f t="shared" si="93"/>
        <v>#DIV/0!</v>
      </c>
      <c r="N1204" s="88" t="e">
        <f t="shared" si="90"/>
        <v>#DIV/0!</v>
      </c>
    </row>
    <row r="1205" spans="6:14" x14ac:dyDescent="0.25">
      <c r="F1205" s="1"/>
      <c r="G1205" s="114">
        <f t="shared" si="91"/>
        <v>0</v>
      </c>
      <c r="H1205" s="37">
        <f t="shared" si="92"/>
        <v>0</v>
      </c>
      <c r="I1205">
        <f t="shared" si="94"/>
        <v>0</v>
      </c>
      <c r="J120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5" s="91" t="e">
        <f t="shared" si="93"/>
        <v>#DIV/0!</v>
      </c>
      <c r="N1205" s="88" t="e">
        <f t="shared" si="90"/>
        <v>#DIV/0!</v>
      </c>
    </row>
    <row r="1206" spans="6:14" x14ac:dyDescent="0.25">
      <c r="F1206" s="1"/>
      <c r="G1206" s="114">
        <f t="shared" si="91"/>
        <v>0</v>
      </c>
      <c r="H1206" s="37">
        <f t="shared" si="92"/>
        <v>0</v>
      </c>
      <c r="I1206">
        <f t="shared" si="94"/>
        <v>0</v>
      </c>
      <c r="J120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6" s="91" t="e">
        <f t="shared" si="93"/>
        <v>#DIV/0!</v>
      </c>
      <c r="N1206" s="88" t="e">
        <f t="shared" si="90"/>
        <v>#DIV/0!</v>
      </c>
    </row>
    <row r="1207" spans="6:14" x14ac:dyDescent="0.25">
      <c r="F1207" s="1"/>
      <c r="G1207" s="114">
        <f t="shared" si="91"/>
        <v>0</v>
      </c>
      <c r="H1207" s="37">
        <f t="shared" si="92"/>
        <v>0</v>
      </c>
      <c r="I1207">
        <f t="shared" si="94"/>
        <v>0</v>
      </c>
      <c r="J120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7" s="91" t="e">
        <f t="shared" si="93"/>
        <v>#DIV/0!</v>
      </c>
      <c r="N1207" s="88" t="e">
        <f t="shared" si="90"/>
        <v>#DIV/0!</v>
      </c>
    </row>
    <row r="1208" spans="6:14" x14ac:dyDescent="0.25">
      <c r="F1208" s="1"/>
      <c r="G1208" s="114">
        <f t="shared" si="91"/>
        <v>0</v>
      </c>
      <c r="H1208" s="37">
        <f t="shared" si="92"/>
        <v>0</v>
      </c>
      <c r="I1208">
        <f t="shared" si="94"/>
        <v>0</v>
      </c>
      <c r="J120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8" s="91" t="e">
        <f t="shared" si="93"/>
        <v>#DIV/0!</v>
      </c>
      <c r="N1208" s="88" t="e">
        <f t="shared" si="90"/>
        <v>#DIV/0!</v>
      </c>
    </row>
    <row r="1209" spans="6:14" x14ac:dyDescent="0.25">
      <c r="F1209" s="1"/>
      <c r="G1209" s="114">
        <f t="shared" si="91"/>
        <v>0</v>
      </c>
      <c r="H1209" s="37">
        <f t="shared" si="92"/>
        <v>0</v>
      </c>
      <c r="I1209">
        <f t="shared" si="94"/>
        <v>0</v>
      </c>
      <c r="J120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09" s="91" t="e">
        <f t="shared" si="93"/>
        <v>#DIV/0!</v>
      </c>
      <c r="N1209" s="88" t="e">
        <f t="shared" si="90"/>
        <v>#DIV/0!</v>
      </c>
    </row>
    <row r="1210" spans="6:14" x14ac:dyDescent="0.25">
      <c r="F1210" s="1"/>
      <c r="G1210" s="114">
        <f t="shared" si="91"/>
        <v>0</v>
      </c>
      <c r="H1210" s="37">
        <f t="shared" si="92"/>
        <v>0</v>
      </c>
      <c r="I1210">
        <f t="shared" si="94"/>
        <v>0</v>
      </c>
      <c r="J121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0" s="91" t="e">
        <f t="shared" si="93"/>
        <v>#DIV/0!</v>
      </c>
      <c r="N1210" s="88" t="e">
        <f t="shared" si="90"/>
        <v>#DIV/0!</v>
      </c>
    </row>
    <row r="1211" spans="6:14" x14ac:dyDescent="0.25">
      <c r="F1211" s="1"/>
      <c r="G1211" s="114">
        <f t="shared" si="91"/>
        <v>0</v>
      </c>
      <c r="H1211" s="37">
        <f t="shared" si="92"/>
        <v>0</v>
      </c>
      <c r="I1211">
        <f t="shared" si="94"/>
        <v>0</v>
      </c>
      <c r="J121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1" s="91" t="e">
        <f t="shared" si="93"/>
        <v>#DIV/0!</v>
      </c>
      <c r="N1211" s="88" t="e">
        <f t="shared" si="90"/>
        <v>#DIV/0!</v>
      </c>
    </row>
    <row r="1212" spans="6:14" x14ac:dyDescent="0.25">
      <c r="F1212" s="1"/>
      <c r="G1212" s="114">
        <f t="shared" si="91"/>
        <v>0</v>
      </c>
      <c r="H1212" s="37">
        <f t="shared" si="92"/>
        <v>0</v>
      </c>
      <c r="I1212">
        <f t="shared" si="94"/>
        <v>0</v>
      </c>
      <c r="J121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2" s="91" t="e">
        <f t="shared" si="93"/>
        <v>#DIV/0!</v>
      </c>
      <c r="N1212" s="88" t="e">
        <f t="shared" si="90"/>
        <v>#DIV/0!</v>
      </c>
    </row>
    <row r="1213" spans="6:14" x14ac:dyDescent="0.25">
      <c r="F1213" s="1"/>
      <c r="G1213" s="114">
        <f t="shared" si="91"/>
        <v>0</v>
      </c>
      <c r="H1213" s="37">
        <f t="shared" si="92"/>
        <v>0</v>
      </c>
      <c r="I1213">
        <f t="shared" si="94"/>
        <v>0</v>
      </c>
      <c r="J121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3" s="91" t="e">
        <f t="shared" si="93"/>
        <v>#DIV/0!</v>
      </c>
      <c r="N1213" s="88" t="e">
        <f t="shared" si="90"/>
        <v>#DIV/0!</v>
      </c>
    </row>
    <row r="1214" spans="6:14" x14ac:dyDescent="0.25">
      <c r="F1214" s="1"/>
      <c r="G1214" s="114">
        <f t="shared" si="91"/>
        <v>0</v>
      </c>
      <c r="H1214" s="37">
        <f t="shared" si="92"/>
        <v>0</v>
      </c>
      <c r="I1214">
        <f t="shared" si="94"/>
        <v>0</v>
      </c>
      <c r="J121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4" s="91" t="e">
        <f t="shared" si="93"/>
        <v>#DIV/0!</v>
      </c>
      <c r="N1214" s="88" t="e">
        <f t="shared" si="90"/>
        <v>#DIV/0!</v>
      </c>
    </row>
    <row r="1215" spans="6:14" x14ac:dyDescent="0.25">
      <c r="F1215" s="1"/>
      <c r="G1215" s="114">
        <f t="shared" si="91"/>
        <v>0</v>
      </c>
      <c r="H1215" s="37">
        <f t="shared" si="92"/>
        <v>0</v>
      </c>
      <c r="I1215">
        <f t="shared" si="94"/>
        <v>0</v>
      </c>
      <c r="J121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5" s="91" t="e">
        <f t="shared" si="93"/>
        <v>#DIV/0!</v>
      </c>
      <c r="N1215" s="88" t="e">
        <f t="shared" si="90"/>
        <v>#DIV/0!</v>
      </c>
    </row>
    <row r="1216" spans="6:14" x14ac:dyDescent="0.25">
      <c r="F1216" s="1"/>
      <c r="G1216" s="114">
        <f t="shared" si="91"/>
        <v>0</v>
      </c>
      <c r="H1216" s="37">
        <f t="shared" si="92"/>
        <v>0</v>
      </c>
      <c r="I1216">
        <f t="shared" si="94"/>
        <v>0</v>
      </c>
      <c r="J121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6" s="91" t="e">
        <f t="shared" si="93"/>
        <v>#DIV/0!</v>
      </c>
      <c r="N1216" s="88" t="e">
        <f t="shared" si="90"/>
        <v>#DIV/0!</v>
      </c>
    </row>
    <row r="1217" spans="6:14" x14ac:dyDescent="0.25">
      <c r="F1217" s="1"/>
      <c r="G1217" s="114">
        <f t="shared" si="91"/>
        <v>0</v>
      </c>
      <c r="H1217" s="37">
        <f t="shared" si="92"/>
        <v>0</v>
      </c>
      <c r="I1217">
        <f t="shared" si="94"/>
        <v>0</v>
      </c>
      <c r="J121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7" s="91" t="e">
        <f t="shared" si="93"/>
        <v>#DIV/0!</v>
      </c>
      <c r="N1217" s="88" t="e">
        <f t="shared" ref="N1217:N1280" si="95">+((F1217+I1217)/J1217)*100</f>
        <v>#DIV/0!</v>
      </c>
    </row>
    <row r="1218" spans="6:14" x14ac:dyDescent="0.25">
      <c r="F1218" s="1"/>
      <c r="G1218" s="114">
        <f t="shared" ref="G1218:G1281" si="96">+F1218+I1218</f>
        <v>0</v>
      </c>
      <c r="H1218" s="37">
        <f t="shared" ref="H1218:H1281" si="97">+(F1218*0.05)+F1218</f>
        <v>0</v>
      </c>
      <c r="I1218">
        <f t="shared" si="94"/>
        <v>0</v>
      </c>
      <c r="J121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8" s="91" t="e">
        <f t="shared" si="93"/>
        <v>#DIV/0!</v>
      </c>
      <c r="N1218" s="88" t="e">
        <f t="shared" si="95"/>
        <v>#DIV/0!</v>
      </c>
    </row>
    <row r="1219" spans="6:14" x14ac:dyDescent="0.25">
      <c r="F1219" s="1"/>
      <c r="G1219" s="114">
        <f t="shared" si="96"/>
        <v>0</v>
      </c>
      <c r="H1219" s="37">
        <f t="shared" si="97"/>
        <v>0</v>
      </c>
      <c r="I1219">
        <f t="shared" si="94"/>
        <v>0</v>
      </c>
      <c r="J121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19" s="91" t="e">
        <f t="shared" ref="M1219:M1282" si="98">+((H1219+I1219)/J1219)*100</f>
        <v>#DIV/0!</v>
      </c>
      <c r="N1219" s="88" t="e">
        <f t="shared" si="95"/>
        <v>#DIV/0!</v>
      </c>
    </row>
    <row r="1220" spans="6:14" x14ac:dyDescent="0.25">
      <c r="F1220" s="1"/>
      <c r="G1220" s="114">
        <f t="shared" si="96"/>
        <v>0</v>
      </c>
      <c r="H1220" s="37">
        <f t="shared" si="97"/>
        <v>0</v>
      </c>
      <c r="I1220">
        <f t="shared" si="94"/>
        <v>0</v>
      </c>
      <c r="J122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0" s="91" t="e">
        <f t="shared" si="98"/>
        <v>#DIV/0!</v>
      </c>
      <c r="N1220" s="88" t="e">
        <f t="shared" si="95"/>
        <v>#DIV/0!</v>
      </c>
    </row>
    <row r="1221" spans="6:14" x14ac:dyDescent="0.25">
      <c r="F1221" s="1"/>
      <c r="G1221" s="114">
        <f t="shared" si="96"/>
        <v>0</v>
      </c>
      <c r="H1221" s="37">
        <f t="shared" si="97"/>
        <v>0</v>
      </c>
      <c r="I1221">
        <f t="shared" si="94"/>
        <v>0</v>
      </c>
      <c r="J122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1" s="91" t="e">
        <f t="shared" si="98"/>
        <v>#DIV/0!</v>
      </c>
      <c r="N1221" s="88" t="e">
        <f t="shared" si="95"/>
        <v>#DIV/0!</v>
      </c>
    </row>
    <row r="1222" spans="6:14" x14ac:dyDescent="0.25">
      <c r="F1222" s="1"/>
      <c r="G1222" s="114">
        <f t="shared" si="96"/>
        <v>0</v>
      </c>
      <c r="H1222" s="37">
        <f t="shared" si="97"/>
        <v>0</v>
      </c>
      <c r="I1222">
        <f t="shared" si="94"/>
        <v>0</v>
      </c>
      <c r="J122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2" s="91" t="e">
        <f t="shared" si="98"/>
        <v>#DIV/0!</v>
      </c>
      <c r="N1222" s="88" t="e">
        <f t="shared" si="95"/>
        <v>#DIV/0!</v>
      </c>
    </row>
    <row r="1223" spans="6:14" x14ac:dyDescent="0.25">
      <c r="F1223" s="1"/>
      <c r="G1223" s="114">
        <f t="shared" si="96"/>
        <v>0</v>
      </c>
      <c r="H1223" s="37">
        <f t="shared" si="97"/>
        <v>0</v>
      </c>
      <c r="I1223">
        <f t="shared" si="94"/>
        <v>0</v>
      </c>
      <c r="J122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3" s="91" t="e">
        <f t="shared" si="98"/>
        <v>#DIV/0!</v>
      </c>
      <c r="N1223" s="88" t="e">
        <f t="shared" si="95"/>
        <v>#DIV/0!</v>
      </c>
    </row>
    <row r="1224" spans="6:14" x14ac:dyDescent="0.25">
      <c r="F1224" s="1"/>
      <c r="G1224" s="114">
        <f t="shared" si="96"/>
        <v>0</v>
      </c>
      <c r="H1224" s="37">
        <f t="shared" si="97"/>
        <v>0</v>
      </c>
      <c r="I1224">
        <f t="shared" si="94"/>
        <v>0</v>
      </c>
      <c r="J122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4" s="91" t="e">
        <f t="shared" si="98"/>
        <v>#DIV/0!</v>
      </c>
      <c r="N1224" s="88" t="e">
        <f t="shared" si="95"/>
        <v>#DIV/0!</v>
      </c>
    </row>
    <row r="1225" spans="6:14" x14ac:dyDescent="0.25">
      <c r="F1225" s="1"/>
      <c r="G1225" s="114">
        <f t="shared" si="96"/>
        <v>0</v>
      </c>
      <c r="H1225" s="37">
        <f t="shared" si="97"/>
        <v>0</v>
      </c>
      <c r="I1225">
        <f t="shared" si="94"/>
        <v>0</v>
      </c>
      <c r="J122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5" s="91" t="e">
        <f t="shared" si="98"/>
        <v>#DIV/0!</v>
      </c>
      <c r="N1225" s="88" t="e">
        <f t="shared" si="95"/>
        <v>#DIV/0!</v>
      </c>
    </row>
    <row r="1226" spans="6:14" x14ac:dyDescent="0.25">
      <c r="F1226" s="1"/>
      <c r="G1226" s="114">
        <f t="shared" si="96"/>
        <v>0</v>
      </c>
      <c r="H1226" s="37">
        <f t="shared" si="97"/>
        <v>0</v>
      </c>
      <c r="I1226">
        <f t="shared" si="94"/>
        <v>0</v>
      </c>
      <c r="J122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6" s="91" t="e">
        <f t="shared" si="98"/>
        <v>#DIV/0!</v>
      </c>
      <c r="N1226" s="88" t="e">
        <f t="shared" si="95"/>
        <v>#DIV/0!</v>
      </c>
    </row>
    <row r="1227" spans="6:14" x14ac:dyDescent="0.25">
      <c r="F1227" s="1"/>
      <c r="G1227" s="114">
        <f t="shared" si="96"/>
        <v>0</v>
      </c>
      <c r="H1227" s="37">
        <f t="shared" si="97"/>
        <v>0</v>
      </c>
      <c r="I1227">
        <f t="shared" si="94"/>
        <v>0</v>
      </c>
      <c r="J122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7" s="91" t="e">
        <f t="shared" si="98"/>
        <v>#DIV/0!</v>
      </c>
      <c r="N1227" s="88" t="e">
        <f t="shared" si="95"/>
        <v>#DIV/0!</v>
      </c>
    </row>
    <row r="1228" spans="6:14" x14ac:dyDescent="0.25">
      <c r="F1228" s="1"/>
      <c r="G1228" s="114">
        <f t="shared" si="96"/>
        <v>0</v>
      </c>
      <c r="H1228" s="37">
        <f t="shared" si="97"/>
        <v>0</v>
      </c>
      <c r="I1228">
        <f t="shared" si="94"/>
        <v>0</v>
      </c>
      <c r="J122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8" s="91" t="e">
        <f t="shared" si="98"/>
        <v>#DIV/0!</v>
      </c>
      <c r="N1228" s="88" t="e">
        <f t="shared" si="95"/>
        <v>#DIV/0!</v>
      </c>
    </row>
    <row r="1229" spans="6:14" x14ac:dyDescent="0.25">
      <c r="F1229" s="1"/>
      <c r="G1229" s="114">
        <f t="shared" si="96"/>
        <v>0</v>
      </c>
      <c r="H1229" s="37">
        <f t="shared" si="97"/>
        <v>0</v>
      </c>
      <c r="I1229">
        <f t="shared" si="94"/>
        <v>0</v>
      </c>
      <c r="J122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29" s="91" t="e">
        <f t="shared" si="98"/>
        <v>#DIV/0!</v>
      </c>
      <c r="N1229" s="88" t="e">
        <f t="shared" si="95"/>
        <v>#DIV/0!</v>
      </c>
    </row>
    <row r="1230" spans="6:14" x14ac:dyDescent="0.25">
      <c r="F1230" s="1"/>
      <c r="G1230" s="114">
        <f t="shared" si="96"/>
        <v>0</v>
      </c>
      <c r="H1230" s="37">
        <f t="shared" si="97"/>
        <v>0</v>
      </c>
      <c r="I1230">
        <f t="shared" ref="I1230:I1293" si="99">+L1230-K1230</f>
        <v>0</v>
      </c>
      <c r="J123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0" s="91" t="e">
        <f t="shared" si="98"/>
        <v>#DIV/0!</v>
      </c>
      <c r="N1230" s="88" t="e">
        <f t="shared" si="95"/>
        <v>#DIV/0!</v>
      </c>
    </row>
    <row r="1231" spans="6:14" x14ac:dyDescent="0.25">
      <c r="F1231" s="1"/>
      <c r="G1231" s="114">
        <f t="shared" si="96"/>
        <v>0</v>
      </c>
      <c r="H1231" s="37">
        <f t="shared" si="97"/>
        <v>0</v>
      </c>
      <c r="I1231">
        <f t="shared" si="99"/>
        <v>0</v>
      </c>
      <c r="J123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1" s="91" t="e">
        <f t="shared" si="98"/>
        <v>#DIV/0!</v>
      </c>
      <c r="N1231" s="88" t="e">
        <f t="shared" si="95"/>
        <v>#DIV/0!</v>
      </c>
    </row>
    <row r="1232" spans="6:14" x14ac:dyDescent="0.25">
      <c r="F1232" s="1"/>
      <c r="G1232" s="114">
        <f t="shared" si="96"/>
        <v>0</v>
      </c>
      <c r="H1232" s="37">
        <f t="shared" si="97"/>
        <v>0</v>
      </c>
      <c r="I1232">
        <f t="shared" si="99"/>
        <v>0</v>
      </c>
      <c r="J123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2" s="91" t="e">
        <f t="shared" si="98"/>
        <v>#DIV/0!</v>
      </c>
      <c r="N1232" s="88" t="e">
        <f t="shared" si="95"/>
        <v>#DIV/0!</v>
      </c>
    </row>
    <row r="1233" spans="6:14" x14ac:dyDescent="0.25">
      <c r="F1233" s="1"/>
      <c r="G1233" s="114">
        <f t="shared" si="96"/>
        <v>0</v>
      </c>
      <c r="H1233" s="37">
        <f t="shared" si="97"/>
        <v>0</v>
      </c>
      <c r="I1233">
        <f t="shared" si="99"/>
        <v>0</v>
      </c>
      <c r="J123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3" s="91" t="e">
        <f t="shared" si="98"/>
        <v>#DIV/0!</v>
      </c>
      <c r="N1233" s="88" t="e">
        <f t="shared" si="95"/>
        <v>#DIV/0!</v>
      </c>
    </row>
    <row r="1234" spans="6:14" x14ac:dyDescent="0.25">
      <c r="F1234" s="1"/>
      <c r="G1234" s="114">
        <f t="shared" si="96"/>
        <v>0</v>
      </c>
      <c r="H1234" s="37">
        <f t="shared" si="97"/>
        <v>0</v>
      </c>
      <c r="I1234">
        <f t="shared" si="99"/>
        <v>0</v>
      </c>
      <c r="J123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4" s="91" t="e">
        <f t="shared" si="98"/>
        <v>#DIV/0!</v>
      </c>
      <c r="N1234" s="88" t="e">
        <f t="shared" si="95"/>
        <v>#DIV/0!</v>
      </c>
    </row>
    <row r="1235" spans="6:14" x14ac:dyDescent="0.25">
      <c r="F1235" s="1"/>
      <c r="G1235" s="114">
        <f t="shared" si="96"/>
        <v>0</v>
      </c>
      <c r="H1235" s="37">
        <f t="shared" si="97"/>
        <v>0</v>
      </c>
      <c r="I1235">
        <f t="shared" si="99"/>
        <v>0</v>
      </c>
      <c r="J123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5" s="91" t="e">
        <f t="shared" si="98"/>
        <v>#DIV/0!</v>
      </c>
      <c r="N1235" s="88" t="e">
        <f t="shared" si="95"/>
        <v>#DIV/0!</v>
      </c>
    </row>
    <row r="1236" spans="6:14" x14ac:dyDescent="0.25">
      <c r="F1236" s="1"/>
      <c r="G1236" s="114">
        <f t="shared" si="96"/>
        <v>0</v>
      </c>
      <c r="H1236" s="37">
        <f t="shared" si="97"/>
        <v>0</v>
      </c>
      <c r="I1236">
        <f t="shared" si="99"/>
        <v>0</v>
      </c>
      <c r="J123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6" s="91" t="e">
        <f t="shared" si="98"/>
        <v>#DIV/0!</v>
      </c>
      <c r="N1236" s="88" t="e">
        <f t="shared" si="95"/>
        <v>#DIV/0!</v>
      </c>
    </row>
    <row r="1237" spans="6:14" x14ac:dyDescent="0.25">
      <c r="F1237" s="1"/>
      <c r="G1237" s="114">
        <f t="shared" si="96"/>
        <v>0</v>
      </c>
      <c r="H1237" s="37">
        <f t="shared" si="97"/>
        <v>0</v>
      </c>
      <c r="I1237">
        <f t="shared" si="99"/>
        <v>0</v>
      </c>
      <c r="J123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7" s="91" t="e">
        <f t="shared" si="98"/>
        <v>#DIV/0!</v>
      </c>
      <c r="N1237" s="88" t="e">
        <f t="shared" si="95"/>
        <v>#DIV/0!</v>
      </c>
    </row>
    <row r="1238" spans="6:14" x14ac:dyDescent="0.25">
      <c r="F1238" s="1"/>
      <c r="G1238" s="114">
        <f t="shared" si="96"/>
        <v>0</v>
      </c>
      <c r="H1238" s="37">
        <f t="shared" si="97"/>
        <v>0</v>
      </c>
      <c r="I1238">
        <f t="shared" si="99"/>
        <v>0</v>
      </c>
      <c r="J123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8" s="91" t="e">
        <f t="shared" si="98"/>
        <v>#DIV/0!</v>
      </c>
      <c r="N1238" s="88" t="e">
        <f t="shared" si="95"/>
        <v>#DIV/0!</v>
      </c>
    </row>
    <row r="1239" spans="6:14" x14ac:dyDescent="0.25">
      <c r="F1239" s="1"/>
      <c r="G1239" s="114">
        <f t="shared" si="96"/>
        <v>0</v>
      </c>
      <c r="H1239" s="37">
        <f t="shared" si="97"/>
        <v>0</v>
      </c>
      <c r="I1239">
        <f t="shared" si="99"/>
        <v>0</v>
      </c>
      <c r="J123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39" s="91" t="e">
        <f t="shared" si="98"/>
        <v>#DIV/0!</v>
      </c>
      <c r="N1239" s="88" t="e">
        <f t="shared" si="95"/>
        <v>#DIV/0!</v>
      </c>
    </row>
    <row r="1240" spans="6:14" x14ac:dyDescent="0.25">
      <c r="F1240" s="1"/>
      <c r="G1240" s="114">
        <f t="shared" si="96"/>
        <v>0</v>
      </c>
      <c r="H1240" s="37">
        <f t="shared" si="97"/>
        <v>0</v>
      </c>
      <c r="I1240">
        <f t="shared" si="99"/>
        <v>0</v>
      </c>
      <c r="J124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0" s="91" t="e">
        <f t="shared" si="98"/>
        <v>#DIV/0!</v>
      </c>
      <c r="N1240" s="88" t="e">
        <f t="shared" si="95"/>
        <v>#DIV/0!</v>
      </c>
    </row>
    <row r="1241" spans="6:14" x14ac:dyDescent="0.25">
      <c r="F1241" s="1"/>
      <c r="G1241" s="114">
        <f t="shared" si="96"/>
        <v>0</v>
      </c>
      <c r="H1241" s="37">
        <f t="shared" si="97"/>
        <v>0</v>
      </c>
      <c r="I1241">
        <f t="shared" si="99"/>
        <v>0</v>
      </c>
      <c r="J124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1" s="91" t="e">
        <f t="shared" si="98"/>
        <v>#DIV/0!</v>
      </c>
      <c r="N1241" s="88" t="e">
        <f t="shared" si="95"/>
        <v>#DIV/0!</v>
      </c>
    </row>
    <row r="1242" spans="6:14" x14ac:dyDescent="0.25">
      <c r="F1242" s="1"/>
      <c r="G1242" s="114">
        <f t="shared" si="96"/>
        <v>0</v>
      </c>
      <c r="H1242" s="37">
        <f t="shared" si="97"/>
        <v>0</v>
      </c>
      <c r="I1242">
        <f t="shared" si="99"/>
        <v>0</v>
      </c>
      <c r="J124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2" s="91" t="e">
        <f t="shared" si="98"/>
        <v>#DIV/0!</v>
      </c>
      <c r="N1242" s="88" t="e">
        <f t="shared" si="95"/>
        <v>#DIV/0!</v>
      </c>
    </row>
    <row r="1243" spans="6:14" x14ac:dyDescent="0.25">
      <c r="F1243" s="1"/>
      <c r="G1243" s="114">
        <f t="shared" si="96"/>
        <v>0</v>
      </c>
      <c r="H1243" s="37">
        <f t="shared" si="97"/>
        <v>0</v>
      </c>
      <c r="I1243">
        <f t="shared" si="99"/>
        <v>0</v>
      </c>
      <c r="J124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3" s="91" t="e">
        <f t="shared" si="98"/>
        <v>#DIV/0!</v>
      </c>
      <c r="N1243" s="88" t="e">
        <f t="shared" si="95"/>
        <v>#DIV/0!</v>
      </c>
    </row>
    <row r="1244" spans="6:14" x14ac:dyDescent="0.25">
      <c r="F1244" s="1"/>
      <c r="G1244" s="114">
        <f t="shared" si="96"/>
        <v>0</v>
      </c>
      <c r="H1244" s="37">
        <f t="shared" si="97"/>
        <v>0</v>
      </c>
      <c r="I1244">
        <f t="shared" si="99"/>
        <v>0</v>
      </c>
      <c r="J124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4" s="91" t="e">
        <f t="shared" si="98"/>
        <v>#DIV/0!</v>
      </c>
      <c r="N1244" s="88" t="e">
        <f t="shared" si="95"/>
        <v>#DIV/0!</v>
      </c>
    </row>
    <row r="1245" spans="6:14" x14ac:dyDescent="0.25">
      <c r="F1245" s="1"/>
      <c r="G1245" s="114">
        <f t="shared" si="96"/>
        <v>0</v>
      </c>
      <c r="H1245" s="37">
        <f t="shared" si="97"/>
        <v>0</v>
      </c>
      <c r="I1245">
        <f t="shared" si="99"/>
        <v>0</v>
      </c>
      <c r="J124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5" s="91" t="e">
        <f t="shared" si="98"/>
        <v>#DIV/0!</v>
      </c>
      <c r="N1245" s="88" t="e">
        <f t="shared" si="95"/>
        <v>#DIV/0!</v>
      </c>
    </row>
    <row r="1246" spans="6:14" x14ac:dyDescent="0.25">
      <c r="F1246" s="1"/>
      <c r="G1246" s="114">
        <f t="shared" si="96"/>
        <v>0</v>
      </c>
      <c r="H1246" s="37">
        <f t="shared" si="97"/>
        <v>0</v>
      </c>
      <c r="I1246">
        <f t="shared" si="99"/>
        <v>0</v>
      </c>
      <c r="J124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6" s="91" t="e">
        <f t="shared" si="98"/>
        <v>#DIV/0!</v>
      </c>
      <c r="N1246" s="88" t="e">
        <f t="shared" si="95"/>
        <v>#DIV/0!</v>
      </c>
    </row>
    <row r="1247" spans="6:14" x14ac:dyDescent="0.25">
      <c r="F1247" s="1"/>
      <c r="G1247" s="114">
        <f t="shared" si="96"/>
        <v>0</v>
      </c>
      <c r="H1247" s="37">
        <f t="shared" si="97"/>
        <v>0</v>
      </c>
      <c r="I1247">
        <f t="shared" si="99"/>
        <v>0</v>
      </c>
      <c r="J124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7" s="91" t="e">
        <f t="shared" si="98"/>
        <v>#DIV/0!</v>
      </c>
      <c r="N1247" s="88" t="e">
        <f t="shared" si="95"/>
        <v>#DIV/0!</v>
      </c>
    </row>
    <row r="1248" spans="6:14" x14ac:dyDescent="0.25">
      <c r="F1248" s="1"/>
      <c r="G1248" s="114">
        <f t="shared" si="96"/>
        <v>0</v>
      </c>
      <c r="H1248" s="37">
        <f t="shared" si="97"/>
        <v>0</v>
      </c>
      <c r="I1248">
        <f t="shared" si="99"/>
        <v>0</v>
      </c>
      <c r="J124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8" s="91" t="e">
        <f t="shared" si="98"/>
        <v>#DIV/0!</v>
      </c>
      <c r="N1248" s="88" t="e">
        <f t="shared" si="95"/>
        <v>#DIV/0!</v>
      </c>
    </row>
    <row r="1249" spans="6:14" x14ac:dyDescent="0.25">
      <c r="F1249" s="1"/>
      <c r="G1249" s="114">
        <f t="shared" si="96"/>
        <v>0</v>
      </c>
      <c r="H1249" s="37">
        <f t="shared" si="97"/>
        <v>0</v>
      </c>
      <c r="I1249">
        <f t="shared" si="99"/>
        <v>0</v>
      </c>
      <c r="J124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49" s="91" t="e">
        <f t="shared" si="98"/>
        <v>#DIV/0!</v>
      </c>
      <c r="N1249" s="88" t="e">
        <f t="shared" si="95"/>
        <v>#DIV/0!</v>
      </c>
    </row>
    <row r="1250" spans="6:14" x14ac:dyDescent="0.25">
      <c r="F1250" s="1"/>
      <c r="G1250" s="114">
        <f t="shared" si="96"/>
        <v>0</v>
      </c>
      <c r="H1250" s="37">
        <f t="shared" si="97"/>
        <v>0</v>
      </c>
      <c r="I1250">
        <f t="shared" si="99"/>
        <v>0</v>
      </c>
      <c r="J125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0" s="91" t="e">
        <f t="shared" si="98"/>
        <v>#DIV/0!</v>
      </c>
      <c r="N1250" s="88" t="e">
        <f t="shared" si="95"/>
        <v>#DIV/0!</v>
      </c>
    </row>
    <row r="1251" spans="6:14" x14ac:dyDescent="0.25">
      <c r="F1251" s="1"/>
      <c r="G1251" s="114">
        <f t="shared" si="96"/>
        <v>0</v>
      </c>
      <c r="H1251" s="37">
        <f t="shared" si="97"/>
        <v>0</v>
      </c>
      <c r="I1251">
        <f t="shared" si="99"/>
        <v>0</v>
      </c>
      <c r="J125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1" s="91" t="e">
        <f t="shared" si="98"/>
        <v>#DIV/0!</v>
      </c>
      <c r="N1251" s="88" t="e">
        <f t="shared" si="95"/>
        <v>#DIV/0!</v>
      </c>
    </row>
    <row r="1252" spans="6:14" x14ac:dyDescent="0.25">
      <c r="F1252" s="1"/>
      <c r="G1252" s="114">
        <f t="shared" si="96"/>
        <v>0</v>
      </c>
      <c r="H1252" s="37">
        <f t="shared" si="97"/>
        <v>0</v>
      </c>
      <c r="I1252">
        <f t="shared" si="99"/>
        <v>0</v>
      </c>
      <c r="J125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2" s="91" t="e">
        <f t="shared" si="98"/>
        <v>#DIV/0!</v>
      </c>
      <c r="N1252" s="88" t="e">
        <f t="shared" si="95"/>
        <v>#DIV/0!</v>
      </c>
    </row>
    <row r="1253" spans="6:14" x14ac:dyDescent="0.25">
      <c r="F1253" s="1"/>
      <c r="G1253" s="114">
        <f t="shared" si="96"/>
        <v>0</v>
      </c>
      <c r="H1253" s="37">
        <f t="shared" si="97"/>
        <v>0</v>
      </c>
      <c r="I1253">
        <f t="shared" si="99"/>
        <v>0</v>
      </c>
      <c r="J125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3" s="91" t="e">
        <f t="shared" si="98"/>
        <v>#DIV/0!</v>
      </c>
      <c r="N1253" s="88" t="e">
        <f t="shared" si="95"/>
        <v>#DIV/0!</v>
      </c>
    </row>
    <row r="1254" spans="6:14" x14ac:dyDescent="0.25">
      <c r="F1254" s="1"/>
      <c r="G1254" s="114">
        <f t="shared" si="96"/>
        <v>0</v>
      </c>
      <c r="H1254" s="37">
        <f t="shared" si="97"/>
        <v>0</v>
      </c>
      <c r="I1254">
        <f t="shared" si="99"/>
        <v>0</v>
      </c>
      <c r="J125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4" s="91" t="e">
        <f t="shared" si="98"/>
        <v>#DIV/0!</v>
      </c>
      <c r="N1254" s="88" t="e">
        <f t="shared" si="95"/>
        <v>#DIV/0!</v>
      </c>
    </row>
    <row r="1255" spans="6:14" x14ac:dyDescent="0.25">
      <c r="F1255" s="1"/>
      <c r="G1255" s="114">
        <f t="shared" si="96"/>
        <v>0</v>
      </c>
      <c r="H1255" s="37">
        <f t="shared" si="97"/>
        <v>0</v>
      </c>
      <c r="I1255">
        <f t="shared" si="99"/>
        <v>0</v>
      </c>
      <c r="J125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5" s="91" t="e">
        <f t="shared" si="98"/>
        <v>#DIV/0!</v>
      </c>
      <c r="N1255" s="88" t="e">
        <f t="shared" si="95"/>
        <v>#DIV/0!</v>
      </c>
    </row>
    <row r="1256" spans="6:14" x14ac:dyDescent="0.25">
      <c r="F1256" s="1"/>
      <c r="G1256" s="114">
        <f t="shared" si="96"/>
        <v>0</v>
      </c>
      <c r="H1256" s="37">
        <f t="shared" si="97"/>
        <v>0</v>
      </c>
      <c r="I1256">
        <f t="shared" si="99"/>
        <v>0</v>
      </c>
      <c r="J125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6" s="91" t="e">
        <f t="shared" si="98"/>
        <v>#DIV/0!</v>
      </c>
      <c r="N1256" s="88" t="e">
        <f t="shared" si="95"/>
        <v>#DIV/0!</v>
      </c>
    </row>
    <row r="1257" spans="6:14" x14ac:dyDescent="0.25">
      <c r="F1257" s="1"/>
      <c r="G1257" s="114">
        <f t="shared" si="96"/>
        <v>0</v>
      </c>
      <c r="H1257" s="37">
        <f t="shared" si="97"/>
        <v>0</v>
      </c>
      <c r="I1257">
        <f t="shared" si="99"/>
        <v>0</v>
      </c>
      <c r="J125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7" s="91" t="e">
        <f t="shared" si="98"/>
        <v>#DIV/0!</v>
      </c>
      <c r="N1257" s="88" t="e">
        <f t="shared" si="95"/>
        <v>#DIV/0!</v>
      </c>
    </row>
    <row r="1258" spans="6:14" x14ac:dyDescent="0.25">
      <c r="F1258" s="1"/>
      <c r="G1258" s="114">
        <f t="shared" si="96"/>
        <v>0</v>
      </c>
      <c r="H1258" s="37">
        <f t="shared" si="97"/>
        <v>0</v>
      </c>
      <c r="I1258">
        <f t="shared" si="99"/>
        <v>0</v>
      </c>
      <c r="J125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8" s="91" t="e">
        <f t="shared" si="98"/>
        <v>#DIV/0!</v>
      </c>
      <c r="N1258" s="88" t="e">
        <f t="shared" si="95"/>
        <v>#DIV/0!</v>
      </c>
    </row>
    <row r="1259" spans="6:14" x14ac:dyDescent="0.25">
      <c r="F1259" s="1"/>
      <c r="G1259" s="114">
        <f t="shared" si="96"/>
        <v>0</v>
      </c>
      <c r="H1259" s="37">
        <f t="shared" si="97"/>
        <v>0</v>
      </c>
      <c r="I1259">
        <f t="shared" si="99"/>
        <v>0</v>
      </c>
      <c r="J125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59" s="91" t="e">
        <f t="shared" si="98"/>
        <v>#DIV/0!</v>
      </c>
      <c r="N1259" s="88" t="e">
        <f t="shared" si="95"/>
        <v>#DIV/0!</v>
      </c>
    </row>
    <row r="1260" spans="6:14" x14ac:dyDescent="0.25">
      <c r="F1260" s="1"/>
      <c r="G1260" s="114">
        <f t="shared" si="96"/>
        <v>0</v>
      </c>
      <c r="H1260" s="37">
        <f t="shared" si="97"/>
        <v>0</v>
      </c>
      <c r="I1260">
        <f t="shared" si="99"/>
        <v>0</v>
      </c>
      <c r="J126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0" s="91" t="e">
        <f t="shared" si="98"/>
        <v>#DIV/0!</v>
      </c>
      <c r="N1260" s="88" t="e">
        <f t="shared" si="95"/>
        <v>#DIV/0!</v>
      </c>
    </row>
    <row r="1261" spans="6:14" x14ac:dyDescent="0.25">
      <c r="F1261" s="1"/>
      <c r="G1261" s="114">
        <f t="shared" si="96"/>
        <v>0</v>
      </c>
      <c r="H1261" s="37">
        <f t="shared" si="97"/>
        <v>0</v>
      </c>
      <c r="I1261">
        <f t="shared" si="99"/>
        <v>0</v>
      </c>
      <c r="J126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1" s="91" t="e">
        <f t="shared" si="98"/>
        <v>#DIV/0!</v>
      </c>
      <c r="N1261" s="88" t="e">
        <f t="shared" si="95"/>
        <v>#DIV/0!</v>
      </c>
    </row>
    <row r="1262" spans="6:14" x14ac:dyDescent="0.25">
      <c r="F1262" s="1"/>
      <c r="G1262" s="114">
        <f t="shared" si="96"/>
        <v>0</v>
      </c>
      <c r="H1262" s="37">
        <f t="shared" si="97"/>
        <v>0</v>
      </c>
      <c r="I1262">
        <f t="shared" si="99"/>
        <v>0</v>
      </c>
      <c r="J126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2" s="91" t="e">
        <f t="shared" si="98"/>
        <v>#DIV/0!</v>
      </c>
      <c r="N1262" s="88" t="e">
        <f t="shared" si="95"/>
        <v>#DIV/0!</v>
      </c>
    </row>
    <row r="1263" spans="6:14" x14ac:dyDescent="0.25">
      <c r="F1263" s="1"/>
      <c r="G1263" s="114">
        <f t="shared" si="96"/>
        <v>0</v>
      </c>
      <c r="H1263" s="37">
        <f t="shared" si="97"/>
        <v>0</v>
      </c>
      <c r="I1263">
        <f t="shared" si="99"/>
        <v>0</v>
      </c>
      <c r="J126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3" s="91" t="e">
        <f t="shared" si="98"/>
        <v>#DIV/0!</v>
      </c>
      <c r="N1263" s="88" t="e">
        <f t="shared" si="95"/>
        <v>#DIV/0!</v>
      </c>
    </row>
    <row r="1264" spans="6:14" x14ac:dyDescent="0.25">
      <c r="F1264" s="1"/>
      <c r="G1264" s="114">
        <f t="shared" si="96"/>
        <v>0</v>
      </c>
      <c r="H1264" s="37">
        <f t="shared" si="97"/>
        <v>0</v>
      </c>
      <c r="I1264">
        <f t="shared" si="99"/>
        <v>0</v>
      </c>
      <c r="J126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4" s="91" t="e">
        <f t="shared" si="98"/>
        <v>#DIV/0!</v>
      </c>
      <c r="N1264" s="88" t="e">
        <f t="shared" si="95"/>
        <v>#DIV/0!</v>
      </c>
    </row>
    <row r="1265" spans="6:14" x14ac:dyDescent="0.25">
      <c r="F1265" s="1"/>
      <c r="G1265" s="114">
        <f t="shared" si="96"/>
        <v>0</v>
      </c>
      <c r="H1265" s="37">
        <f t="shared" si="97"/>
        <v>0</v>
      </c>
      <c r="I1265">
        <f t="shared" si="99"/>
        <v>0</v>
      </c>
      <c r="J126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5" s="91" t="e">
        <f t="shared" si="98"/>
        <v>#DIV/0!</v>
      </c>
      <c r="N1265" s="88" t="e">
        <f t="shared" si="95"/>
        <v>#DIV/0!</v>
      </c>
    </row>
    <row r="1266" spans="6:14" x14ac:dyDescent="0.25">
      <c r="F1266" s="1"/>
      <c r="G1266" s="114">
        <f t="shared" si="96"/>
        <v>0</v>
      </c>
      <c r="H1266" s="37">
        <f t="shared" si="97"/>
        <v>0</v>
      </c>
      <c r="I1266">
        <f t="shared" si="99"/>
        <v>0</v>
      </c>
      <c r="J126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6" s="91" t="e">
        <f t="shared" si="98"/>
        <v>#DIV/0!</v>
      </c>
      <c r="N1266" s="88" t="e">
        <f t="shared" si="95"/>
        <v>#DIV/0!</v>
      </c>
    </row>
    <row r="1267" spans="6:14" x14ac:dyDescent="0.25">
      <c r="F1267" s="1"/>
      <c r="G1267" s="114">
        <f t="shared" si="96"/>
        <v>0</v>
      </c>
      <c r="H1267" s="37">
        <f t="shared" si="97"/>
        <v>0</v>
      </c>
      <c r="I1267">
        <f t="shared" si="99"/>
        <v>0</v>
      </c>
      <c r="J126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7" s="91" t="e">
        <f t="shared" si="98"/>
        <v>#DIV/0!</v>
      </c>
      <c r="N1267" s="88" t="e">
        <f t="shared" si="95"/>
        <v>#DIV/0!</v>
      </c>
    </row>
    <row r="1268" spans="6:14" x14ac:dyDescent="0.25">
      <c r="F1268" s="1"/>
      <c r="G1268" s="114">
        <f t="shared" si="96"/>
        <v>0</v>
      </c>
      <c r="H1268" s="37">
        <f t="shared" si="97"/>
        <v>0</v>
      </c>
      <c r="I1268">
        <f t="shared" si="99"/>
        <v>0</v>
      </c>
      <c r="J126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8" s="91" t="e">
        <f t="shared" si="98"/>
        <v>#DIV/0!</v>
      </c>
      <c r="N1268" s="88" t="e">
        <f t="shared" si="95"/>
        <v>#DIV/0!</v>
      </c>
    </row>
    <row r="1269" spans="6:14" x14ac:dyDescent="0.25">
      <c r="F1269" s="1"/>
      <c r="G1269" s="114">
        <f t="shared" si="96"/>
        <v>0</v>
      </c>
      <c r="H1269" s="37">
        <f t="shared" si="97"/>
        <v>0</v>
      </c>
      <c r="I1269">
        <f t="shared" si="99"/>
        <v>0</v>
      </c>
      <c r="J126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69" s="91" t="e">
        <f t="shared" si="98"/>
        <v>#DIV/0!</v>
      </c>
      <c r="N1269" s="88" t="e">
        <f t="shared" si="95"/>
        <v>#DIV/0!</v>
      </c>
    </row>
    <row r="1270" spans="6:14" x14ac:dyDescent="0.25">
      <c r="F1270" s="1"/>
      <c r="G1270" s="114">
        <f t="shared" si="96"/>
        <v>0</v>
      </c>
      <c r="H1270" s="37">
        <f t="shared" si="97"/>
        <v>0</v>
      </c>
      <c r="I1270">
        <f t="shared" si="99"/>
        <v>0</v>
      </c>
      <c r="J127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0" s="91" t="e">
        <f t="shared" si="98"/>
        <v>#DIV/0!</v>
      </c>
      <c r="N1270" s="88" t="e">
        <f t="shared" si="95"/>
        <v>#DIV/0!</v>
      </c>
    </row>
    <row r="1271" spans="6:14" x14ac:dyDescent="0.25">
      <c r="F1271" s="1"/>
      <c r="G1271" s="114">
        <f t="shared" si="96"/>
        <v>0</v>
      </c>
      <c r="H1271" s="37">
        <f t="shared" si="97"/>
        <v>0</v>
      </c>
      <c r="I1271">
        <f t="shared" si="99"/>
        <v>0</v>
      </c>
      <c r="J127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1" s="91" t="e">
        <f t="shared" si="98"/>
        <v>#DIV/0!</v>
      </c>
      <c r="N1271" s="88" t="e">
        <f t="shared" si="95"/>
        <v>#DIV/0!</v>
      </c>
    </row>
    <row r="1272" spans="6:14" x14ac:dyDescent="0.25">
      <c r="F1272" s="1"/>
      <c r="G1272" s="114">
        <f t="shared" si="96"/>
        <v>0</v>
      </c>
      <c r="H1272" s="37">
        <f t="shared" si="97"/>
        <v>0</v>
      </c>
      <c r="I1272">
        <f t="shared" si="99"/>
        <v>0</v>
      </c>
      <c r="J127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2" s="91" t="e">
        <f t="shared" si="98"/>
        <v>#DIV/0!</v>
      </c>
      <c r="N1272" s="88" t="e">
        <f t="shared" si="95"/>
        <v>#DIV/0!</v>
      </c>
    </row>
    <row r="1273" spans="6:14" x14ac:dyDescent="0.25">
      <c r="F1273" s="1"/>
      <c r="G1273" s="114">
        <f t="shared" si="96"/>
        <v>0</v>
      </c>
      <c r="H1273" s="37">
        <f t="shared" si="97"/>
        <v>0</v>
      </c>
      <c r="I1273">
        <f t="shared" si="99"/>
        <v>0</v>
      </c>
      <c r="J127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3" s="91" t="e">
        <f t="shared" si="98"/>
        <v>#DIV/0!</v>
      </c>
      <c r="N1273" s="88" t="e">
        <f t="shared" si="95"/>
        <v>#DIV/0!</v>
      </c>
    </row>
    <row r="1274" spans="6:14" x14ac:dyDescent="0.25">
      <c r="F1274" s="1"/>
      <c r="G1274" s="114">
        <f t="shared" si="96"/>
        <v>0</v>
      </c>
      <c r="H1274" s="37">
        <f t="shared" si="97"/>
        <v>0</v>
      </c>
      <c r="I1274">
        <f t="shared" si="99"/>
        <v>0</v>
      </c>
      <c r="J127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4" s="91" t="e">
        <f t="shared" si="98"/>
        <v>#DIV/0!</v>
      </c>
      <c r="N1274" s="88" t="e">
        <f t="shared" si="95"/>
        <v>#DIV/0!</v>
      </c>
    </row>
    <row r="1275" spans="6:14" x14ac:dyDescent="0.25">
      <c r="F1275" s="1"/>
      <c r="G1275" s="114">
        <f t="shared" si="96"/>
        <v>0</v>
      </c>
      <c r="H1275" s="37">
        <f t="shared" si="97"/>
        <v>0</v>
      </c>
      <c r="I1275">
        <f t="shared" si="99"/>
        <v>0</v>
      </c>
      <c r="J127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5" s="91" t="e">
        <f t="shared" si="98"/>
        <v>#DIV/0!</v>
      </c>
      <c r="N1275" s="88" t="e">
        <f t="shared" si="95"/>
        <v>#DIV/0!</v>
      </c>
    </row>
    <row r="1276" spans="6:14" x14ac:dyDescent="0.25">
      <c r="F1276" s="1"/>
      <c r="G1276" s="114">
        <f t="shared" si="96"/>
        <v>0</v>
      </c>
      <c r="H1276" s="37">
        <f t="shared" si="97"/>
        <v>0</v>
      </c>
      <c r="I1276">
        <f t="shared" si="99"/>
        <v>0</v>
      </c>
      <c r="J127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6" s="91" t="e">
        <f t="shared" si="98"/>
        <v>#DIV/0!</v>
      </c>
      <c r="N1276" s="88" t="e">
        <f t="shared" si="95"/>
        <v>#DIV/0!</v>
      </c>
    </row>
    <row r="1277" spans="6:14" x14ac:dyDescent="0.25">
      <c r="F1277" s="1"/>
      <c r="G1277" s="114">
        <f t="shared" si="96"/>
        <v>0</v>
      </c>
      <c r="H1277" s="37">
        <f t="shared" si="97"/>
        <v>0</v>
      </c>
      <c r="I1277">
        <f t="shared" si="99"/>
        <v>0</v>
      </c>
      <c r="J127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7" s="91" t="e">
        <f t="shared" si="98"/>
        <v>#DIV/0!</v>
      </c>
      <c r="N1277" s="88" t="e">
        <f t="shared" si="95"/>
        <v>#DIV/0!</v>
      </c>
    </row>
    <row r="1278" spans="6:14" x14ac:dyDescent="0.25">
      <c r="F1278" s="1"/>
      <c r="G1278" s="114">
        <f t="shared" si="96"/>
        <v>0</v>
      </c>
      <c r="H1278" s="37">
        <f t="shared" si="97"/>
        <v>0</v>
      </c>
      <c r="I1278">
        <f t="shared" si="99"/>
        <v>0</v>
      </c>
      <c r="J127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8" s="91" t="e">
        <f t="shared" si="98"/>
        <v>#DIV/0!</v>
      </c>
      <c r="N1278" s="88" t="e">
        <f t="shared" si="95"/>
        <v>#DIV/0!</v>
      </c>
    </row>
    <row r="1279" spans="6:14" x14ac:dyDescent="0.25">
      <c r="F1279" s="1"/>
      <c r="G1279" s="114">
        <f t="shared" si="96"/>
        <v>0</v>
      </c>
      <c r="H1279" s="37">
        <f t="shared" si="97"/>
        <v>0</v>
      </c>
      <c r="I1279">
        <f t="shared" si="99"/>
        <v>0</v>
      </c>
      <c r="J127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79" s="91" t="e">
        <f t="shared" si="98"/>
        <v>#DIV/0!</v>
      </c>
      <c r="N1279" s="88" t="e">
        <f t="shared" si="95"/>
        <v>#DIV/0!</v>
      </c>
    </row>
    <row r="1280" spans="6:14" x14ac:dyDescent="0.25">
      <c r="F1280" s="1"/>
      <c r="G1280" s="114">
        <f t="shared" si="96"/>
        <v>0</v>
      </c>
      <c r="H1280" s="37">
        <f t="shared" si="97"/>
        <v>0</v>
      </c>
      <c r="I1280">
        <f t="shared" si="99"/>
        <v>0</v>
      </c>
      <c r="J128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0" s="91" t="e">
        <f t="shared" si="98"/>
        <v>#DIV/0!</v>
      </c>
      <c r="N1280" s="88" t="e">
        <f t="shared" si="95"/>
        <v>#DIV/0!</v>
      </c>
    </row>
    <row r="1281" spans="6:14" x14ac:dyDescent="0.25">
      <c r="F1281" s="1"/>
      <c r="G1281" s="114">
        <f t="shared" si="96"/>
        <v>0</v>
      </c>
      <c r="H1281" s="37">
        <f t="shared" si="97"/>
        <v>0</v>
      </c>
      <c r="I1281">
        <f t="shared" si="99"/>
        <v>0</v>
      </c>
      <c r="J128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1" s="91" t="e">
        <f t="shared" si="98"/>
        <v>#DIV/0!</v>
      </c>
      <c r="N1281" s="88" t="e">
        <f t="shared" ref="N1281:N1306" si="100">+((F1281+I1281)/J1281)*100</f>
        <v>#DIV/0!</v>
      </c>
    </row>
    <row r="1282" spans="6:14" x14ac:dyDescent="0.25">
      <c r="F1282" s="1"/>
      <c r="G1282" s="114">
        <f t="shared" ref="G1282:G1306" si="101">+F1282+I1282</f>
        <v>0</v>
      </c>
      <c r="H1282" s="37">
        <f t="shared" ref="H1282:H1306" si="102">+(F1282*0.05)+F1282</f>
        <v>0</v>
      </c>
      <c r="I1282">
        <f t="shared" si="99"/>
        <v>0</v>
      </c>
      <c r="J128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2" s="91" t="e">
        <f t="shared" si="98"/>
        <v>#DIV/0!</v>
      </c>
      <c r="N1282" s="88" t="e">
        <f t="shared" si="100"/>
        <v>#DIV/0!</v>
      </c>
    </row>
    <row r="1283" spans="6:14" x14ac:dyDescent="0.25">
      <c r="F1283" s="1"/>
      <c r="G1283" s="114">
        <f t="shared" si="101"/>
        <v>0</v>
      </c>
      <c r="H1283" s="37">
        <f t="shared" si="102"/>
        <v>0</v>
      </c>
      <c r="I1283">
        <f t="shared" si="99"/>
        <v>0</v>
      </c>
      <c r="J128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3" s="91" t="e">
        <f t="shared" ref="M1283:M1306" si="103">+((H1283+I1283)/J1283)*100</f>
        <v>#DIV/0!</v>
      </c>
      <c r="N1283" s="88" t="e">
        <f t="shared" si="100"/>
        <v>#DIV/0!</v>
      </c>
    </row>
    <row r="1284" spans="6:14" x14ac:dyDescent="0.25">
      <c r="F1284" s="1"/>
      <c r="G1284" s="114">
        <f t="shared" si="101"/>
        <v>0</v>
      </c>
      <c r="H1284" s="37">
        <f t="shared" si="102"/>
        <v>0</v>
      </c>
      <c r="I1284">
        <f t="shared" si="99"/>
        <v>0</v>
      </c>
      <c r="J128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4" s="91" t="e">
        <f t="shared" si="103"/>
        <v>#DIV/0!</v>
      </c>
      <c r="N1284" s="88" t="e">
        <f t="shared" si="100"/>
        <v>#DIV/0!</v>
      </c>
    </row>
    <row r="1285" spans="6:14" x14ac:dyDescent="0.25">
      <c r="F1285" s="1"/>
      <c r="G1285" s="114">
        <f t="shared" si="101"/>
        <v>0</v>
      </c>
      <c r="H1285" s="37">
        <f t="shared" si="102"/>
        <v>0</v>
      </c>
      <c r="I1285">
        <f t="shared" si="99"/>
        <v>0</v>
      </c>
      <c r="J128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5" s="91" t="e">
        <f t="shared" si="103"/>
        <v>#DIV/0!</v>
      </c>
      <c r="N1285" s="88" t="e">
        <f t="shared" si="100"/>
        <v>#DIV/0!</v>
      </c>
    </row>
    <row r="1286" spans="6:14" x14ac:dyDescent="0.25">
      <c r="F1286" s="1"/>
      <c r="G1286" s="114">
        <f t="shared" si="101"/>
        <v>0</v>
      </c>
      <c r="H1286" s="37">
        <f t="shared" si="102"/>
        <v>0</v>
      </c>
      <c r="I1286">
        <f t="shared" si="99"/>
        <v>0</v>
      </c>
      <c r="J128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6" s="91" t="e">
        <f t="shared" si="103"/>
        <v>#DIV/0!</v>
      </c>
      <c r="N1286" s="88" t="e">
        <f t="shared" si="100"/>
        <v>#DIV/0!</v>
      </c>
    </row>
    <row r="1287" spans="6:14" x14ac:dyDescent="0.25">
      <c r="F1287" s="1"/>
      <c r="G1287" s="114">
        <f t="shared" si="101"/>
        <v>0</v>
      </c>
      <c r="H1287" s="37">
        <f t="shared" si="102"/>
        <v>0</v>
      </c>
      <c r="I1287">
        <f t="shared" si="99"/>
        <v>0</v>
      </c>
      <c r="J128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7" s="91" t="e">
        <f t="shared" si="103"/>
        <v>#DIV/0!</v>
      </c>
      <c r="N1287" s="88" t="e">
        <f t="shared" si="100"/>
        <v>#DIV/0!</v>
      </c>
    </row>
    <row r="1288" spans="6:14" x14ac:dyDescent="0.25">
      <c r="F1288" s="1"/>
      <c r="G1288" s="114">
        <f t="shared" si="101"/>
        <v>0</v>
      </c>
      <c r="H1288" s="37">
        <f t="shared" si="102"/>
        <v>0</v>
      </c>
      <c r="I1288">
        <f t="shared" si="99"/>
        <v>0</v>
      </c>
      <c r="J128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8" s="91" t="e">
        <f t="shared" si="103"/>
        <v>#DIV/0!</v>
      </c>
      <c r="N1288" s="88" t="e">
        <f t="shared" si="100"/>
        <v>#DIV/0!</v>
      </c>
    </row>
    <row r="1289" spans="6:14" x14ac:dyDescent="0.25">
      <c r="F1289" s="1"/>
      <c r="G1289" s="114">
        <f t="shared" si="101"/>
        <v>0</v>
      </c>
      <c r="H1289" s="37">
        <f t="shared" si="102"/>
        <v>0</v>
      </c>
      <c r="I1289">
        <f t="shared" si="99"/>
        <v>0</v>
      </c>
      <c r="J128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89" s="91" t="e">
        <f t="shared" si="103"/>
        <v>#DIV/0!</v>
      </c>
      <c r="N1289" s="88" t="e">
        <f t="shared" si="100"/>
        <v>#DIV/0!</v>
      </c>
    </row>
    <row r="1290" spans="6:14" x14ac:dyDescent="0.25">
      <c r="F1290" s="1"/>
      <c r="G1290" s="114">
        <f t="shared" si="101"/>
        <v>0</v>
      </c>
      <c r="H1290" s="37">
        <f t="shared" si="102"/>
        <v>0</v>
      </c>
      <c r="I1290">
        <f t="shared" si="99"/>
        <v>0</v>
      </c>
      <c r="J1290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0" s="91" t="e">
        <f t="shared" si="103"/>
        <v>#DIV/0!</v>
      </c>
      <c r="N1290" s="88" t="e">
        <f t="shared" si="100"/>
        <v>#DIV/0!</v>
      </c>
    </row>
    <row r="1291" spans="6:14" x14ac:dyDescent="0.25">
      <c r="F1291" s="1"/>
      <c r="G1291" s="114">
        <f t="shared" si="101"/>
        <v>0</v>
      </c>
      <c r="H1291" s="37">
        <f t="shared" si="102"/>
        <v>0</v>
      </c>
      <c r="I1291">
        <f t="shared" si="99"/>
        <v>0</v>
      </c>
      <c r="J1291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1" s="91" t="e">
        <f t="shared" si="103"/>
        <v>#DIV/0!</v>
      </c>
      <c r="N1291" s="88" t="e">
        <f t="shared" si="100"/>
        <v>#DIV/0!</v>
      </c>
    </row>
    <row r="1292" spans="6:14" x14ac:dyDescent="0.25">
      <c r="F1292" s="1"/>
      <c r="G1292" s="114">
        <f t="shared" si="101"/>
        <v>0</v>
      </c>
      <c r="H1292" s="37">
        <f t="shared" si="102"/>
        <v>0</v>
      </c>
      <c r="I1292">
        <f t="shared" si="99"/>
        <v>0</v>
      </c>
      <c r="J1292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2" s="91" t="e">
        <f t="shared" si="103"/>
        <v>#DIV/0!</v>
      </c>
      <c r="N1292" s="88" t="e">
        <f t="shared" si="100"/>
        <v>#DIV/0!</v>
      </c>
    </row>
    <row r="1293" spans="6:14" x14ac:dyDescent="0.25">
      <c r="F1293" s="1"/>
      <c r="G1293" s="114">
        <f t="shared" si="101"/>
        <v>0</v>
      </c>
      <c r="H1293" s="37">
        <f t="shared" si="102"/>
        <v>0</v>
      </c>
      <c r="I1293">
        <f t="shared" si="99"/>
        <v>0</v>
      </c>
      <c r="J1293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3" s="91" t="e">
        <f t="shared" si="103"/>
        <v>#DIV/0!</v>
      </c>
      <c r="N1293" s="88" t="e">
        <f t="shared" si="100"/>
        <v>#DIV/0!</v>
      </c>
    </row>
    <row r="1294" spans="6:14" x14ac:dyDescent="0.25">
      <c r="F1294" s="1"/>
      <c r="G1294" s="114">
        <f t="shared" si="101"/>
        <v>0</v>
      </c>
      <c r="H1294" s="37">
        <f t="shared" si="102"/>
        <v>0</v>
      </c>
      <c r="I1294">
        <f t="shared" ref="I1294:I1306" si="104">+L1294-K1294</f>
        <v>0</v>
      </c>
      <c r="J1294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4" s="91" t="e">
        <f t="shared" si="103"/>
        <v>#DIV/0!</v>
      </c>
      <c r="N1294" s="88" t="e">
        <f t="shared" si="100"/>
        <v>#DIV/0!</v>
      </c>
    </row>
    <row r="1295" spans="6:14" x14ac:dyDescent="0.25">
      <c r="F1295" s="1"/>
      <c r="G1295" s="114">
        <f t="shared" si="101"/>
        <v>0</v>
      </c>
      <c r="H1295" s="37">
        <f t="shared" si="102"/>
        <v>0</v>
      </c>
      <c r="I1295">
        <f t="shared" si="104"/>
        <v>0</v>
      </c>
      <c r="J1295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5" s="91" t="e">
        <f t="shared" si="103"/>
        <v>#DIV/0!</v>
      </c>
      <c r="N1295" s="88" t="e">
        <f t="shared" si="100"/>
        <v>#DIV/0!</v>
      </c>
    </row>
    <row r="1296" spans="6:14" x14ac:dyDescent="0.25">
      <c r="F1296" s="1"/>
      <c r="G1296" s="114">
        <f t="shared" si="101"/>
        <v>0</v>
      </c>
      <c r="H1296" s="37">
        <f t="shared" si="102"/>
        <v>0</v>
      </c>
      <c r="I1296">
        <f t="shared" si="104"/>
        <v>0</v>
      </c>
      <c r="J1296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6" s="91" t="e">
        <f t="shared" si="103"/>
        <v>#DIV/0!</v>
      </c>
      <c r="N1296" s="88" t="e">
        <f t="shared" si="100"/>
        <v>#DIV/0!</v>
      </c>
    </row>
    <row r="1297" spans="2:14" x14ac:dyDescent="0.25">
      <c r="F1297" s="1"/>
      <c r="G1297" s="114">
        <f t="shared" si="101"/>
        <v>0</v>
      </c>
      <c r="H1297" s="37">
        <f t="shared" si="102"/>
        <v>0</v>
      </c>
      <c r="I1297">
        <f t="shared" si="104"/>
        <v>0</v>
      </c>
      <c r="J1297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7" s="91" t="e">
        <f t="shared" si="103"/>
        <v>#DIV/0!</v>
      </c>
      <c r="N1297" s="88" t="e">
        <f t="shared" si="100"/>
        <v>#DIV/0!</v>
      </c>
    </row>
    <row r="1298" spans="2:14" x14ac:dyDescent="0.25">
      <c r="F1298" s="1"/>
      <c r="G1298" s="114">
        <f t="shared" si="101"/>
        <v>0</v>
      </c>
      <c r="H1298" s="37">
        <f t="shared" si="102"/>
        <v>0</v>
      </c>
      <c r="I1298">
        <f t="shared" si="104"/>
        <v>0</v>
      </c>
      <c r="J1298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8" s="91" t="e">
        <f t="shared" si="103"/>
        <v>#DIV/0!</v>
      </c>
      <c r="N1298" s="88" t="e">
        <f t="shared" si="100"/>
        <v>#DIV/0!</v>
      </c>
    </row>
    <row r="1299" spans="2:14" x14ac:dyDescent="0.25">
      <c r="F1299" s="1"/>
      <c r="G1299" s="114">
        <f t="shared" si="101"/>
        <v>0</v>
      </c>
      <c r="H1299" s="37">
        <f t="shared" si="102"/>
        <v>0</v>
      </c>
      <c r="I1299">
        <f t="shared" si="104"/>
        <v>0</v>
      </c>
      <c r="J1299" s="1">
        <f>+SUMIFS('VOLCADO '!H:H,'VOLCADO '!C:C,'Produccion por productor'!A:A,'VOLCADO '!B:B,'Produccion por productor'!B:B,'VOLCADO '!I:I,'Produccion por productor'!C:C,'VOLCADO '!J:J,'Produccion por productor'!E:E)*370</f>
        <v>0</v>
      </c>
      <c r="M1299" s="91" t="e">
        <f t="shared" si="103"/>
        <v>#DIV/0!</v>
      </c>
      <c r="N1299" s="88" t="e">
        <f t="shared" si="100"/>
        <v>#DIV/0!</v>
      </c>
    </row>
    <row r="1300" spans="2:14" x14ac:dyDescent="0.25">
      <c r="F1300" s="1"/>
      <c r="G1300" s="114">
        <f t="shared" si="101"/>
        <v>0</v>
      </c>
      <c r="H1300" s="37">
        <f t="shared" si="102"/>
        <v>0</v>
      </c>
      <c r="I1300">
        <f t="shared" si="104"/>
        <v>0</v>
      </c>
      <c r="J1300" s="1">
        <f>+SUMIFS('VOLCADO '!H:H,'VOLCADO '!C:C,'Produccion por productor'!A:A,'VOLCADO '!B:B,'Produccion por productor'!B:B,'VOLCADO '!I:I,'Produccion por productor'!C:C,'VOLCADO '!J:J,'Produccion por productor'!E:E)*370</f>
        <v>0</v>
      </c>
      <c r="M1300" s="91" t="e">
        <f t="shared" si="103"/>
        <v>#DIV/0!</v>
      </c>
      <c r="N1300" s="88" t="e">
        <f t="shared" si="100"/>
        <v>#DIV/0!</v>
      </c>
    </row>
    <row r="1301" spans="2:14" x14ac:dyDescent="0.25">
      <c r="F1301" s="1"/>
      <c r="G1301" s="114">
        <f t="shared" si="101"/>
        <v>0</v>
      </c>
      <c r="H1301" s="37">
        <f t="shared" si="102"/>
        <v>0</v>
      </c>
      <c r="I1301">
        <f t="shared" si="104"/>
        <v>0</v>
      </c>
      <c r="J1301" s="1">
        <f>+SUMIFS('VOLCADO '!H:H,'VOLCADO '!C:C,'Produccion por productor'!A:A,'VOLCADO '!B:B,'Produccion por productor'!B:B,'VOLCADO '!I:I,'Produccion por productor'!C:C,'VOLCADO '!J:J,'Produccion por productor'!E:E)*370</f>
        <v>0</v>
      </c>
      <c r="M1301" s="91" t="e">
        <f t="shared" si="103"/>
        <v>#DIV/0!</v>
      </c>
      <c r="N1301" s="88" t="e">
        <f t="shared" si="100"/>
        <v>#DIV/0!</v>
      </c>
    </row>
    <row r="1302" spans="2:14" x14ac:dyDescent="0.25">
      <c r="F1302" s="1"/>
      <c r="G1302" s="114">
        <f t="shared" si="101"/>
        <v>0</v>
      </c>
      <c r="H1302" s="37">
        <f t="shared" si="102"/>
        <v>0</v>
      </c>
      <c r="I1302">
        <f t="shared" si="104"/>
        <v>0</v>
      </c>
      <c r="J1302" s="1">
        <f>+SUMIFS('VOLCADO '!H:H,'VOLCADO '!C:C,'Produccion por productor'!A:A,'VOLCADO '!B:B,'Produccion por productor'!B:B,'VOLCADO '!I:I,'Produccion por productor'!C:C,'VOLCADO '!J:J,'Produccion por productor'!E:E)*370</f>
        <v>0</v>
      </c>
      <c r="M1302" s="91" t="e">
        <f t="shared" si="103"/>
        <v>#DIV/0!</v>
      </c>
      <c r="N1302" s="88" t="e">
        <f t="shared" si="100"/>
        <v>#DIV/0!</v>
      </c>
    </row>
    <row r="1303" spans="2:14" x14ac:dyDescent="0.25">
      <c r="F1303" s="1"/>
      <c r="G1303" s="114">
        <f t="shared" si="101"/>
        <v>0</v>
      </c>
      <c r="H1303" s="37">
        <f t="shared" si="102"/>
        <v>0</v>
      </c>
      <c r="I1303">
        <f t="shared" si="104"/>
        <v>0</v>
      </c>
      <c r="J1303" s="1">
        <f>+SUMIFS('VOLCADO '!H:H,'VOLCADO '!C:C,'Produccion por productor'!A:A,'VOLCADO '!B:B,'Produccion por productor'!B:B,'VOLCADO '!I:I,'Produccion por productor'!C:C,'VOLCADO '!J:J,'Produccion por productor'!E:E)*370</f>
        <v>0</v>
      </c>
      <c r="M1303" s="91" t="e">
        <f t="shared" si="103"/>
        <v>#DIV/0!</v>
      </c>
      <c r="N1303" s="88" t="e">
        <f t="shared" si="100"/>
        <v>#DIV/0!</v>
      </c>
    </row>
    <row r="1304" spans="2:14" x14ac:dyDescent="0.25">
      <c r="F1304" s="1"/>
      <c r="G1304" s="114">
        <f t="shared" si="101"/>
        <v>0</v>
      </c>
      <c r="H1304" s="37">
        <f t="shared" si="102"/>
        <v>0</v>
      </c>
      <c r="I1304">
        <f t="shared" si="104"/>
        <v>0</v>
      </c>
      <c r="J1304" s="1">
        <f>+SUMIFS('VOLCADO '!H:H,'VOLCADO '!C:C,'Produccion por productor'!A:A,'VOLCADO '!B:B,'Produccion por productor'!B:B,'VOLCADO '!I:I,'Produccion por productor'!C:C,'VOLCADO '!J:J,'Produccion por productor'!E:E)*370</f>
        <v>0</v>
      </c>
      <c r="M1304" s="91" t="e">
        <f t="shared" si="103"/>
        <v>#DIV/0!</v>
      </c>
      <c r="N1304" s="88" t="e">
        <f t="shared" si="100"/>
        <v>#DIV/0!</v>
      </c>
    </row>
    <row r="1305" spans="2:14" x14ac:dyDescent="0.25">
      <c r="F1305" s="1"/>
      <c r="G1305" s="114">
        <f t="shared" si="101"/>
        <v>0</v>
      </c>
      <c r="H1305" s="37">
        <f t="shared" si="102"/>
        <v>0</v>
      </c>
      <c r="I1305">
        <f t="shared" si="104"/>
        <v>0</v>
      </c>
      <c r="J1305" s="1">
        <f>+SUMIFS('VOLCADO '!H:H,'VOLCADO '!C:C,'Produccion por productor'!A:A,'VOLCADO '!B:B,'Produccion por productor'!B:B,'VOLCADO '!I:I,'Produccion por productor'!C:C,'VOLCADO '!J:J,'Produccion por productor'!E:E)*370</f>
        <v>0</v>
      </c>
      <c r="M1305" s="91" t="e">
        <f t="shared" si="103"/>
        <v>#DIV/0!</v>
      </c>
      <c r="N1305" s="88" t="e">
        <f t="shared" si="100"/>
        <v>#DIV/0!</v>
      </c>
    </row>
    <row r="1306" spans="2:14" x14ac:dyDescent="0.25">
      <c r="F1306" s="1"/>
      <c r="G1306" s="114">
        <f t="shared" si="101"/>
        <v>0</v>
      </c>
      <c r="H1306" s="37">
        <f t="shared" si="102"/>
        <v>0</v>
      </c>
      <c r="I1306">
        <f t="shared" si="104"/>
        <v>0</v>
      </c>
      <c r="J1306" s="1">
        <f>+SUMIFS('VOLCADO '!H:H,'VOLCADO '!C:C,'Produccion por productor'!A:A,'VOLCADO '!B:B,'Produccion por productor'!B:B,'VOLCADO '!I:I,'Produccion por productor'!C:C,'VOLCADO '!J:J,'Produccion por productor'!E:E)*370</f>
        <v>0</v>
      </c>
      <c r="M1306" s="91" t="e">
        <f t="shared" si="103"/>
        <v>#DIV/0!</v>
      </c>
      <c r="N1306" s="88" t="e">
        <f t="shared" si="100"/>
        <v>#DIV/0!</v>
      </c>
    </row>
    <row r="1308" spans="2:14" x14ac:dyDescent="0.25">
      <c r="B1308" s="1">
        <v>1</v>
      </c>
    </row>
  </sheetData>
  <autoFilter ref="A1:N1308" xr:uid="{148B106D-2100-41B6-BDE2-E20EBC4FE868}"/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4CE093-44AC-4F1A-99A9-2DD2AE3DBB9F}">
          <x14:formula1>
            <xm:f>'VOLCADO '!$V$8:$V$11</xm:f>
          </x14:formula1>
          <xm:sqref>C1:C1048576</xm:sqref>
        </x14:dataValidation>
        <x14:dataValidation type="list" allowBlank="1" showInputMessage="1" showErrorMessage="1" xr:uid="{485CB61D-9090-4FBE-B5E7-AF3C26A2B836}">
          <x14:formula1>
            <xm:f>'VOLCADO '!$Q$1:$Q$16</xm:f>
          </x14:formula1>
          <xm:sqref>E1:E1048576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VOLCADO </vt:lpstr>
      <vt:lpstr>EMBALADO</vt:lpstr>
      <vt:lpstr>Hoja1</vt:lpstr>
      <vt:lpstr>Planilla</vt:lpstr>
      <vt:lpstr>RESUMEN</vt:lpstr>
      <vt:lpstr>Cajas</vt:lpstr>
      <vt:lpstr>DESCARTES</vt:lpstr>
      <vt:lpstr>Pisos</vt:lpstr>
      <vt:lpstr>Produccion por productor</vt:lpstr>
      <vt:lpstr>Hoja1!Área_de_impresión</vt:lpstr>
      <vt:lpstr>Planilla!Área_de_impresión</vt:lpstr>
      <vt:lpstr>EMBALADO!Print_Area</vt:lpstr>
      <vt:lpstr>'VOLCADO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Preseleccion1</dc:creator>
  <cp:lastModifiedBy>Empaque 2</cp:lastModifiedBy>
  <cp:lastPrinted>2026-05-08T21:45:53Z</cp:lastPrinted>
  <dcterms:created xsi:type="dcterms:W3CDTF">2015-06-05T18:19:34Z</dcterms:created>
  <dcterms:modified xsi:type="dcterms:W3CDTF">2026-05-11T16:37:14Z</dcterms:modified>
</cp:coreProperties>
</file>